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asse\Documents\CATALOGUE PRO\Docs communication PHG France\phg-france\excel\"/>
    </mc:Choice>
  </mc:AlternateContent>
  <xr:revisionPtr revIDLastSave="0" documentId="13_ncr:1_{42DA2705-8F50-4B90-A433-24BA243C99EC}" xr6:coauthVersionLast="47" xr6:coauthVersionMax="47" xr10:uidLastSave="{00000000-0000-0000-0000-000000000000}"/>
  <bookViews>
    <workbookView xWindow="-98" yWindow="-98" windowWidth="21795" windowHeight="12975" tabRatio="772" firstSheet="2" activeTab="6" xr2:uid="{00000000-000D-0000-FFFF-FFFF00000000}"/>
  </bookViews>
  <sheets>
    <sheet name="Mode opératoire" sheetId="1" r:id="rId1"/>
    <sheet name="CALCUL PRIX ACHAT €" sheetId="2" r:id="rId2"/>
    <sheet name="CALCUL PRIX FAMILLE €" sheetId="3" r:id="rId3"/>
    <sheet name="Monument.PrixAdh.€HT" sheetId="4" r:id="rId4"/>
    <sheet name="Semelles.PrixAdh.€HT" sheetId="5" r:id="rId5"/>
    <sheet name="Accessoires.PrixAdh.€HT" sheetId="6" r:id="rId6"/>
    <sheet name="Gravure.PrixAdh.€HT" sheetId="7" r:id="rId7"/>
    <sheet name="GRANITS" sheetId="10" state="veryHidden" r:id="rId8"/>
    <sheet name="(Semelles.Monument.€HT)" sheetId="11" state="veryHidden" r:id="rId9"/>
    <sheet name="Poids" sheetId="12" state="veryHidden" r:id="rId10"/>
    <sheet name="Zone.TFranco" sheetId="13" state="veryHidden" r:id="rId11"/>
    <sheet name="Tarif TFranco" sheetId="14" state="veryHidden" r:id="rId12"/>
    <sheet name="LISTES" sheetId="15" state="veryHidden" r:id="rId13"/>
  </sheets>
  <definedNames>
    <definedName name="_xlnm._FilterDatabase" localSheetId="9" hidden="1">Poids!$A$1:$C$73</definedName>
    <definedName name="CINÉRAIRE">LISTES!$L$2:$L$50</definedName>
    <definedName name="CLASSIQUE">LISTES!$F$2:$F$50</definedName>
    <definedName name="CONTEMPORAIN">LISTES!$H$2:$H$50</definedName>
    <definedName name="CRÉATION">LISTES!$G$2:$G$50</definedName>
    <definedName name="DOUBLES">LISTES!$K$2:$K$50</definedName>
    <definedName name="Granits">LISTES!$T$2:$T$100</definedName>
    <definedName name="Gravure">LISTES!$P$2:$P$50</definedName>
    <definedName name="JARDINIÈRE">LISTES!$N$2:$N$50</definedName>
    <definedName name="Lignes_Accessoire">LISTES!$E$2:$E$10</definedName>
    <definedName name="Lignes_Monument">LISTES!$D$2:$D$10</definedName>
    <definedName name="Litho">LISTES!#REF!</definedName>
    <definedName name="RELIGIEUX">LISTES!$J$2:$J$50</definedName>
    <definedName name="Semelle">LISTES!$O$2:$O$10</definedName>
    <definedName name="TOMBALE">LISTES!$I$2:$I$50</definedName>
    <definedName name="Types">LISTES!$C$2:$C$10</definedName>
    <definedName name="Urne">LISTES!#REF!</definedName>
    <definedName name="VASE">LISTES!$M$2:$M$50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5" i="5" l="1"/>
  <c r="F144" i="5"/>
  <c r="F143" i="5"/>
  <c r="F142" i="5"/>
  <c r="F141" i="5"/>
  <c r="F140" i="5"/>
  <c r="F139" i="5"/>
  <c r="F138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I2988" i="4"/>
  <c r="H2988" i="4"/>
  <c r="G2988" i="4"/>
  <c r="I2987" i="4"/>
  <c r="H2987" i="4"/>
  <c r="G2987" i="4"/>
  <c r="I2986" i="4"/>
  <c r="H2986" i="4"/>
  <c r="G2986" i="4"/>
  <c r="I2985" i="4"/>
  <c r="H2985" i="4"/>
  <c r="G2985" i="4"/>
  <c r="I2984" i="4"/>
  <c r="H2984" i="4"/>
  <c r="G2984" i="4"/>
  <c r="I2983" i="4"/>
  <c r="H2983" i="4"/>
  <c r="G2983" i="4"/>
  <c r="I2982" i="4"/>
  <c r="H2982" i="4"/>
  <c r="G2982" i="4"/>
  <c r="I2981" i="4"/>
  <c r="H2981" i="4"/>
  <c r="G2981" i="4"/>
  <c r="I2980" i="4"/>
  <c r="H2980" i="4"/>
  <c r="G2980" i="4"/>
  <c r="I2979" i="4"/>
  <c r="H2979" i="4"/>
  <c r="G2979" i="4"/>
  <c r="I2978" i="4"/>
  <c r="H2978" i="4"/>
  <c r="G2978" i="4"/>
  <c r="I2113" i="4"/>
  <c r="H2113" i="4"/>
  <c r="G2113" i="4"/>
  <c r="I2112" i="4"/>
  <c r="H2112" i="4"/>
  <c r="G2112" i="4"/>
  <c r="I2111" i="4"/>
  <c r="H2111" i="4"/>
  <c r="G2111" i="4"/>
  <c r="I2110" i="4"/>
  <c r="H2110" i="4"/>
  <c r="G2110" i="4"/>
  <c r="I2109" i="4"/>
  <c r="H2109" i="4"/>
  <c r="G2109" i="4"/>
  <c r="I2108" i="4"/>
  <c r="H2108" i="4"/>
  <c r="G2108" i="4"/>
  <c r="I2107" i="4"/>
  <c r="H2107" i="4"/>
  <c r="G2107" i="4"/>
  <c r="I2106" i="4"/>
  <c r="H2106" i="4"/>
  <c r="G2106" i="4"/>
  <c r="I2105" i="4"/>
  <c r="H2105" i="4"/>
  <c r="G2105" i="4"/>
  <c r="I2104" i="4"/>
  <c r="H2104" i="4"/>
  <c r="G2104" i="4"/>
  <c r="I2103" i="4"/>
  <c r="H2103" i="4"/>
  <c r="G2103" i="4"/>
  <c r="I2102" i="4"/>
  <c r="H2102" i="4"/>
  <c r="G2102" i="4"/>
  <c r="I2101" i="4"/>
  <c r="H2101" i="4"/>
  <c r="G2101" i="4"/>
  <c r="I2100" i="4"/>
  <c r="H2100" i="4"/>
  <c r="G2100" i="4"/>
  <c r="I2099" i="4"/>
  <c r="H2099" i="4"/>
  <c r="G2099" i="4"/>
  <c r="I2098" i="4"/>
  <c r="H2098" i="4"/>
  <c r="G2098" i="4"/>
  <c r="I2097" i="4"/>
  <c r="H2097" i="4"/>
  <c r="G2097" i="4"/>
  <c r="I2096" i="4"/>
  <c r="H2096" i="4"/>
  <c r="G2096" i="4"/>
  <c r="I2095" i="4"/>
  <c r="H2095" i="4"/>
  <c r="G2095" i="4"/>
  <c r="I2094" i="4"/>
  <c r="H2094" i="4"/>
  <c r="G2094" i="4"/>
  <c r="I2093" i="4"/>
  <c r="H2093" i="4"/>
  <c r="G2093" i="4"/>
  <c r="I2092" i="4"/>
  <c r="H2092" i="4"/>
  <c r="G2092" i="4"/>
  <c r="I2091" i="4"/>
  <c r="H2091" i="4"/>
  <c r="G2091" i="4"/>
  <c r="I2090" i="4"/>
  <c r="H2090" i="4"/>
  <c r="G2090" i="4"/>
  <c r="I2089" i="4"/>
  <c r="H2089" i="4"/>
  <c r="G2089" i="4"/>
  <c r="I2088" i="4"/>
  <c r="H2088" i="4"/>
  <c r="G2088" i="4"/>
  <c r="I2087" i="4"/>
  <c r="H2087" i="4"/>
  <c r="G2087" i="4"/>
  <c r="I2086" i="4"/>
  <c r="H2086" i="4"/>
  <c r="G2086" i="4"/>
  <c r="I2085" i="4"/>
  <c r="H2085" i="4"/>
  <c r="G2085" i="4"/>
  <c r="I2084" i="4"/>
  <c r="H2084" i="4"/>
  <c r="G2084" i="4"/>
  <c r="I2083" i="4"/>
  <c r="H2083" i="4"/>
  <c r="G2083" i="4"/>
  <c r="I2082" i="4"/>
  <c r="H2082" i="4"/>
  <c r="G2082" i="4"/>
  <c r="I2081" i="4"/>
  <c r="H2081" i="4"/>
  <c r="G2081" i="4"/>
  <c r="I2080" i="4"/>
  <c r="H2080" i="4"/>
  <c r="G2080" i="4"/>
  <c r="I2079" i="4"/>
  <c r="H2079" i="4"/>
  <c r="G2079" i="4"/>
  <c r="I2078" i="4"/>
  <c r="H2078" i="4"/>
  <c r="G2078" i="4"/>
  <c r="I2077" i="4"/>
  <c r="H2077" i="4"/>
  <c r="G2077" i="4"/>
  <c r="I2076" i="4"/>
  <c r="H2076" i="4"/>
  <c r="G2076" i="4"/>
  <c r="I2075" i="4"/>
  <c r="H2075" i="4"/>
  <c r="G2075" i="4"/>
  <c r="I2074" i="4"/>
  <c r="H2074" i="4"/>
  <c r="G2074" i="4"/>
  <c r="I2073" i="4"/>
  <c r="H2073" i="4"/>
  <c r="G2073" i="4"/>
  <c r="I2072" i="4"/>
  <c r="H2072" i="4"/>
  <c r="G2072" i="4"/>
  <c r="I2071" i="4"/>
  <c r="H2071" i="4"/>
  <c r="G2071" i="4"/>
  <c r="I2070" i="4"/>
  <c r="H2070" i="4"/>
  <c r="G2070" i="4"/>
  <c r="I2069" i="4"/>
  <c r="H2069" i="4"/>
  <c r="G2069" i="4"/>
  <c r="I2068" i="4"/>
  <c r="H2068" i="4"/>
  <c r="G2068" i="4"/>
  <c r="I2067" i="4"/>
  <c r="H2067" i="4"/>
  <c r="G2067" i="4"/>
  <c r="I2066" i="4"/>
  <c r="H2066" i="4"/>
  <c r="G2066" i="4"/>
  <c r="I2065" i="4"/>
  <c r="H2065" i="4"/>
  <c r="G2065" i="4"/>
  <c r="I2064" i="4"/>
  <c r="H2064" i="4"/>
  <c r="G2064" i="4"/>
  <c r="I2063" i="4"/>
  <c r="H2063" i="4"/>
  <c r="G2063" i="4"/>
  <c r="I2062" i="4"/>
  <c r="H2062" i="4"/>
  <c r="G2062" i="4"/>
  <c r="I2061" i="4"/>
  <c r="H2061" i="4"/>
  <c r="G2061" i="4"/>
  <c r="I2060" i="4"/>
  <c r="H2060" i="4"/>
  <c r="G2060" i="4"/>
  <c r="I2059" i="4"/>
  <c r="H2059" i="4"/>
  <c r="G2059" i="4"/>
  <c r="I2058" i="4"/>
  <c r="H2058" i="4"/>
  <c r="G2058" i="4"/>
  <c r="I2057" i="4"/>
  <c r="H2057" i="4"/>
  <c r="G2057" i="4"/>
  <c r="I2056" i="4"/>
  <c r="H2056" i="4"/>
  <c r="G2056" i="4"/>
  <c r="I2055" i="4"/>
  <c r="H2055" i="4"/>
  <c r="G2055" i="4"/>
  <c r="I2054" i="4"/>
  <c r="H2054" i="4"/>
  <c r="G2054" i="4"/>
  <c r="I2053" i="4"/>
  <c r="H2053" i="4"/>
  <c r="G2053" i="4"/>
  <c r="I2052" i="4"/>
  <c r="H2052" i="4"/>
  <c r="G2052" i="4"/>
  <c r="I2051" i="4"/>
  <c r="H2051" i="4"/>
  <c r="G2051" i="4"/>
  <c r="I2050" i="4"/>
  <c r="H2050" i="4"/>
  <c r="G2050" i="4"/>
  <c r="I2049" i="4"/>
  <c r="H2049" i="4"/>
  <c r="G2049" i="4"/>
  <c r="I2048" i="4"/>
  <c r="H2048" i="4"/>
  <c r="G2048" i="4"/>
  <c r="I2047" i="4"/>
  <c r="H2047" i="4"/>
  <c r="G2047" i="4"/>
  <c r="I2046" i="4"/>
  <c r="H2046" i="4"/>
  <c r="G2046" i="4"/>
  <c r="I2045" i="4"/>
  <c r="H2045" i="4"/>
  <c r="G2045" i="4"/>
  <c r="I2044" i="4"/>
  <c r="H2044" i="4"/>
  <c r="G2044" i="4"/>
  <c r="I2043" i="4"/>
  <c r="H2043" i="4"/>
  <c r="G2043" i="4"/>
  <c r="I2042" i="4"/>
  <c r="H2042" i="4"/>
  <c r="G2042" i="4"/>
  <c r="I2041" i="4"/>
  <c r="H2041" i="4"/>
  <c r="G2041" i="4"/>
  <c r="I2040" i="4"/>
  <c r="H2040" i="4"/>
  <c r="G2040" i="4"/>
  <c r="I2039" i="4"/>
  <c r="H2039" i="4"/>
  <c r="G2039" i="4"/>
  <c r="I2038" i="4"/>
  <c r="H2038" i="4"/>
  <c r="G2038" i="4"/>
  <c r="I2037" i="4"/>
  <c r="H2037" i="4"/>
  <c r="G2037" i="4"/>
  <c r="I2036" i="4"/>
  <c r="H2036" i="4"/>
  <c r="G2036" i="4"/>
  <c r="I2035" i="4"/>
  <c r="H2035" i="4"/>
  <c r="G2035" i="4"/>
  <c r="I2034" i="4"/>
  <c r="H2034" i="4"/>
  <c r="G2034" i="4"/>
  <c r="I2033" i="4"/>
  <c r="H2033" i="4"/>
  <c r="G2033" i="4"/>
  <c r="I2032" i="4"/>
  <c r="H2032" i="4"/>
  <c r="G2032" i="4"/>
  <c r="I2031" i="4"/>
  <c r="H2031" i="4"/>
  <c r="G2031" i="4"/>
  <c r="I2030" i="4"/>
  <c r="H2030" i="4"/>
  <c r="G2030" i="4"/>
  <c r="I2029" i="4"/>
  <c r="H2029" i="4"/>
  <c r="G2029" i="4"/>
  <c r="I2028" i="4"/>
  <c r="H2028" i="4"/>
  <c r="G2028" i="4"/>
  <c r="I2027" i="4"/>
  <c r="H2027" i="4"/>
  <c r="G2027" i="4"/>
  <c r="I2026" i="4"/>
  <c r="H2026" i="4"/>
  <c r="G2026" i="4"/>
  <c r="I2025" i="4"/>
  <c r="H2025" i="4"/>
  <c r="G2025" i="4"/>
  <c r="I2024" i="4"/>
  <c r="H2024" i="4"/>
  <c r="G2024" i="4"/>
  <c r="I2023" i="4"/>
  <c r="H2023" i="4"/>
  <c r="G2023" i="4"/>
  <c r="I2022" i="4"/>
  <c r="H2022" i="4"/>
  <c r="G2022" i="4"/>
  <c r="I2021" i="4"/>
  <c r="H2021" i="4"/>
  <c r="G2021" i="4"/>
  <c r="I2020" i="4"/>
  <c r="H2020" i="4"/>
  <c r="G2020" i="4"/>
  <c r="I2019" i="4"/>
  <c r="H2019" i="4"/>
  <c r="G2019" i="4"/>
  <c r="I2018" i="4"/>
  <c r="H2018" i="4"/>
  <c r="G2018" i="4"/>
  <c r="I2017" i="4"/>
  <c r="H2017" i="4"/>
  <c r="G2017" i="4"/>
  <c r="I2016" i="4"/>
  <c r="H2016" i="4"/>
  <c r="G2016" i="4"/>
  <c r="I2015" i="4"/>
  <c r="H2015" i="4"/>
  <c r="G2015" i="4"/>
  <c r="I2014" i="4"/>
  <c r="H2014" i="4"/>
  <c r="G2014" i="4"/>
  <c r="I2013" i="4"/>
  <c r="H2013" i="4"/>
  <c r="G2013" i="4"/>
  <c r="I2012" i="4"/>
  <c r="H2012" i="4"/>
  <c r="G2012" i="4"/>
  <c r="I2011" i="4"/>
  <c r="H2011" i="4"/>
  <c r="G2011" i="4"/>
  <c r="I2010" i="4"/>
  <c r="H2010" i="4"/>
  <c r="G2010" i="4"/>
  <c r="I2009" i="4"/>
  <c r="H2009" i="4"/>
  <c r="G2009" i="4"/>
  <c r="I2008" i="4"/>
  <c r="H2008" i="4"/>
  <c r="G2008" i="4"/>
  <c r="I2007" i="4"/>
  <c r="H2007" i="4"/>
  <c r="G2007" i="4"/>
  <c r="I2006" i="4"/>
  <c r="H2006" i="4"/>
  <c r="G2006" i="4"/>
  <c r="I2005" i="4"/>
  <c r="H2005" i="4"/>
  <c r="G2005" i="4"/>
  <c r="I2004" i="4"/>
  <c r="H2004" i="4"/>
  <c r="G2004" i="4"/>
  <c r="I2003" i="4"/>
  <c r="H2003" i="4"/>
  <c r="G2003" i="4"/>
  <c r="I2002" i="4"/>
  <c r="H2002" i="4"/>
  <c r="G2002" i="4"/>
  <c r="I2001" i="4"/>
  <c r="H2001" i="4"/>
  <c r="G2001" i="4"/>
  <c r="I2000" i="4"/>
  <c r="H2000" i="4"/>
  <c r="G2000" i="4"/>
  <c r="I1999" i="4"/>
  <c r="H1999" i="4"/>
  <c r="G1999" i="4"/>
  <c r="I1998" i="4"/>
  <c r="H1998" i="4"/>
  <c r="G1998" i="4"/>
  <c r="I1997" i="4"/>
  <c r="H1997" i="4"/>
  <c r="G1997" i="4"/>
  <c r="I1996" i="4"/>
  <c r="H1996" i="4"/>
  <c r="G1996" i="4"/>
  <c r="I1995" i="4"/>
  <c r="H1995" i="4"/>
  <c r="G1995" i="4"/>
  <c r="I1994" i="4"/>
  <c r="H1994" i="4"/>
  <c r="G1994" i="4"/>
  <c r="I1993" i="4"/>
  <c r="H1993" i="4"/>
  <c r="G1993" i="4"/>
  <c r="I1992" i="4"/>
  <c r="H1992" i="4"/>
  <c r="G1992" i="4"/>
  <c r="I1991" i="4"/>
  <c r="H1991" i="4"/>
  <c r="G1991" i="4"/>
  <c r="I1990" i="4"/>
  <c r="H1990" i="4"/>
  <c r="G1990" i="4"/>
  <c r="I1989" i="4"/>
  <c r="H1989" i="4"/>
  <c r="G1989" i="4"/>
  <c r="I1988" i="4"/>
  <c r="H1988" i="4"/>
  <c r="G1988" i="4"/>
  <c r="I1987" i="4"/>
  <c r="H1987" i="4"/>
  <c r="G1987" i="4"/>
  <c r="I1986" i="4"/>
  <c r="H1986" i="4"/>
  <c r="G1986" i="4"/>
  <c r="I1985" i="4"/>
  <c r="H1985" i="4"/>
  <c r="G1985" i="4"/>
  <c r="I1984" i="4"/>
  <c r="H1984" i="4"/>
  <c r="G1984" i="4"/>
  <c r="I1983" i="4"/>
  <c r="H1983" i="4"/>
  <c r="G1983" i="4"/>
  <c r="I1982" i="4"/>
  <c r="H1982" i="4"/>
  <c r="G1982" i="4"/>
  <c r="I1981" i="4"/>
  <c r="H1981" i="4"/>
  <c r="G1981" i="4"/>
  <c r="I1980" i="4"/>
  <c r="H1980" i="4"/>
  <c r="G1980" i="4"/>
  <c r="I1979" i="4"/>
  <c r="H1979" i="4"/>
  <c r="G1979" i="4"/>
  <c r="I1978" i="4"/>
  <c r="H1978" i="4"/>
  <c r="G1978" i="4"/>
  <c r="I1977" i="4"/>
  <c r="H1977" i="4"/>
  <c r="G1977" i="4"/>
  <c r="I1976" i="4"/>
  <c r="H1976" i="4"/>
  <c r="G1976" i="4"/>
  <c r="I1975" i="4"/>
  <c r="H1975" i="4"/>
  <c r="G1975" i="4"/>
  <c r="I1974" i="4"/>
  <c r="H1974" i="4"/>
  <c r="G1974" i="4"/>
  <c r="I1973" i="4"/>
  <c r="H1973" i="4"/>
  <c r="G1973" i="4"/>
  <c r="I1972" i="4"/>
  <c r="H1972" i="4"/>
  <c r="G1972" i="4"/>
  <c r="I1971" i="4"/>
  <c r="H1971" i="4"/>
  <c r="G1971" i="4"/>
  <c r="I1970" i="4"/>
  <c r="H1970" i="4"/>
  <c r="G1970" i="4"/>
  <c r="I1969" i="4"/>
  <c r="H1969" i="4"/>
  <c r="G1969" i="4"/>
  <c r="I1968" i="4"/>
  <c r="H1968" i="4"/>
  <c r="G1968" i="4"/>
  <c r="I1967" i="4"/>
  <c r="H1967" i="4"/>
  <c r="G1967" i="4"/>
  <c r="I1966" i="4"/>
  <c r="H1966" i="4"/>
  <c r="G1966" i="4"/>
  <c r="I1965" i="4"/>
  <c r="H1965" i="4"/>
  <c r="G1965" i="4"/>
  <c r="I1964" i="4"/>
  <c r="H1964" i="4"/>
  <c r="G1964" i="4"/>
  <c r="I1963" i="4"/>
  <c r="H1963" i="4"/>
  <c r="G1963" i="4"/>
  <c r="I1962" i="4"/>
  <c r="H1962" i="4"/>
  <c r="G1962" i="4"/>
  <c r="I1961" i="4"/>
  <c r="H1961" i="4"/>
  <c r="G1961" i="4"/>
  <c r="I1960" i="4"/>
  <c r="H1960" i="4"/>
  <c r="G1960" i="4"/>
  <c r="I1959" i="4"/>
  <c r="H1959" i="4"/>
  <c r="G1959" i="4"/>
  <c r="I1958" i="4"/>
  <c r="H1958" i="4"/>
  <c r="G1958" i="4"/>
  <c r="I1957" i="4"/>
  <c r="H1957" i="4"/>
  <c r="G1957" i="4"/>
  <c r="I1956" i="4"/>
  <c r="H1956" i="4"/>
  <c r="G1956" i="4"/>
  <c r="I1955" i="4"/>
  <c r="H1955" i="4"/>
  <c r="G1955" i="4"/>
  <c r="I1954" i="4"/>
  <c r="H1954" i="4"/>
  <c r="G1954" i="4"/>
  <c r="I1953" i="4"/>
  <c r="H1953" i="4"/>
  <c r="G1953" i="4"/>
  <c r="I1952" i="4"/>
  <c r="H1952" i="4"/>
  <c r="G1952" i="4"/>
  <c r="I1951" i="4"/>
  <c r="H1951" i="4"/>
  <c r="G1951" i="4"/>
  <c r="I1950" i="4"/>
  <c r="H1950" i="4"/>
  <c r="G1950" i="4"/>
  <c r="I1949" i="4"/>
  <c r="H1949" i="4"/>
  <c r="G1949" i="4"/>
  <c r="I1948" i="4"/>
  <c r="H1948" i="4"/>
  <c r="G1948" i="4"/>
  <c r="I1947" i="4"/>
  <c r="H1947" i="4"/>
  <c r="G1947" i="4"/>
  <c r="I1946" i="4"/>
  <c r="H1946" i="4"/>
  <c r="G1946" i="4"/>
  <c r="I1945" i="4"/>
  <c r="H1945" i="4"/>
  <c r="G1945" i="4"/>
  <c r="I1944" i="4"/>
  <c r="H1944" i="4"/>
  <c r="G1944" i="4"/>
  <c r="I1943" i="4"/>
  <c r="H1943" i="4"/>
  <c r="G1943" i="4"/>
  <c r="I1942" i="4"/>
  <c r="H1942" i="4"/>
  <c r="G1942" i="4"/>
  <c r="I1941" i="4"/>
  <c r="H1941" i="4"/>
  <c r="G1941" i="4"/>
  <c r="I1940" i="4"/>
  <c r="H1940" i="4"/>
  <c r="G1940" i="4"/>
  <c r="I1939" i="4"/>
  <c r="H1939" i="4"/>
  <c r="G1939" i="4"/>
  <c r="I1938" i="4"/>
  <c r="H1938" i="4"/>
  <c r="G1938" i="4"/>
  <c r="I1937" i="4"/>
  <c r="H1937" i="4"/>
  <c r="G1937" i="4"/>
  <c r="I1936" i="4"/>
  <c r="H1936" i="4"/>
  <c r="G1936" i="4"/>
  <c r="I1935" i="4"/>
  <c r="H1935" i="4"/>
  <c r="G1935" i="4"/>
  <c r="I1934" i="4"/>
  <c r="H1934" i="4"/>
  <c r="G1934" i="4"/>
  <c r="I1933" i="4"/>
  <c r="H1933" i="4"/>
  <c r="G1933" i="4"/>
  <c r="I1932" i="4"/>
  <c r="H1932" i="4"/>
  <c r="G1932" i="4"/>
  <c r="I1931" i="4"/>
  <c r="H1931" i="4"/>
  <c r="G1931" i="4"/>
  <c r="I1930" i="4"/>
  <c r="H1930" i="4"/>
  <c r="G1930" i="4"/>
  <c r="I1929" i="4"/>
  <c r="H1929" i="4"/>
  <c r="G1929" i="4"/>
  <c r="I1928" i="4"/>
  <c r="H1928" i="4"/>
  <c r="G1928" i="4"/>
  <c r="I1927" i="4"/>
  <c r="H1927" i="4"/>
  <c r="G1927" i="4"/>
  <c r="I1926" i="4"/>
  <c r="H1926" i="4"/>
  <c r="G1926" i="4"/>
  <c r="I1925" i="4"/>
  <c r="H1925" i="4"/>
  <c r="G1925" i="4"/>
  <c r="I1924" i="4"/>
  <c r="H1924" i="4"/>
  <c r="G1924" i="4"/>
  <c r="I1923" i="4"/>
  <c r="H1923" i="4"/>
  <c r="G1923" i="4"/>
  <c r="I1922" i="4"/>
  <c r="H1922" i="4"/>
  <c r="G1922" i="4"/>
  <c r="I1921" i="4"/>
  <c r="H1921" i="4"/>
  <c r="G1921" i="4"/>
  <c r="I1920" i="4"/>
  <c r="H1920" i="4"/>
  <c r="G1920" i="4"/>
  <c r="I1919" i="4"/>
  <c r="H1919" i="4"/>
  <c r="G1919" i="4"/>
  <c r="I1918" i="4"/>
  <c r="H1918" i="4"/>
  <c r="G1918" i="4"/>
  <c r="I1917" i="4"/>
  <c r="H1917" i="4"/>
  <c r="G1917" i="4"/>
  <c r="I1916" i="4"/>
  <c r="H1916" i="4"/>
  <c r="G1916" i="4"/>
  <c r="I1915" i="4"/>
  <c r="H1915" i="4"/>
  <c r="G1915" i="4"/>
  <c r="I1914" i="4"/>
  <c r="H1914" i="4"/>
  <c r="G1914" i="4"/>
  <c r="I1913" i="4"/>
  <c r="H1913" i="4"/>
  <c r="G1913" i="4"/>
  <c r="I1912" i="4"/>
  <c r="H1912" i="4"/>
  <c r="G1912" i="4"/>
  <c r="I1911" i="4"/>
  <c r="H1911" i="4"/>
  <c r="G1911" i="4"/>
  <c r="I1910" i="4"/>
  <c r="H1910" i="4"/>
  <c r="G1910" i="4"/>
  <c r="I1909" i="4"/>
  <c r="H1909" i="4"/>
  <c r="G1909" i="4"/>
  <c r="I1908" i="4"/>
  <c r="H1908" i="4"/>
  <c r="G1908" i="4"/>
  <c r="I1907" i="4"/>
  <c r="H1907" i="4"/>
  <c r="G1907" i="4"/>
  <c r="I1906" i="4"/>
  <c r="H1906" i="4"/>
  <c r="G1906" i="4"/>
  <c r="I1905" i="4"/>
  <c r="H1905" i="4"/>
  <c r="G1905" i="4"/>
  <c r="I1904" i="4"/>
  <c r="H1904" i="4"/>
  <c r="G1904" i="4"/>
  <c r="I1903" i="4"/>
  <c r="H1903" i="4"/>
  <c r="G1903" i="4"/>
  <c r="I1902" i="4"/>
  <c r="H1902" i="4"/>
  <c r="G1902" i="4"/>
  <c r="I1901" i="4"/>
  <c r="H1901" i="4"/>
  <c r="G1901" i="4"/>
  <c r="I1900" i="4"/>
  <c r="H1900" i="4"/>
  <c r="G1900" i="4"/>
  <c r="I1899" i="4"/>
  <c r="H1899" i="4"/>
  <c r="G1899" i="4"/>
  <c r="I1898" i="4"/>
  <c r="H1898" i="4"/>
  <c r="G1898" i="4"/>
  <c r="I1897" i="4"/>
  <c r="H1897" i="4"/>
  <c r="G1897" i="4"/>
  <c r="I1896" i="4"/>
  <c r="H1896" i="4"/>
  <c r="G1896" i="4"/>
  <c r="I1895" i="4"/>
  <c r="H1895" i="4"/>
  <c r="G1895" i="4"/>
  <c r="I1894" i="4"/>
  <c r="H1894" i="4"/>
  <c r="G1894" i="4"/>
  <c r="I1893" i="4"/>
  <c r="H1893" i="4"/>
  <c r="G1893" i="4"/>
  <c r="I1892" i="4"/>
  <c r="H1892" i="4"/>
  <c r="G1892" i="4"/>
  <c r="I1891" i="4"/>
  <c r="H1891" i="4"/>
  <c r="G1891" i="4"/>
  <c r="I1890" i="4"/>
  <c r="H1890" i="4"/>
  <c r="G1890" i="4"/>
  <c r="I1889" i="4"/>
  <c r="H1889" i="4"/>
  <c r="G1889" i="4"/>
  <c r="I1888" i="4"/>
  <c r="H1888" i="4"/>
  <c r="G1888" i="4"/>
  <c r="I1887" i="4"/>
  <c r="H1887" i="4"/>
  <c r="G1887" i="4"/>
  <c r="I1886" i="4"/>
  <c r="H1886" i="4"/>
  <c r="G1886" i="4"/>
  <c r="I1885" i="4"/>
  <c r="H1885" i="4"/>
  <c r="G1885" i="4"/>
  <c r="I1884" i="4"/>
  <c r="H1884" i="4"/>
  <c r="G1884" i="4"/>
  <c r="I1883" i="4"/>
  <c r="H1883" i="4"/>
  <c r="G1883" i="4"/>
  <c r="I1882" i="4"/>
  <c r="H1882" i="4"/>
  <c r="G1882" i="4"/>
  <c r="I1881" i="4"/>
  <c r="H1881" i="4"/>
  <c r="G1881" i="4"/>
  <c r="I1880" i="4"/>
  <c r="H1880" i="4"/>
  <c r="G1880" i="4"/>
  <c r="I1879" i="4"/>
  <c r="H1879" i="4"/>
  <c r="G1879" i="4"/>
  <c r="I1878" i="4"/>
  <c r="H1878" i="4"/>
  <c r="G1878" i="4"/>
  <c r="I1877" i="4"/>
  <c r="H1877" i="4"/>
  <c r="G1877" i="4"/>
  <c r="I1876" i="4"/>
  <c r="H1876" i="4"/>
  <c r="G1876" i="4"/>
  <c r="I1875" i="4"/>
  <c r="H1875" i="4"/>
  <c r="G1875" i="4"/>
  <c r="I1874" i="4"/>
  <c r="H1874" i="4"/>
  <c r="G1874" i="4"/>
  <c r="I1873" i="4"/>
  <c r="H1873" i="4"/>
  <c r="G1873" i="4"/>
  <c r="I1872" i="4"/>
  <c r="H1872" i="4"/>
  <c r="G1872" i="4"/>
  <c r="I1871" i="4"/>
  <c r="H1871" i="4"/>
  <c r="G1871" i="4"/>
  <c r="I1870" i="4"/>
  <c r="H1870" i="4"/>
  <c r="G1870" i="4"/>
  <c r="I1869" i="4"/>
  <c r="H1869" i="4"/>
  <c r="G1869" i="4"/>
  <c r="I1868" i="4"/>
  <c r="H1868" i="4"/>
  <c r="G1868" i="4"/>
  <c r="I1867" i="4"/>
  <c r="H1867" i="4"/>
  <c r="G1867" i="4"/>
  <c r="I1866" i="4"/>
  <c r="H1866" i="4"/>
  <c r="G1866" i="4"/>
  <c r="I1865" i="4"/>
  <c r="H1865" i="4"/>
  <c r="G1865" i="4"/>
  <c r="I1864" i="4"/>
  <c r="H1864" i="4"/>
  <c r="G1864" i="4"/>
  <c r="I1863" i="4"/>
  <c r="H1863" i="4"/>
  <c r="G1863" i="4"/>
  <c r="I1862" i="4"/>
  <c r="H1862" i="4"/>
  <c r="G1862" i="4"/>
  <c r="I1861" i="4"/>
  <c r="H1861" i="4"/>
  <c r="G1861" i="4"/>
  <c r="I1860" i="4"/>
  <c r="H1860" i="4"/>
  <c r="G1860" i="4"/>
  <c r="I1859" i="4"/>
  <c r="H1859" i="4"/>
  <c r="G1859" i="4"/>
  <c r="I1858" i="4"/>
  <c r="H1858" i="4"/>
  <c r="G1858" i="4"/>
  <c r="I1857" i="4"/>
  <c r="H1857" i="4"/>
  <c r="G1857" i="4"/>
  <c r="I1856" i="4"/>
  <c r="H1856" i="4"/>
  <c r="G1856" i="4"/>
  <c r="I1855" i="4"/>
  <c r="H1855" i="4"/>
  <c r="G1855" i="4"/>
  <c r="I1854" i="4"/>
  <c r="H1854" i="4"/>
  <c r="G1854" i="4"/>
  <c r="I1853" i="4"/>
  <c r="H1853" i="4"/>
  <c r="G1853" i="4"/>
  <c r="I1852" i="4"/>
  <c r="H1852" i="4"/>
  <c r="G1852" i="4"/>
  <c r="I1851" i="4"/>
  <c r="H1851" i="4"/>
  <c r="G1851" i="4"/>
  <c r="I1850" i="4"/>
  <c r="H1850" i="4"/>
  <c r="G1850" i="4"/>
  <c r="I1849" i="4"/>
  <c r="H1849" i="4"/>
  <c r="G1849" i="4"/>
  <c r="I1848" i="4"/>
  <c r="H1848" i="4"/>
  <c r="G1848" i="4"/>
  <c r="I1847" i="4"/>
  <c r="H1847" i="4"/>
  <c r="G1847" i="4"/>
  <c r="I1846" i="4"/>
  <c r="H1846" i="4"/>
  <c r="G1846" i="4"/>
  <c r="I1845" i="4"/>
  <c r="H1845" i="4"/>
  <c r="G1845" i="4"/>
  <c r="I1844" i="4"/>
  <c r="H1844" i="4"/>
  <c r="G1844" i="4"/>
  <c r="I1843" i="4"/>
  <c r="H1843" i="4"/>
  <c r="G1843" i="4"/>
  <c r="I1842" i="4"/>
  <c r="H1842" i="4"/>
  <c r="G1842" i="4"/>
  <c r="I1841" i="4"/>
  <c r="H1841" i="4"/>
  <c r="G1841" i="4"/>
  <c r="I1840" i="4"/>
  <c r="H1840" i="4"/>
  <c r="G1840" i="4"/>
  <c r="I1839" i="4"/>
  <c r="H1839" i="4"/>
  <c r="G1839" i="4"/>
  <c r="I1838" i="4"/>
  <c r="H1838" i="4"/>
  <c r="G1838" i="4"/>
  <c r="I1837" i="4"/>
  <c r="H1837" i="4"/>
  <c r="G1837" i="4"/>
  <c r="I1836" i="4"/>
  <c r="H1836" i="4"/>
  <c r="G1836" i="4"/>
  <c r="I1835" i="4"/>
  <c r="H1835" i="4"/>
  <c r="G1835" i="4"/>
  <c r="I1834" i="4"/>
  <c r="H1834" i="4"/>
  <c r="G1834" i="4"/>
  <c r="I1833" i="4"/>
  <c r="H1833" i="4"/>
  <c r="G1833" i="4"/>
  <c r="I1832" i="4"/>
  <c r="H1832" i="4"/>
  <c r="G1832" i="4"/>
  <c r="I1831" i="4"/>
  <c r="H1831" i="4"/>
  <c r="G1831" i="4"/>
  <c r="I1830" i="4"/>
  <c r="H1830" i="4"/>
  <c r="G1830" i="4"/>
  <c r="I1829" i="4"/>
  <c r="H1829" i="4"/>
  <c r="G1829" i="4"/>
  <c r="I1828" i="4"/>
  <c r="H1828" i="4"/>
  <c r="G1828" i="4"/>
  <c r="I1827" i="4"/>
  <c r="H1827" i="4"/>
  <c r="G1827" i="4"/>
  <c r="I1826" i="4"/>
  <c r="H1826" i="4"/>
  <c r="G1826" i="4"/>
  <c r="I1825" i="4"/>
  <c r="H1825" i="4"/>
  <c r="G1825" i="4"/>
  <c r="I1824" i="4"/>
  <c r="H1824" i="4"/>
  <c r="G1824" i="4"/>
  <c r="I1823" i="4"/>
  <c r="H1823" i="4"/>
  <c r="G1823" i="4"/>
  <c r="I1822" i="4"/>
  <c r="H1822" i="4"/>
  <c r="G1822" i="4"/>
  <c r="I1821" i="4"/>
  <c r="H1821" i="4"/>
  <c r="G1821" i="4"/>
  <c r="I1820" i="4"/>
  <c r="H1820" i="4"/>
  <c r="G1820" i="4"/>
  <c r="I1819" i="4"/>
  <c r="H1819" i="4"/>
  <c r="G1819" i="4"/>
  <c r="I1818" i="4"/>
  <c r="H1818" i="4"/>
  <c r="G1818" i="4"/>
  <c r="I1817" i="4"/>
  <c r="H1817" i="4"/>
  <c r="G1817" i="4"/>
  <c r="I1816" i="4"/>
  <c r="H1816" i="4"/>
  <c r="G1816" i="4"/>
  <c r="I1815" i="4"/>
  <c r="H1815" i="4"/>
  <c r="G1815" i="4"/>
  <c r="I1814" i="4"/>
  <c r="H1814" i="4"/>
  <c r="G1814" i="4"/>
  <c r="I1813" i="4"/>
  <c r="H1813" i="4"/>
  <c r="G1813" i="4"/>
  <c r="I1812" i="4"/>
  <c r="H1812" i="4"/>
  <c r="G1812" i="4"/>
  <c r="I1811" i="4"/>
  <c r="H1811" i="4"/>
  <c r="G1811" i="4"/>
  <c r="I1810" i="4"/>
  <c r="H1810" i="4"/>
  <c r="G1810" i="4"/>
  <c r="I1809" i="4"/>
  <c r="H1809" i="4"/>
  <c r="G1809" i="4"/>
  <c r="I1808" i="4"/>
  <c r="H1808" i="4"/>
  <c r="G1808" i="4"/>
  <c r="I1807" i="4"/>
  <c r="H1807" i="4"/>
  <c r="G1807" i="4"/>
  <c r="I1806" i="4"/>
  <c r="H1806" i="4"/>
  <c r="G1806" i="4"/>
  <c r="I1805" i="4"/>
  <c r="H1805" i="4"/>
  <c r="G1805" i="4"/>
  <c r="I1804" i="4"/>
  <c r="H1804" i="4"/>
  <c r="G1804" i="4"/>
  <c r="I1803" i="4"/>
  <c r="H1803" i="4"/>
  <c r="G1803" i="4"/>
  <c r="I1802" i="4"/>
  <c r="H1802" i="4"/>
  <c r="G1802" i="4"/>
  <c r="I1801" i="4"/>
  <c r="H1801" i="4"/>
  <c r="G1801" i="4"/>
  <c r="I1800" i="4"/>
  <c r="H1800" i="4"/>
  <c r="G1800" i="4"/>
  <c r="I1799" i="4"/>
  <c r="H1799" i="4"/>
  <c r="G1799" i="4"/>
  <c r="I1798" i="4"/>
  <c r="H1798" i="4"/>
  <c r="G1798" i="4"/>
  <c r="I1797" i="4"/>
  <c r="H1797" i="4"/>
  <c r="G1797" i="4"/>
  <c r="I1796" i="4"/>
  <c r="H1796" i="4"/>
  <c r="G1796" i="4"/>
  <c r="I1795" i="4"/>
  <c r="H1795" i="4"/>
  <c r="G1795" i="4"/>
  <c r="I1794" i="4"/>
  <c r="H1794" i="4"/>
  <c r="G1794" i="4"/>
  <c r="I1793" i="4"/>
  <c r="H1793" i="4"/>
  <c r="G1793" i="4"/>
  <c r="I1792" i="4"/>
  <c r="H1792" i="4"/>
  <c r="G1792" i="4"/>
  <c r="I1791" i="4"/>
  <c r="H1791" i="4"/>
  <c r="G1791" i="4"/>
  <c r="I1790" i="4"/>
  <c r="H1790" i="4"/>
  <c r="G1790" i="4"/>
  <c r="I1789" i="4"/>
  <c r="H1789" i="4"/>
  <c r="G1789" i="4"/>
  <c r="I1788" i="4"/>
  <c r="H1788" i="4"/>
  <c r="G1788" i="4"/>
  <c r="I1787" i="4"/>
  <c r="H1787" i="4"/>
  <c r="G1787" i="4"/>
  <c r="I1786" i="4"/>
  <c r="H1786" i="4"/>
  <c r="G1786" i="4"/>
  <c r="I1785" i="4"/>
  <c r="H1785" i="4"/>
  <c r="G1785" i="4"/>
  <c r="I1784" i="4"/>
  <c r="H1784" i="4"/>
  <c r="G1784" i="4"/>
  <c r="I1783" i="4"/>
  <c r="H1783" i="4"/>
  <c r="G1783" i="4"/>
  <c r="I1782" i="4"/>
  <c r="H1782" i="4"/>
  <c r="G1782" i="4"/>
  <c r="I1781" i="4"/>
  <c r="H1781" i="4"/>
  <c r="G1781" i="4"/>
  <c r="I1780" i="4"/>
  <c r="H1780" i="4"/>
  <c r="G1780" i="4"/>
  <c r="I1779" i="4"/>
  <c r="H1779" i="4"/>
  <c r="G1779" i="4"/>
  <c r="I1778" i="4"/>
  <c r="H1778" i="4"/>
  <c r="G1778" i="4"/>
  <c r="I1777" i="4"/>
  <c r="H1777" i="4"/>
  <c r="G1777" i="4"/>
  <c r="I1776" i="4"/>
  <c r="H1776" i="4"/>
  <c r="G1776" i="4"/>
  <c r="I1775" i="4"/>
  <c r="H1775" i="4"/>
  <c r="G1775" i="4"/>
  <c r="I1774" i="4"/>
  <c r="H1774" i="4"/>
  <c r="G1774" i="4"/>
  <c r="I1773" i="4"/>
  <c r="H1773" i="4"/>
  <c r="G1773" i="4"/>
  <c r="I1772" i="4"/>
  <c r="H1772" i="4"/>
  <c r="G1772" i="4"/>
  <c r="I1771" i="4"/>
  <c r="H1771" i="4"/>
  <c r="G1771" i="4"/>
  <c r="I1770" i="4"/>
  <c r="H1770" i="4"/>
  <c r="G1770" i="4"/>
  <c r="I1769" i="4"/>
  <c r="H1769" i="4"/>
  <c r="G1769" i="4"/>
  <c r="I1768" i="4"/>
  <c r="H1768" i="4"/>
  <c r="G1768" i="4"/>
  <c r="I1767" i="4"/>
  <c r="H1767" i="4"/>
  <c r="G1767" i="4"/>
  <c r="I1766" i="4"/>
  <c r="H1766" i="4"/>
  <c r="G1766" i="4"/>
  <c r="I1765" i="4"/>
  <c r="H1765" i="4"/>
  <c r="G1765" i="4"/>
  <c r="I1764" i="4"/>
  <c r="H1764" i="4"/>
  <c r="G1764" i="4"/>
  <c r="I1763" i="4"/>
  <c r="H1763" i="4"/>
  <c r="G1763" i="4"/>
  <c r="I1762" i="4"/>
  <c r="H1762" i="4"/>
  <c r="G1762" i="4"/>
  <c r="I1761" i="4"/>
  <c r="H1761" i="4"/>
  <c r="G1761" i="4"/>
  <c r="I1760" i="4"/>
  <c r="H1760" i="4"/>
  <c r="G1760" i="4"/>
  <c r="I1759" i="4"/>
  <c r="H1759" i="4"/>
  <c r="G1759" i="4"/>
  <c r="I1758" i="4"/>
  <c r="H1758" i="4"/>
  <c r="G1758" i="4"/>
  <c r="I1757" i="4"/>
  <c r="H1757" i="4"/>
  <c r="G1757" i="4"/>
  <c r="I1756" i="4"/>
  <c r="H1756" i="4"/>
  <c r="G1756" i="4"/>
  <c r="I1755" i="4"/>
  <c r="H1755" i="4"/>
  <c r="G1755" i="4"/>
  <c r="I1754" i="4"/>
  <c r="H1754" i="4"/>
  <c r="G1754" i="4"/>
  <c r="I1753" i="4"/>
  <c r="H1753" i="4"/>
  <c r="G1753" i="4"/>
  <c r="I1752" i="4"/>
  <c r="H1752" i="4"/>
  <c r="G1752" i="4"/>
  <c r="I1751" i="4"/>
  <c r="H1751" i="4"/>
  <c r="G1751" i="4"/>
  <c r="I1750" i="4"/>
  <c r="H1750" i="4"/>
  <c r="G1750" i="4"/>
  <c r="I1749" i="4"/>
  <c r="H1749" i="4"/>
  <c r="G1749" i="4"/>
  <c r="I1748" i="4"/>
  <c r="H1748" i="4"/>
  <c r="G1748" i="4"/>
  <c r="I1747" i="4"/>
  <c r="H1747" i="4"/>
  <c r="G1747" i="4"/>
  <c r="I1746" i="4"/>
  <c r="H1746" i="4"/>
  <c r="G1746" i="4"/>
  <c r="I1745" i="4"/>
  <c r="H1745" i="4"/>
  <c r="G1745" i="4"/>
  <c r="I1744" i="4"/>
  <c r="H1744" i="4"/>
  <c r="G1744" i="4"/>
  <c r="I1743" i="4"/>
  <c r="H1743" i="4"/>
  <c r="G1743" i="4"/>
  <c r="I1742" i="4"/>
  <c r="H1742" i="4"/>
  <c r="G1742" i="4"/>
  <c r="I1741" i="4"/>
  <c r="H1741" i="4"/>
  <c r="G1741" i="4"/>
  <c r="I1740" i="4"/>
  <c r="H1740" i="4"/>
  <c r="G1740" i="4"/>
  <c r="I1739" i="4"/>
  <c r="H1739" i="4"/>
  <c r="G1739" i="4"/>
  <c r="I1738" i="4"/>
  <c r="H1738" i="4"/>
  <c r="G1738" i="4"/>
  <c r="I1737" i="4"/>
  <c r="H1737" i="4"/>
  <c r="G1737" i="4"/>
  <c r="I1736" i="4"/>
  <c r="H1736" i="4"/>
  <c r="G1736" i="4"/>
  <c r="I1735" i="4"/>
  <c r="H1735" i="4"/>
  <c r="G1735" i="4"/>
  <c r="I1734" i="4"/>
  <c r="H1734" i="4"/>
  <c r="G1734" i="4"/>
  <c r="I1733" i="4"/>
  <c r="H1733" i="4"/>
  <c r="G1733" i="4"/>
  <c r="I1732" i="4"/>
  <c r="H1732" i="4"/>
  <c r="G1732" i="4"/>
  <c r="I1731" i="4"/>
  <c r="H1731" i="4"/>
  <c r="G1731" i="4"/>
  <c r="I1730" i="4"/>
  <c r="H1730" i="4"/>
  <c r="G1730" i="4"/>
  <c r="I1729" i="4"/>
  <c r="H1729" i="4"/>
  <c r="G1729" i="4"/>
  <c r="I1728" i="4"/>
  <c r="H1728" i="4"/>
  <c r="G1728" i="4"/>
  <c r="I1727" i="4"/>
  <c r="H1727" i="4"/>
  <c r="G1727" i="4"/>
  <c r="I1726" i="4"/>
  <c r="H1726" i="4"/>
  <c r="G1726" i="4"/>
  <c r="I1725" i="4"/>
  <c r="H1725" i="4"/>
  <c r="G1725" i="4"/>
  <c r="I1724" i="4"/>
  <c r="H1724" i="4"/>
  <c r="G1724" i="4"/>
  <c r="I1723" i="4"/>
  <c r="H1723" i="4"/>
  <c r="G1723" i="4"/>
  <c r="I1722" i="4"/>
  <c r="H1722" i="4"/>
  <c r="G1722" i="4"/>
  <c r="I1721" i="4"/>
  <c r="H1721" i="4"/>
  <c r="G1721" i="4"/>
  <c r="I1720" i="4"/>
  <c r="H1720" i="4"/>
  <c r="G1720" i="4"/>
  <c r="I1719" i="4"/>
  <c r="H1719" i="4"/>
  <c r="G1719" i="4"/>
  <c r="I1718" i="4"/>
  <c r="H1718" i="4"/>
  <c r="G1718" i="4"/>
  <c r="I1717" i="4"/>
  <c r="H1717" i="4"/>
  <c r="G1717" i="4"/>
  <c r="I1716" i="4"/>
  <c r="H1716" i="4"/>
  <c r="G1716" i="4"/>
  <c r="I1715" i="4"/>
  <c r="H1715" i="4"/>
  <c r="G1715" i="4"/>
  <c r="I1714" i="4"/>
  <c r="H1714" i="4"/>
  <c r="G1714" i="4"/>
  <c r="I1713" i="4"/>
  <c r="H1713" i="4"/>
  <c r="G1713" i="4"/>
  <c r="I1712" i="4"/>
  <c r="H1712" i="4"/>
  <c r="G1712" i="4"/>
  <c r="I1711" i="4"/>
  <c r="H1711" i="4"/>
  <c r="G1711" i="4"/>
  <c r="I1710" i="4"/>
  <c r="H1710" i="4"/>
  <c r="G1710" i="4"/>
  <c r="I1709" i="4"/>
  <c r="H1709" i="4"/>
  <c r="G1709" i="4"/>
  <c r="I1708" i="4"/>
  <c r="H1708" i="4"/>
  <c r="G1708" i="4"/>
  <c r="I1707" i="4"/>
  <c r="H1707" i="4"/>
  <c r="G1707" i="4"/>
  <c r="I1706" i="4"/>
  <c r="H1706" i="4"/>
  <c r="G1706" i="4"/>
  <c r="I1705" i="4"/>
  <c r="H1705" i="4"/>
  <c r="G1705" i="4"/>
  <c r="I1704" i="4"/>
  <c r="H1704" i="4"/>
  <c r="G1704" i="4"/>
  <c r="I1703" i="4"/>
  <c r="H1703" i="4"/>
  <c r="G1703" i="4"/>
  <c r="I1702" i="4"/>
  <c r="H1702" i="4"/>
  <c r="G1702" i="4"/>
  <c r="I1701" i="4"/>
  <c r="H1701" i="4"/>
  <c r="G1701" i="4"/>
  <c r="I1700" i="4"/>
  <c r="H1700" i="4"/>
  <c r="G1700" i="4"/>
  <c r="I1699" i="4"/>
  <c r="H1699" i="4"/>
  <c r="G1699" i="4"/>
  <c r="I1698" i="4"/>
  <c r="H1698" i="4"/>
  <c r="G1698" i="4"/>
  <c r="I1697" i="4"/>
  <c r="H1697" i="4"/>
  <c r="G1697" i="4"/>
  <c r="I1696" i="4"/>
  <c r="H1696" i="4"/>
  <c r="G1696" i="4"/>
  <c r="I1695" i="4"/>
  <c r="H1695" i="4"/>
  <c r="G1695" i="4"/>
  <c r="I1694" i="4"/>
  <c r="H1694" i="4"/>
  <c r="G1694" i="4"/>
  <c r="I1693" i="4"/>
  <c r="H1693" i="4"/>
  <c r="G1693" i="4"/>
  <c r="I1692" i="4"/>
  <c r="H1692" i="4"/>
  <c r="G1692" i="4"/>
  <c r="I1691" i="4"/>
  <c r="H1691" i="4"/>
  <c r="G1691" i="4"/>
  <c r="I1690" i="4"/>
  <c r="H1690" i="4"/>
  <c r="G1690" i="4"/>
  <c r="I1689" i="4"/>
  <c r="H1689" i="4"/>
  <c r="G1689" i="4"/>
  <c r="I1688" i="4"/>
  <c r="H1688" i="4"/>
  <c r="G1688" i="4"/>
  <c r="I1687" i="4"/>
  <c r="H1687" i="4"/>
  <c r="G1687" i="4"/>
  <c r="I1686" i="4"/>
  <c r="H1686" i="4"/>
  <c r="G1686" i="4"/>
  <c r="I1685" i="4"/>
  <c r="H1685" i="4"/>
  <c r="G1685" i="4"/>
  <c r="I1684" i="4"/>
  <c r="H1684" i="4"/>
  <c r="G1684" i="4"/>
  <c r="I1683" i="4"/>
  <c r="H1683" i="4"/>
  <c r="G1683" i="4"/>
  <c r="I1682" i="4"/>
  <c r="H1682" i="4"/>
  <c r="G1682" i="4"/>
  <c r="I1681" i="4"/>
  <c r="H1681" i="4"/>
  <c r="G1681" i="4"/>
  <c r="I1680" i="4"/>
  <c r="H1680" i="4"/>
  <c r="G1680" i="4"/>
  <c r="I1679" i="4"/>
  <c r="H1679" i="4"/>
  <c r="G1679" i="4"/>
  <c r="I1678" i="4"/>
  <c r="H1678" i="4"/>
  <c r="G1678" i="4"/>
  <c r="I1677" i="4"/>
  <c r="H1677" i="4"/>
  <c r="G1677" i="4"/>
  <c r="I1676" i="4"/>
  <c r="H1676" i="4"/>
  <c r="G1676" i="4"/>
  <c r="I1675" i="4"/>
  <c r="H1675" i="4"/>
  <c r="G1675" i="4"/>
  <c r="I1674" i="4"/>
  <c r="H1674" i="4"/>
  <c r="G1674" i="4"/>
  <c r="I1673" i="4"/>
  <c r="H1673" i="4"/>
  <c r="G1673" i="4"/>
  <c r="I1672" i="4"/>
  <c r="H1672" i="4"/>
  <c r="G1672" i="4"/>
  <c r="I1671" i="4"/>
  <c r="H1671" i="4"/>
  <c r="G1671" i="4"/>
  <c r="I1670" i="4"/>
  <c r="H1670" i="4"/>
  <c r="G1670" i="4"/>
  <c r="I1669" i="4"/>
  <c r="H1669" i="4"/>
  <c r="G1669" i="4"/>
  <c r="I1668" i="4"/>
  <c r="H1668" i="4"/>
  <c r="G1668" i="4"/>
  <c r="I1667" i="4"/>
  <c r="H1667" i="4"/>
  <c r="G1667" i="4"/>
  <c r="I1666" i="4"/>
  <c r="H1666" i="4"/>
  <c r="G1666" i="4"/>
  <c r="I1665" i="4"/>
  <c r="H1665" i="4"/>
  <c r="G1665" i="4"/>
  <c r="I1664" i="4"/>
  <c r="H1664" i="4"/>
  <c r="G1664" i="4"/>
  <c r="I1663" i="4"/>
  <c r="H1663" i="4"/>
  <c r="G1663" i="4"/>
  <c r="I1662" i="4"/>
  <c r="H1662" i="4"/>
  <c r="G1662" i="4"/>
  <c r="I1661" i="4"/>
  <c r="H1661" i="4"/>
  <c r="G1661" i="4"/>
  <c r="I1660" i="4"/>
  <c r="H1660" i="4"/>
  <c r="G1660" i="4"/>
  <c r="I1659" i="4"/>
  <c r="H1659" i="4"/>
  <c r="G1659" i="4"/>
  <c r="I1658" i="4"/>
  <c r="H1658" i="4"/>
  <c r="G1658" i="4"/>
  <c r="I1657" i="4"/>
  <c r="H1657" i="4"/>
  <c r="G1657" i="4"/>
  <c r="I1656" i="4"/>
  <c r="H1656" i="4"/>
  <c r="G1656" i="4"/>
  <c r="I1655" i="4"/>
  <c r="H1655" i="4"/>
  <c r="G1655" i="4"/>
  <c r="I1654" i="4"/>
  <c r="H1654" i="4"/>
  <c r="G1654" i="4"/>
  <c r="I1653" i="4"/>
  <c r="H1653" i="4"/>
  <c r="G1653" i="4"/>
  <c r="I1652" i="4"/>
  <c r="H1652" i="4"/>
  <c r="G1652" i="4"/>
  <c r="I1651" i="4"/>
  <c r="H1651" i="4"/>
  <c r="G1651" i="4"/>
  <c r="I1650" i="4"/>
  <c r="H1650" i="4"/>
  <c r="G1650" i="4"/>
  <c r="I1649" i="4"/>
  <c r="H1649" i="4"/>
  <c r="G1649" i="4"/>
  <c r="I1648" i="4"/>
  <c r="H1648" i="4"/>
  <c r="G1648" i="4"/>
  <c r="I1647" i="4"/>
  <c r="H1647" i="4"/>
  <c r="G1647" i="4"/>
  <c r="I1646" i="4"/>
  <c r="H1646" i="4"/>
  <c r="G1646" i="4"/>
  <c r="I1645" i="4"/>
  <c r="H1645" i="4"/>
  <c r="G1645" i="4"/>
  <c r="I1644" i="4"/>
  <c r="H1644" i="4"/>
  <c r="G1644" i="4"/>
  <c r="I1643" i="4"/>
  <c r="H1643" i="4"/>
  <c r="G1643" i="4"/>
  <c r="I1642" i="4"/>
  <c r="H1642" i="4"/>
  <c r="G1642" i="4"/>
  <c r="I1641" i="4"/>
  <c r="H1641" i="4"/>
  <c r="G1641" i="4"/>
  <c r="I1640" i="4"/>
  <c r="H1640" i="4"/>
  <c r="G1640" i="4"/>
  <c r="I1639" i="4"/>
  <c r="H1639" i="4"/>
  <c r="G1639" i="4"/>
  <c r="I1638" i="4"/>
  <c r="H1638" i="4"/>
  <c r="G1638" i="4"/>
  <c r="I1637" i="4"/>
  <c r="H1637" i="4"/>
  <c r="G1637" i="4"/>
  <c r="I1636" i="4"/>
  <c r="H1636" i="4"/>
  <c r="G1636" i="4"/>
  <c r="I1635" i="4"/>
  <c r="H1635" i="4"/>
  <c r="G1635" i="4"/>
  <c r="I1634" i="4"/>
  <c r="H1634" i="4"/>
  <c r="G1634" i="4"/>
  <c r="I1633" i="4"/>
  <c r="H1633" i="4"/>
  <c r="G1633" i="4"/>
  <c r="I1632" i="4"/>
  <c r="H1632" i="4"/>
  <c r="G1632" i="4"/>
  <c r="I1631" i="4"/>
  <c r="H1631" i="4"/>
  <c r="G1631" i="4"/>
  <c r="I1630" i="4"/>
  <c r="H1630" i="4"/>
  <c r="G1630" i="4"/>
  <c r="I1629" i="4"/>
  <c r="H1629" i="4"/>
  <c r="G1629" i="4"/>
  <c r="I1628" i="4"/>
  <c r="H1628" i="4"/>
  <c r="G1628" i="4"/>
  <c r="I1627" i="4"/>
  <c r="H1627" i="4"/>
  <c r="G1627" i="4"/>
  <c r="I1626" i="4"/>
  <c r="H1626" i="4"/>
  <c r="G1626" i="4"/>
  <c r="I1625" i="4"/>
  <c r="H1625" i="4"/>
  <c r="G1625" i="4"/>
  <c r="I1624" i="4"/>
  <c r="H1624" i="4"/>
  <c r="G1624" i="4"/>
  <c r="I1623" i="4"/>
  <c r="H1623" i="4"/>
  <c r="G1623" i="4"/>
  <c r="I1622" i="4"/>
  <c r="H1622" i="4"/>
  <c r="G1622" i="4"/>
  <c r="I1621" i="4"/>
  <c r="H1621" i="4"/>
  <c r="G1621" i="4"/>
  <c r="I1620" i="4"/>
  <c r="H1620" i="4"/>
  <c r="G1620" i="4"/>
  <c r="I1619" i="4"/>
  <c r="H1619" i="4"/>
  <c r="G1619" i="4"/>
  <c r="I1618" i="4"/>
  <c r="H1618" i="4"/>
  <c r="G1618" i="4"/>
  <c r="I1617" i="4"/>
  <c r="H1617" i="4"/>
  <c r="G1617" i="4"/>
  <c r="I1616" i="4"/>
  <c r="H1616" i="4"/>
  <c r="G1616" i="4"/>
  <c r="I1615" i="4"/>
  <c r="H1615" i="4"/>
  <c r="G1615" i="4"/>
  <c r="I1614" i="4"/>
  <c r="H1614" i="4"/>
  <c r="G1614" i="4"/>
  <c r="I1613" i="4"/>
  <c r="H1613" i="4"/>
  <c r="G1613" i="4"/>
  <c r="I1612" i="4"/>
  <c r="H1612" i="4"/>
  <c r="G1612" i="4"/>
  <c r="I1611" i="4"/>
  <c r="H1611" i="4"/>
  <c r="G1611" i="4"/>
  <c r="I1610" i="4"/>
  <c r="H1610" i="4"/>
  <c r="G1610" i="4"/>
  <c r="I1609" i="4"/>
  <c r="H1609" i="4"/>
  <c r="G1609" i="4"/>
  <c r="I1608" i="4"/>
  <c r="H1608" i="4"/>
  <c r="G1608" i="4"/>
  <c r="I1607" i="4"/>
  <c r="H1607" i="4"/>
  <c r="G1607" i="4"/>
  <c r="I1606" i="4"/>
  <c r="H1606" i="4"/>
  <c r="G1606" i="4"/>
  <c r="I1605" i="4"/>
  <c r="H1605" i="4"/>
  <c r="G1605" i="4"/>
  <c r="I1604" i="4"/>
  <c r="H1604" i="4"/>
  <c r="G1604" i="4"/>
  <c r="I1603" i="4"/>
  <c r="H1603" i="4"/>
  <c r="G1603" i="4"/>
  <c r="I1602" i="4"/>
  <c r="H1602" i="4"/>
  <c r="G1602" i="4"/>
  <c r="I1601" i="4"/>
  <c r="H1601" i="4"/>
  <c r="G1601" i="4"/>
  <c r="I1600" i="4"/>
  <c r="H1600" i="4"/>
  <c r="G1600" i="4"/>
  <c r="I1599" i="4"/>
  <c r="H1599" i="4"/>
  <c r="G1599" i="4"/>
  <c r="I1598" i="4"/>
  <c r="H1598" i="4"/>
  <c r="G1598" i="4"/>
  <c r="I1597" i="4"/>
  <c r="H1597" i="4"/>
  <c r="G1597" i="4"/>
  <c r="I1596" i="4"/>
  <c r="H1596" i="4"/>
  <c r="G1596" i="4"/>
  <c r="I1595" i="4"/>
  <c r="H1595" i="4"/>
  <c r="G1595" i="4"/>
  <c r="I1594" i="4"/>
  <c r="H1594" i="4"/>
  <c r="G1594" i="4"/>
  <c r="I1593" i="4"/>
  <c r="H1593" i="4"/>
  <c r="G1593" i="4"/>
  <c r="I1592" i="4"/>
  <c r="H1592" i="4"/>
  <c r="G1592" i="4"/>
  <c r="I1591" i="4"/>
  <c r="H1591" i="4"/>
  <c r="G1591" i="4"/>
  <c r="I1590" i="4"/>
  <c r="H1590" i="4"/>
  <c r="G1590" i="4"/>
  <c r="I1589" i="4"/>
  <c r="H1589" i="4"/>
  <c r="G1589" i="4"/>
  <c r="I1588" i="4"/>
  <c r="H1588" i="4"/>
  <c r="G1588" i="4"/>
  <c r="I1587" i="4"/>
  <c r="H1587" i="4"/>
  <c r="G1587" i="4"/>
  <c r="I1586" i="4"/>
  <c r="H1586" i="4"/>
  <c r="G1586" i="4"/>
  <c r="I1585" i="4"/>
  <c r="H1585" i="4"/>
  <c r="G1585" i="4"/>
  <c r="I1584" i="4"/>
  <c r="H1584" i="4"/>
  <c r="G1584" i="4"/>
  <c r="I1583" i="4"/>
  <c r="H1583" i="4"/>
  <c r="G1583" i="4"/>
  <c r="I1582" i="4"/>
  <c r="H1582" i="4"/>
  <c r="G1582" i="4"/>
  <c r="I1581" i="4"/>
  <c r="H1581" i="4"/>
  <c r="G1581" i="4"/>
  <c r="I1580" i="4"/>
  <c r="H1580" i="4"/>
  <c r="G1580" i="4"/>
  <c r="I1579" i="4"/>
  <c r="H1579" i="4"/>
  <c r="G1579" i="4"/>
  <c r="I1578" i="4"/>
  <c r="H1578" i="4"/>
  <c r="G1578" i="4"/>
  <c r="I1577" i="4"/>
  <c r="H1577" i="4"/>
  <c r="G1577" i="4"/>
  <c r="I1576" i="4"/>
  <c r="H1576" i="4"/>
  <c r="G1576" i="4"/>
  <c r="I1575" i="4"/>
  <c r="H1575" i="4"/>
  <c r="G1575" i="4"/>
  <c r="I1574" i="4"/>
  <c r="H1574" i="4"/>
  <c r="G1574" i="4"/>
  <c r="I1573" i="4"/>
  <c r="H1573" i="4"/>
  <c r="G1573" i="4"/>
  <c r="I1572" i="4"/>
  <c r="H1572" i="4"/>
  <c r="G1572" i="4"/>
  <c r="I1571" i="4"/>
  <c r="H1571" i="4"/>
  <c r="G1571" i="4"/>
  <c r="I1570" i="4"/>
  <c r="H1570" i="4"/>
  <c r="G1570" i="4"/>
  <c r="I1569" i="4"/>
  <c r="H1569" i="4"/>
  <c r="G1569" i="4"/>
  <c r="I1568" i="4"/>
  <c r="H1568" i="4"/>
  <c r="G1568" i="4"/>
  <c r="I1567" i="4"/>
  <c r="H1567" i="4"/>
  <c r="G1567" i="4"/>
  <c r="I1566" i="4"/>
  <c r="H1566" i="4"/>
  <c r="G1566" i="4"/>
  <c r="I1565" i="4"/>
  <c r="H1565" i="4"/>
  <c r="G1565" i="4"/>
  <c r="I1564" i="4"/>
  <c r="H1564" i="4"/>
  <c r="G1564" i="4"/>
  <c r="I1563" i="4"/>
  <c r="H1563" i="4"/>
  <c r="G1563" i="4"/>
  <c r="I1562" i="4"/>
  <c r="H1562" i="4"/>
  <c r="G1562" i="4"/>
  <c r="I1561" i="4"/>
  <c r="H1561" i="4"/>
  <c r="G1561" i="4"/>
  <c r="I1560" i="4"/>
  <c r="H1560" i="4"/>
  <c r="G1560" i="4"/>
  <c r="I1559" i="4"/>
  <c r="H1559" i="4"/>
  <c r="G1559" i="4"/>
  <c r="I1558" i="4"/>
  <c r="H1558" i="4"/>
  <c r="G1558" i="4"/>
  <c r="I1557" i="4"/>
  <c r="H1557" i="4"/>
  <c r="G1557" i="4"/>
  <c r="I1556" i="4"/>
  <c r="H1556" i="4"/>
  <c r="G1556" i="4"/>
  <c r="I1555" i="4"/>
  <c r="H1555" i="4"/>
  <c r="G1555" i="4"/>
  <c r="I1554" i="4"/>
  <c r="H1554" i="4"/>
  <c r="G1554" i="4"/>
  <c r="I1553" i="4"/>
  <c r="H1553" i="4"/>
  <c r="G1553" i="4"/>
  <c r="I1552" i="4"/>
  <c r="H1552" i="4"/>
  <c r="G1552" i="4"/>
  <c r="I1551" i="4"/>
  <c r="H1551" i="4"/>
  <c r="G1551" i="4"/>
  <c r="I1550" i="4"/>
  <c r="H1550" i="4"/>
  <c r="G1550" i="4"/>
  <c r="I1549" i="4"/>
  <c r="H1549" i="4"/>
  <c r="G1549" i="4"/>
  <c r="I1548" i="4"/>
  <c r="H1548" i="4"/>
  <c r="G1548" i="4"/>
  <c r="I1547" i="4"/>
  <c r="H1547" i="4"/>
  <c r="G1547" i="4"/>
  <c r="I1546" i="4"/>
  <c r="H1546" i="4"/>
  <c r="G1546" i="4"/>
  <c r="I1545" i="4"/>
  <c r="H1545" i="4"/>
  <c r="G1545" i="4"/>
  <c r="I1544" i="4"/>
  <c r="H1544" i="4"/>
  <c r="G1544" i="4"/>
  <c r="I1543" i="4"/>
  <c r="H1543" i="4"/>
  <c r="G1543" i="4"/>
  <c r="I1542" i="4"/>
  <c r="H1542" i="4"/>
  <c r="G1542" i="4"/>
  <c r="I1541" i="4"/>
  <c r="H1541" i="4"/>
  <c r="G1541" i="4"/>
  <c r="I1540" i="4"/>
  <c r="H1540" i="4"/>
  <c r="G1540" i="4"/>
  <c r="I1539" i="4"/>
  <c r="H1539" i="4"/>
  <c r="G1539" i="4"/>
  <c r="I1538" i="4"/>
  <c r="H1538" i="4"/>
  <c r="G1538" i="4"/>
  <c r="I1537" i="4"/>
  <c r="H1537" i="4"/>
  <c r="G1537" i="4"/>
  <c r="I1536" i="4"/>
  <c r="H1536" i="4"/>
  <c r="G1536" i="4"/>
  <c r="I1535" i="4"/>
  <c r="H1535" i="4"/>
  <c r="G1535" i="4"/>
  <c r="I1534" i="4"/>
  <c r="H1534" i="4"/>
  <c r="G1534" i="4"/>
  <c r="I1533" i="4"/>
  <c r="H1533" i="4"/>
  <c r="G1533" i="4"/>
  <c r="I1532" i="4"/>
  <c r="H1532" i="4"/>
  <c r="G1532" i="4"/>
  <c r="I1531" i="4"/>
  <c r="H1531" i="4"/>
  <c r="G1531" i="4"/>
  <c r="I1530" i="4"/>
  <c r="H1530" i="4"/>
  <c r="G1530" i="4"/>
  <c r="I1529" i="4"/>
  <c r="H1529" i="4"/>
  <c r="G1529" i="4"/>
  <c r="I1528" i="4"/>
  <c r="H1528" i="4"/>
  <c r="G1528" i="4"/>
  <c r="I1527" i="4"/>
  <c r="H1527" i="4"/>
  <c r="G1527" i="4"/>
  <c r="I1526" i="4"/>
  <c r="H1526" i="4"/>
  <c r="G1526" i="4"/>
  <c r="I1525" i="4"/>
  <c r="H1525" i="4"/>
  <c r="G1525" i="4"/>
  <c r="I1524" i="4"/>
  <c r="H1524" i="4"/>
  <c r="G1524" i="4"/>
  <c r="I1523" i="4"/>
  <c r="H1523" i="4"/>
  <c r="G1523" i="4"/>
  <c r="I1522" i="4"/>
  <c r="H1522" i="4"/>
  <c r="G1522" i="4"/>
  <c r="I1521" i="4"/>
  <c r="H1521" i="4"/>
  <c r="G1521" i="4"/>
  <c r="I1520" i="4"/>
  <c r="H1520" i="4"/>
  <c r="G1520" i="4"/>
  <c r="I1519" i="4"/>
  <c r="H1519" i="4"/>
  <c r="G1519" i="4"/>
  <c r="I1518" i="4"/>
  <c r="H1518" i="4"/>
  <c r="G1518" i="4"/>
  <c r="I1517" i="4"/>
  <c r="H1517" i="4"/>
  <c r="G1517" i="4"/>
  <c r="I1516" i="4"/>
  <c r="H1516" i="4"/>
  <c r="G1516" i="4"/>
  <c r="I1515" i="4"/>
  <c r="H1515" i="4"/>
  <c r="G1515" i="4"/>
  <c r="I1514" i="4"/>
  <c r="H1514" i="4"/>
  <c r="G1514" i="4"/>
  <c r="I1513" i="4"/>
  <c r="H1513" i="4"/>
  <c r="G1513" i="4"/>
  <c r="I1512" i="4"/>
  <c r="H1512" i="4"/>
  <c r="G1512" i="4"/>
  <c r="I1511" i="4"/>
  <c r="H1511" i="4"/>
  <c r="G1511" i="4"/>
  <c r="I1510" i="4"/>
  <c r="H1510" i="4"/>
  <c r="G1510" i="4"/>
  <c r="I1509" i="4"/>
  <c r="H1509" i="4"/>
  <c r="G1509" i="4"/>
  <c r="I1508" i="4"/>
  <c r="H1508" i="4"/>
  <c r="G1508" i="4"/>
  <c r="I1507" i="4"/>
  <c r="H1507" i="4"/>
  <c r="G1507" i="4"/>
  <c r="I1506" i="4"/>
  <c r="H1506" i="4"/>
  <c r="G1506" i="4"/>
  <c r="I1505" i="4"/>
  <c r="H1505" i="4"/>
  <c r="G1505" i="4"/>
  <c r="I1504" i="4"/>
  <c r="H1504" i="4"/>
  <c r="G1504" i="4"/>
  <c r="I1503" i="4"/>
  <c r="H1503" i="4"/>
  <c r="G1503" i="4"/>
  <c r="I1502" i="4"/>
  <c r="H1502" i="4"/>
  <c r="G1502" i="4"/>
  <c r="I1501" i="4"/>
  <c r="H1501" i="4"/>
  <c r="G1501" i="4"/>
  <c r="I1500" i="4"/>
  <c r="H1500" i="4"/>
  <c r="G1500" i="4"/>
  <c r="I1499" i="4"/>
  <c r="H1499" i="4"/>
  <c r="G1499" i="4"/>
  <c r="I1498" i="4"/>
  <c r="H1498" i="4"/>
  <c r="G1498" i="4"/>
  <c r="I1497" i="4"/>
  <c r="H1497" i="4"/>
  <c r="G1497" i="4"/>
  <c r="I1496" i="4"/>
  <c r="H1496" i="4"/>
  <c r="G1496" i="4"/>
  <c r="I1495" i="4"/>
  <c r="H1495" i="4"/>
  <c r="G1495" i="4"/>
  <c r="I1494" i="4"/>
  <c r="H1494" i="4"/>
  <c r="G1494" i="4"/>
  <c r="I1493" i="4"/>
  <c r="H1493" i="4"/>
  <c r="G1493" i="4"/>
  <c r="I1492" i="4"/>
  <c r="H1492" i="4"/>
  <c r="G1492" i="4"/>
  <c r="I1491" i="4"/>
  <c r="H1491" i="4"/>
  <c r="G1491" i="4"/>
  <c r="I1490" i="4"/>
  <c r="H1490" i="4"/>
  <c r="G1490" i="4"/>
  <c r="I1489" i="4"/>
  <c r="H1489" i="4"/>
  <c r="G1489" i="4"/>
  <c r="I1488" i="4"/>
  <c r="H1488" i="4"/>
  <c r="G1488" i="4"/>
  <c r="I1487" i="4"/>
  <c r="H1487" i="4"/>
  <c r="G1487" i="4"/>
  <c r="I1486" i="4"/>
  <c r="H1486" i="4"/>
  <c r="G1486" i="4"/>
  <c r="I1485" i="4"/>
  <c r="H1485" i="4"/>
  <c r="G1485" i="4"/>
  <c r="I1484" i="4"/>
  <c r="H1484" i="4"/>
  <c r="G1484" i="4"/>
  <c r="I1483" i="4"/>
  <c r="H1483" i="4"/>
  <c r="G1483" i="4"/>
  <c r="I1482" i="4"/>
  <c r="H1482" i="4"/>
  <c r="G1482" i="4"/>
  <c r="I1481" i="4"/>
  <c r="H1481" i="4"/>
  <c r="G1481" i="4"/>
  <c r="I1480" i="4"/>
  <c r="H1480" i="4"/>
  <c r="G1480" i="4"/>
  <c r="I1479" i="4"/>
  <c r="H1479" i="4"/>
  <c r="G1479" i="4"/>
  <c r="I1478" i="4"/>
  <c r="H1478" i="4"/>
  <c r="G1478" i="4"/>
  <c r="I1477" i="4"/>
  <c r="H1477" i="4"/>
  <c r="G1477" i="4"/>
  <c r="I1476" i="4"/>
  <c r="H1476" i="4"/>
  <c r="G1476" i="4"/>
  <c r="I1475" i="4"/>
  <c r="H1475" i="4"/>
  <c r="G1475" i="4"/>
  <c r="I1474" i="4"/>
  <c r="H1474" i="4"/>
  <c r="G1474" i="4"/>
  <c r="I1473" i="4"/>
  <c r="H1473" i="4"/>
  <c r="G1473" i="4"/>
  <c r="I1472" i="4"/>
  <c r="H1472" i="4"/>
  <c r="G1472" i="4"/>
  <c r="I1471" i="4"/>
  <c r="H1471" i="4"/>
  <c r="G1471" i="4"/>
  <c r="I1470" i="4"/>
  <c r="H1470" i="4"/>
  <c r="G1470" i="4"/>
  <c r="I1469" i="4"/>
  <c r="H1469" i="4"/>
  <c r="G1469" i="4"/>
  <c r="I1468" i="4"/>
  <c r="H1468" i="4"/>
  <c r="G1468" i="4"/>
  <c r="I1467" i="4"/>
  <c r="H1467" i="4"/>
  <c r="G1467" i="4"/>
  <c r="I1466" i="4"/>
  <c r="H1466" i="4"/>
  <c r="G1466" i="4"/>
  <c r="I1465" i="4"/>
  <c r="H1465" i="4"/>
  <c r="G1465" i="4"/>
  <c r="I1464" i="4"/>
  <c r="H1464" i="4"/>
  <c r="G1464" i="4"/>
  <c r="I1463" i="4"/>
  <c r="H1463" i="4"/>
  <c r="G1463" i="4"/>
  <c r="I1462" i="4"/>
  <c r="H1462" i="4"/>
  <c r="G1462" i="4"/>
  <c r="I1461" i="4"/>
  <c r="H1461" i="4"/>
  <c r="G1461" i="4"/>
  <c r="I1460" i="4"/>
  <c r="H1460" i="4"/>
  <c r="G1460" i="4"/>
  <c r="I1459" i="4"/>
  <c r="H1459" i="4"/>
  <c r="G1459" i="4"/>
  <c r="I1458" i="4"/>
  <c r="H1458" i="4"/>
  <c r="G1458" i="4"/>
  <c r="I1457" i="4"/>
  <c r="H1457" i="4"/>
  <c r="G1457" i="4"/>
  <c r="I1456" i="4"/>
  <c r="H1456" i="4"/>
  <c r="G1456" i="4"/>
  <c r="I1455" i="4"/>
  <c r="H1455" i="4"/>
  <c r="G1455" i="4"/>
  <c r="I1454" i="4"/>
  <c r="H1454" i="4"/>
  <c r="G1454" i="4"/>
  <c r="I1453" i="4"/>
  <c r="H1453" i="4"/>
  <c r="G1453" i="4"/>
  <c r="I1452" i="4"/>
  <c r="H1452" i="4"/>
  <c r="G1452" i="4"/>
  <c r="I1451" i="4"/>
  <c r="H1451" i="4"/>
  <c r="G1451" i="4"/>
  <c r="I1450" i="4"/>
  <c r="H1450" i="4"/>
  <c r="G1450" i="4"/>
  <c r="I1449" i="4"/>
  <c r="H1449" i="4"/>
  <c r="G1449" i="4"/>
  <c r="I1448" i="4"/>
  <c r="H1448" i="4"/>
  <c r="G1448" i="4"/>
  <c r="I1447" i="4"/>
  <c r="H1447" i="4"/>
  <c r="G1447" i="4"/>
  <c r="I1446" i="4"/>
  <c r="H1446" i="4"/>
  <c r="G1446" i="4"/>
  <c r="I1445" i="4"/>
  <c r="H1445" i="4"/>
  <c r="G1445" i="4"/>
  <c r="I1444" i="4"/>
  <c r="H1444" i="4"/>
  <c r="G1444" i="4"/>
  <c r="I1443" i="4"/>
  <c r="H1443" i="4"/>
  <c r="G1443" i="4"/>
  <c r="I1442" i="4"/>
  <c r="H1442" i="4"/>
  <c r="G1442" i="4"/>
  <c r="I1441" i="4"/>
  <c r="H1441" i="4"/>
  <c r="G1441" i="4"/>
  <c r="I1440" i="4"/>
  <c r="H1440" i="4"/>
  <c r="G1440" i="4"/>
  <c r="I1439" i="4"/>
  <c r="H1439" i="4"/>
  <c r="G1439" i="4"/>
  <c r="I1438" i="4"/>
  <c r="H1438" i="4"/>
  <c r="G1438" i="4"/>
  <c r="I1437" i="4"/>
  <c r="H1437" i="4"/>
  <c r="G1437" i="4"/>
  <c r="I1436" i="4"/>
  <c r="H1436" i="4"/>
  <c r="G1436" i="4"/>
  <c r="I1435" i="4"/>
  <c r="H1435" i="4"/>
  <c r="G1435" i="4"/>
  <c r="I1434" i="4"/>
  <c r="H1434" i="4"/>
  <c r="G1434" i="4"/>
  <c r="I1433" i="4"/>
  <c r="H1433" i="4"/>
  <c r="G1433" i="4"/>
  <c r="I1432" i="4"/>
  <c r="H1432" i="4"/>
  <c r="G1432" i="4"/>
  <c r="I1431" i="4"/>
  <c r="H1431" i="4"/>
  <c r="G1431" i="4"/>
  <c r="I1430" i="4"/>
  <c r="H1430" i="4"/>
  <c r="G1430" i="4"/>
  <c r="I1429" i="4"/>
  <c r="H1429" i="4"/>
  <c r="G1429" i="4"/>
  <c r="I1428" i="4"/>
  <c r="H1428" i="4"/>
  <c r="G1428" i="4"/>
  <c r="I1427" i="4"/>
  <c r="H1427" i="4"/>
  <c r="G1427" i="4"/>
  <c r="I1426" i="4"/>
  <c r="H1426" i="4"/>
  <c r="G1426" i="4"/>
  <c r="I1425" i="4"/>
  <c r="H1425" i="4"/>
  <c r="G1425" i="4"/>
  <c r="I1424" i="4"/>
  <c r="H1424" i="4"/>
  <c r="G1424" i="4"/>
  <c r="I1423" i="4"/>
  <c r="H1423" i="4"/>
  <c r="G1423" i="4"/>
  <c r="I1422" i="4"/>
  <c r="H1422" i="4"/>
  <c r="G1422" i="4"/>
  <c r="I1421" i="4"/>
  <c r="H1421" i="4"/>
  <c r="G1421" i="4"/>
  <c r="I1420" i="4"/>
  <c r="H1420" i="4"/>
  <c r="G1420" i="4"/>
  <c r="I1419" i="4"/>
  <c r="H1419" i="4"/>
  <c r="G1419" i="4"/>
  <c r="I1418" i="4"/>
  <c r="H1418" i="4"/>
  <c r="G1418" i="4"/>
  <c r="I1417" i="4"/>
  <c r="H1417" i="4"/>
  <c r="G1417" i="4"/>
  <c r="I1416" i="4"/>
  <c r="H1416" i="4"/>
  <c r="G1416" i="4"/>
  <c r="I1415" i="4"/>
  <c r="H1415" i="4"/>
  <c r="G1415" i="4"/>
  <c r="I1414" i="4"/>
  <c r="H1414" i="4"/>
  <c r="G1414" i="4"/>
  <c r="I1413" i="4"/>
  <c r="H1413" i="4"/>
  <c r="G1413" i="4"/>
  <c r="I1412" i="4"/>
  <c r="H1412" i="4"/>
  <c r="G1412" i="4"/>
  <c r="I1411" i="4"/>
  <c r="H1411" i="4"/>
  <c r="G1411" i="4"/>
  <c r="I1410" i="4"/>
  <c r="H1410" i="4"/>
  <c r="G1410" i="4"/>
  <c r="I1409" i="4"/>
  <c r="H1409" i="4"/>
  <c r="G1409" i="4"/>
  <c r="I1408" i="4"/>
  <c r="H1408" i="4"/>
  <c r="G1408" i="4"/>
  <c r="I1407" i="4"/>
  <c r="H1407" i="4"/>
  <c r="G1407" i="4"/>
  <c r="I1406" i="4"/>
  <c r="H1406" i="4"/>
  <c r="G1406" i="4"/>
  <c r="I1405" i="4"/>
  <c r="H1405" i="4"/>
  <c r="G1405" i="4"/>
  <c r="I1404" i="4"/>
  <c r="H1404" i="4"/>
  <c r="G1404" i="4"/>
  <c r="I1403" i="4"/>
  <c r="H1403" i="4"/>
  <c r="G1403" i="4"/>
  <c r="I1402" i="4"/>
  <c r="H1402" i="4"/>
  <c r="G1402" i="4"/>
  <c r="I1401" i="4"/>
  <c r="H1401" i="4"/>
  <c r="G1401" i="4"/>
  <c r="I1400" i="4"/>
  <c r="H1400" i="4"/>
  <c r="G1400" i="4"/>
  <c r="I1399" i="4"/>
  <c r="H1399" i="4"/>
  <c r="G1399" i="4"/>
  <c r="I1398" i="4"/>
  <c r="H1398" i="4"/>
  <c r="G1398" i="4"/>
  <c r="I1397" i="4"/>
  <c r="H1397" i="4"/>
  <c r="G1397" i="4"/>
  <c r="I1396" i="4"/>
  <c r="H1396" i="4"/>
  <c r="G1396" i="4"/>
  <c r="I1395" i="4"/>
  <c r="H1395" i="4"/>
  <c r="G1395" i="4"/>
  <c r="I1394" i="4"/>
  <c r="H1394" i="4"/>
  <c r="G1394" i="4"/>
  <c r="I1393" i="4"/>
  <c r="H1393" i="4"/>
  <c r="G1393" i="4"/>
  <c r="I1392" i="4"/>
  <c r="H1392" i="4"/>
  <c r="G1392" i="4"/>
  <c r="I1391" i="4"/>
  <c r="H1391" i="4"/>
  <c r="G1391" i="4"/>
  <c r="I1390" i="4"/>
  <c r="H1390" i="4"/>
  <c r="G1390" i="4"/>
  <c r="I1389" i="4"/>
  <c r="H1389" i="4"/>
  <c r="G1389" i="4"/>
  <c r="I1388" i="4"/>
  <c r="H1388" i="4"/>
  <c r="G1388" i="4"/>
  <c r="I1387" i="4"/>
  <c r="H1387" i="4"/>
  <c r="G1387" i="4"/>
  <c r="I1386" i="4"/>
  <c r="H1386" i="4"/>
  <c r="G1386" i="4"/>
  <c r="I1385" i="4"/>
  <c r="H1385" i="4"/>
  <c r="G1385" i="4"/>
  <c r="I1384" i="4"/>
  <c r="H1384" i="4"/>
  <c r="G1384" i="4"/>
  <c r="I1383" i="4"/>
  <c r="H1383" i="4"/>
  <c r="G1383" i="4"/>
  <c r="I1382" i="4"/>
  <c r="H1382" i="4"/>
  <c r="G1382" i="4"/>
  <c r="I1381" i="4"/>
  <c r="H1381" i="4"/>
  <c r="G1381" i="4"/>
  <c r="I1380" i="4"/>
  <c r="H1380" i="4"/>
  <c r="G1380" i="4"/>
  <c r="I1379" i="4"/>
  <c r="H1379" i="4"/>
  <c r="G1379" i="4"/>
  <c r="I1378" i="4"/>
  <c r="H1378" i="4"/>
  <c r="G1378" i="4"/>
  <c r="I1377" i="4"/>
  <c r="H1377" i="4"/>
  <c r="G1377" i="4"/>
  <c r="I1376" i="4"/>
  <c r="H1376" i="4"/>
  <c r="G1376" i="4"/>
  <c r="I1375" i="4"/>
  <c r="H1375" i="4"/>
  <c r="G1375" i="4"/>
  <c r="I1374" i="4"/>
  <c r="H1374" i="4"/>
  <c r="G1374" i="4"/>
  <c r="I1373" i="4"/>
  <c r="H1373" i="4"/>
  <c r="G1373" i="4"/>
  <c r="I1372" i="4"/>
  <c r="H1372" i="4"/>
  <c r="G1372" i="4"/>
  <c r="I1371" i="4"/>
  <c r="H1371" i="4"/>
  <c r="G1371" i="4"/>
  <c r="I1370" i="4"/>
  <c r="H1370" i="4"/>
  <c r="G1370" i="4"/>
  <c r="I1369" i="4"/>
  <c r="H1369" i="4"/>
  <c r="G1369" i="4"/>
  <c r="I1368" i="4"/>
  <c r="H1368" i="4"/>
  <c r="G1368" i="4"/>
  <c r="I1367" i="4"/>
  <c r="H1367" i="4"/>
  <c r="G1367" i="4"/>
  <c r="I1366" i="4"/>
  <c r="H1366" i="4"/>
  <c r="G1366" i="4"/>
  <c r="I1365" i="4"/>
  <c r="H1365" i="4"/>
  <c r="G1365" i="4"/>
  <c r="I1364" i="4"/>
  <c r="H1364" i="4"/>
  <c r="G1364" i="4"/>
  <c r="I1363" i="4"/>
  <c r="H1363" i="4"/>
  <c r="G1363" i="4"/>
  <c r="I1362" i="4"/>
  <c r="H1362" i="4"/>
  <c r="G1362" i="4"/>
  <c r="I1361" i="4"/>
  <c r="H1361" i="4"/>
  <c r="G1361" i="4"/>
  <c r="I1360" i="4"/>
  <c r="H1360" i="4"/>
  <c r="G1360" i="4"/>
  <c r="I1359" i="4"/>
  <c r="H1359" i="4"/>
  <c r="G1359" i="4"/>
  <c r="I1358" i="4"/>
  <c r="H1358" i="4"/>
  <c r="G1358" i="4"/>
  <c r="I1357" i="4"/>
  <c r="H1357" i="4"/>
  <c r="G1357" i="4"/>
  <c r="I1356" i="4"/>
  <c r="H1356" i="4"/>
  <c r="G1356" i="4"/>
  <c r="I1355" i="4"/>
  <c r="H1355" i="4"/>
  <c r="G1355" i="4"/>
  <c r="I1354" i="4"/>
  <c r="H1354" i="4"/>
  <c r="G1354" i="4"/>
  <c r="I1353" i="4"/>
  <c r="H1353" i="4"/>
  <c r="G1353" i="4"/>
  <c r="I1352" i="4"/>
  <c r="H1352" i="4"/>
  <c r="G1352" i="4"/>
  <c r="I1351" i="4"/>
  <c r="H1351" i="4"/>
  <c r="G1351" i="4"/>
  <c r="I1350" i="4"/>
  <c r="H1350" i="4"/>
  <c r="G1350" i="4"/>
  <c r="I1349" i="4"/>
  <c r="H1349" i="4"/>
  <c r="G1349" i="4"/>
  <c r="I1348" i="4"/>
  <c r="H1348" i="4"/>
  <c r="G1348" i="4"/>
  <c r="I1347" i="4"/>
  <c r="H1347" i="4"/>
  <c r="G1347" i="4"/>
  <c r="I1346" i="4"/>
  <c r="H1346" i="4"/>
  <c r="G1346" i="4"/>
  <c r="I1345" i="4"/>
  <c r="H1345" i="4"/>
  <c r="G1345" i="4"/>
  <c r="I1344" i="4"/>
  <c r="H1344" i="4"/>
  <c r="G1344" i="4"/>
  <c r="I1343" i="4"/>
  <c r="H1343" i="4"/>
  <c r="G1343" i="4"/>
  <c r="I1342" i="4"/>
  <c r="H1342" i="4"/>
  <c r="G1342" i="4"/>
  <c r="I1341" i="4"/>
  <c r="H1341" i="4"/>
  <c r="G1341" i="4"/>
  <c r="I1340" i="4"/>
  <c r="H1340" i="4"/>
  <c r="G1340" i="4"/>
  <c r="I1339" i="4"/>
  <c r="H1339" i="4"/>
  <c r="G1339" i="4"/>
  <c r="I1338" i="4"/>
  <c r="H1338" i="4"/>
  <c r="G1338" i="4"/>
  <c r="I1337" i="4"/>
  <c r="H1337" i="4"/>
  <c r="G1337" i="4"/>
  <c r="I1336" i="4"/>
  <c r="H1336" i="4"/>
  <c r="G1336" i="4"/>
  <c r="I1335" i="4"/>
  <c r="H1335" i="4"/>
  <c r="G1335" i="4"/>
  <c r="I1334" i="4"/>
  <c r="H1334" i="4"/>
  <c r="G1334" i="4"/>
  <c r="I1333" i="4"/>
  <c r="H1333" i="4"/>
  <c r="G1333" i="4"/>
  <c r="I1332" i="4"/>
  <c r="H1332" i="4"/>
  <c r="G1332" i="4"/>
  <c r="I1331" i="4"/>
  <c r="H1331" i="4"/>
  <c r="G1331" i="4"/>
  <c r="I1330" i="4"/>
  <c r="H1330" i="4"/>
  <c r="G1330" i="4"/>
  <c r="I1329" i="4"/>
  <c r="H1329" i="4"/>
  <c r="G1329" i="4"/>
  <c r="I1328" i="4"/>
  <c r="H1328" i="4"/>
  <c r="G1328" i="4"/>
  <c r="I1327" i="4"/>
  <c r="H1327" i="4"/>
  <c r="G1327" i="4"/>
  <c r="I1326" i="4"/>
  <c r="H1326" i="4"/>
  <c r="G1326" i="4"/>
  <c r="I1325" i="4"/>
  <c r="H1325" i="4"/>
  <c r="G1325" i="4"/>
  <c r="I1324" i="4"/>
  <c r="H1324" i="4"/>
  <c r="G1324" i="4"/>
  <c r="I1323" i="4"/>
  <c r="H1323" i="4"/>
  <c r="G1323" i="4"/>
  <c r="I1322" i="4"/>
  <c r="H1322" i="4"/>
  <c r="G1322" i="4"/>
  <c r="I1321" i="4"/>
  <c r="H1321" i="4"/>
  <c r="G1321" i="4"/>
  <c r="I1320" i="4"/>
  <c r="H1320" i="4"/>
  <c r="G1320" i="4"/>
  <c r="I1319" i="4"/>
  <c r="H1319" i="4"/>
  <c r="G1319" i="4"/>
  <c r="I1318" i="4"/>
  <c r="H1318" i="4"/>
  <c r="G1318" i="4"/>
  <c r="I1317" i="4"/>
  <c r="H1317" i="4"/>
  <c r="G1317" i="4"/>
  <c r="I1316" i="4"/>
  <c r="H1316" i="4"/>
  <c r="G1316" i="4"/>
  <c r="I1315" i="4"/>
  <c r="H1315" i="4"/>
  <c r="G1315" i="4"/>
  <c r="I1314" i="4"/>
  <c r="H1314" i="4"/>
  <c r="G1314" i="4"/>
  <c r="I1313" i="4"/>
  <c r="H1313" i="4"/>
  <c r="G1313" i="4"/>
  <c r="I1312" i="4"/>
  <c r="H1312" i="4"/>
  <c r="G1312" i="4"/>
  <c r="I1311" i="4"/>
  <c r="H1311" i="4"/>
  <c r="G1311" i="4"/>
  <c r="I1310" i="4"/>
  <c r="H1310" i="4"/>
  <c r="G1310" i="4"/>
  <c r="I1309" i="4"/>
  <c r="H1309" i="4"/>
  <c r="G1309" i="4"/>
  <c r="I1308" i="4"/>
  <c r="H1308" i="4"/>
  <c r="G1308" i="4"/>
  <c r="I1307" i="4"/>
  <c r="H1307" i="4"/>
  <c r="G1307" i="4"/>
  <c r="I1306" i="4"/>
  <c r="H1306" i="4"/>
  <c r="G1306" i="4"/>
  <c r="I1305" i="4"/>
  <c r="H1305" i="4"/>
  <c r="G1305" i="4"/>
  <c r="I1304" i="4"/>
  <c r="H1304" i="4"/>
  <c r="G1304" i="4"/>
  <c r="I1303" i="4"/>
  <c r="H1303" i="4"/>
  <c r="G1303" i="4"/>
  <c r="I1302" i="4"/>
  <c r="H1302" i="4"/>
  <c r="G1302" i="4"/>
  <c r="I1301" i="4"/>
  <c r="H1301" i="4"/>
  <c r="G1301" i="4"/>
  <c r="I1300" i="4"/>
  <c r="H1300" i="4"/>
  <c r="G1300" i="4"/>
  <c r="I1299" i="4"/>
  <c r="H1299" i="4"/>
  <c r="G1299" i="4"/>
  <c r="I1298" i="4"/>
  <c r="H1298" i="4"/>
  <c r="G1298" i="4"/>
  <c r="I1297" i="4"/>
  <c r="H1297" i="4"/>
  <c r="G1297" i="4"/>
  <c r="I1296" i="4"/>
  <c r="H1296" i="4"/>
  <c r="G1296" i="4"/>
  <c r="I1295" i="4"/>
  <c r="H1295" i="4"/>
  <c r="G1295" i="4"/>
  <c r="I1294" i="4"/>
  <c r="H1294" i="4"/>
  <c r="G1294" i="4"/>
  <c r="I1293" i="4"/>
  <c r="H1293" i="4"/>
  <c r="G1293" i="4"/>
  <c r="I1292" i="4"/>
  <c r="H1292" i="4"/>
  <c r="G1292" i="4"/>
  <c r="I1291" i="4"/>
  <c r="H1291" i="4"/>
  <c r="G1291" i="4"/>
  <c r="I1290" i="4"/>
  <c r="H1290" i="4"/>
  <c r="G1290" i="4"/>
  <c r="I1289" i="4"/>
  <c r="H1289" i="4"/>
  <c r="G1289" i="4"/>
  <c r="I1288" i="4"/>
  <c r="H1288" i="4"/>
  <c r="G1288" i="4"/>
  <c r="I1287" i="4"/>
  <c r="H1287" i="4"/>
  <c r="G1287" i="4"/>
  <c r="I1286" i="4"/>
  <c r="H1286" i="4"/>
  <c r="G1286" i="4"/>
  <c r="I1285" i="4"/>
  <c r="H1285" i="4"/>
  <c r="G1285" i="4"/>
  <c r="I1284" i="4"/>
  <c r="H1284" i="4"/>
  <c r="G1284" i="4"/>
  <c r="I1283" i="4"/>
  <c r="H1283" i="4"/>
  <c r="G1283" i="4"/>
  <c r="I1282" i="4"/>
  <c r="H1282" i="4"/>
  <c r="G1282" i="4"/>
  <c r="I1281" i="4"/>
  <c r="H1281" i="4"/>
  <c r="G1281" i="4"/>
  <c r="I1280" i="4"/>
  <c r="H1280" i="4"/>
  <c r="G1280" i="4"/>
  <c r="I1279" i="4"/>
  <c r="H1279" i="4"/>
  <c r="G1279" i="4"/>
  <c r="I1278" i="4"/>
  <c r="H1278" i="4"/>
  <c r="G1278" i="4"/>
  <c r="I1277" i="4"/>
  <c r="H1277" i="4"/>
  <c r="G1277" i="4"/>
  <c r="I1276" i="4"/>
  <c r="H1276" i="4"/>
  <c r="G1276" i="4"/>
  <c r="I1275" i="4"/>
  <c r="H1275" i="4"/>
  <c r="G1275" i="4"/>
  <c r="I1274" i="4"/>
  <c r="H1274" i="4"/>
  <c r="G1274" i="4"/>
  <c r="I1273" i="4"/>
  <c r="H1273" i="4"/>
  <c r="G1273" i="4"/>
  <c r="I1272" i="4"/>
  <c r="H1272" i="4"/>
  <c r="G1272" i="4"/>
  <c r="I1271" i="4"/>
  <c r="H1271" i="4"/>
  <c r="G1271" i="4"/>
  <c r="I1270" i="4"/>
  <c r="H1270" i="4"/>
  <c r="G1270" i="4"/>
  <c r="I1269" i="4"/>
  <c r="H1269" i="4"/>
  <c r="G1269" i="4"/>
  <c r="I1268" i="4"/>
  <c r="H1268" i="4"/>
  <c r="G1268" i="4"/>
  <c r="I1267" i="4"/>
  <c r="H1267" i="4"/>
  <c r="G1267" i="4"/>
  <c r="I1266" i="4"/>
  <c r="H1266" i="4"/>
  <c r="G1266" i="4"/>
  <c r="I1265" i="4"/>
  <c r="H1265" i="4"/>
  <c r="G1265" i="4"/>
  <c r="I1264" i="4"/>
  <c r="H1264" i="4"/>
  <c r="G1264" i="4"/>
  <c r="I1263" i="4"/>
  <c r="H1263" i="4"/>
  <c r="G1263" i="4"/>
  <c r="I1262" i="4"/>
  <c r="H1262" i="4"/>
  <c r="G1262" i="4"/>
  <c r="I1261" i="4"/>
  <c r="H1261" i="4"/>
  <c r="G1261" i="4"/>
  <c r="I1260" i="4"/>
  <c r="H1260" i="4"/>
  <c r="G1260" i="4"/>
  <c r="I1259" i="4"/>
  <c r="H1259" i="4"/>
  <c r="G1259" i="4"/>
  <c r="I1258" i="4"/>
  <c r="H1258" i="4"/>
  <c r="G1258" i="4"/>
  <c r="I1257" i="4"/>
  <c r="H1257" i="4"/>
  <c r="G1257" i="4"/>
  <c r="I1256" i="4"/>
  <c r="H1256" i="4"/>
  <c r="G1256" i="4"/>
  <c r="I1255" i="4"/>
  <c r="H1255" i="4"/>
  <c r="G1255" i="4"/>
  <c r="I1254" i="4"/>
  <c r="H1254" i="4"/>
  <c r="G1254" i="4"/>
  <c r="I1253" i="4"/>
  <c r="H1253" i="4"/>
  <c r="G1253" i="4"/>
  <c r="I1252" i="4"/>
  <c r="H1252" i="4"/>
  <c r="G1252" i="4"/>
  <c r="I1251" i="4"/>
  <c r="H1251" i="4"/>
  <c r="G1251" i="4"/>
  <c r="I1250" i="4"/>
  <c r="H1250" i="4"/>
  <c r="G1250" i="4"/>
  <c r="I1249" i="4"/>
  <c r="H1249" i="4"/>
  <c r="G1249" i="4"/>
  <c r="I1248" i="4"/>
  <c r="H1248" i="4"/>
  <c r="G1248" i="4"/>
  <c r="I1247" i="4"/>
  <c r="H1247" i="4"/>
  <c r="G1247" i="4"/>
  <c r="I1246" i="4"/>
  <c r="H1246" i="4"/>
  <c r="G1246" i="4"/>
  <c r="I1245" i="4"/>
  <c r="H1245" i="4"/>
  <c r="G1245" i="4"/>
  <c r="I1244" i="4"/>
  <c r="H1244" i="4"/>
  <c r="G1244" i="4"/>
  <c r="I1243" i="4"/>
  <c r="H1243" i="4"/>
  <c r="G1243" i="4"/>
  <c r="I1242" i="4"/>
  <c r="H1242" i="4"/>
  <c r="G1242" i="4"/>
  <c r="I1241" i="4"/>
  <c r="H1241" i="4"/>
  <c r="G1241" i="4"/>
  <c r="I1240" i="4"/>
  <c r="H1240" i="4"/>
  <c r="G1240" i="4"/>
  <c r="I1239" i="4"/>
  <c r="H1239" i="4"/>
  <c r="G1239" i="4"/>
  <c r="I1238" i="4"/>
  <c r="H1238" i="4"/>
  <c r="G1238" i="4"/>
  <c r="I1237" i="4"/>
  <c r="H1237" i="4"/>
  <c r="G1237" i="4"/>
  <c r="I1236" i="4"/>
  <c r="H1236" i="4"/>
  <c r="G1236" i="4"/>
  <c r="I1235" i="4"/>
  <c r="H1235" i="4"/>
  <c r="G1235" i="4"/>
  <c r="I1234" i="4"/>
  <c r="H1234" i="4"/>
  <c r="G1234" i="4"/>
  <c r="I1233" i="4"/>
  <c r="H1233" i="4"/>
  <c r="G1233" i="4"/>
  <c r="I1232" i="4"/>
  <c r="H1232" i="4"/>
  <c r="G1232" i="4"/>
  <c r="I1231" i="4"/>
  <c r="H1231" i="4"/>
  <c r="G1231" i="4"/>
  <c r="I1230" i="4"/>
  <c r="H1230" i="4"/>
  <c r="G1230" i="4"/>
  <c r="I1229" i="4"/>
  <c r="H1229" i="4"/>
  <c r="G1229" i="4"/>
  <c r="I1228" i="4"/>
  <c r="H1228" i="4"/>
  <c r="G1228" i="4"/>
  <c r="I1227" i="4"/>
  <c r="H1227" i="4"/>
  <c r="G1227" i="4"/>
  <c r="I1226" i="4"/>
  <c r="H1226" i="4"/>
  <c r="G1226" i="4"/>
  <c r="I1225" i="4"/>
  <c r="H1225" i="4"/>
  <c r="G1225" i="4"/>
  <c r="I1224" i="4"/>
  <c r="H1224" i="4"/>
  <c r="G1224" i="4"/>
  <c r="I1223" i="4"/>
  <c r="H1223" i="4"/>
  <c r="G1223" i="4"/>
  <c r="I1222" i="4"/>
  <c r="H1222" i="4"/>
  <c r="G1222" i="4"/>
  <c r="I1221" i="4"/>
  <c r="H1221" i="4"/>
  <c r="G1221" i="4"/>
  <c r="I1220" i="4"/>
  <c r="H1220" i="4"/>
  <c r="G1220" i="4"/>
  <c r="I1219" i="4"/>
  <c r="H1219" i="4"/>
  <c r="G1219" i="4"/>
  <c r="I1218" i="4"/>
  <c r="H1218" i="4"/>
  <c r="G1218" i="4"/>
  <c r="I1217" i="4"/>
  <c r="H1217" i="4"/>
  <c r="G1217" i="4"/>
  <c r="I1216" i="4"/>
  <c r="H1216" i="4"/>
  <c r="G1216" i="4"/>
  <c r="I1215" i="4"/>
  <c r="H1215" i="4"/>
  <c r="G1215" i="4"/>
  <c r="I1214" i="4"/>
  <c r="H1214" i="4"/>
  <c r="G1214" i="4"/>
  <c r="I1213" i="4"/>
  <c r="H1213" i="4"/>
  <c r="G1213" i="4"/>
  <c r="I1212" i="4"/>
  <c r="H1212" i="4"/>
  <c r="G1212" i="4"/>
  <c r="I1211" i="4"/>
  <c r="H1211" i="4"/>
  <c r="G1211" i="4"/>
  <c r="I1210" i="4"/>
  <c r="H1210" i="4"/>
  <c r="G1210" i="4"/>
  <c r="I1209" i="4"/>
  <c r="H1209" i="4"/>
  <c r="G1209" i="4"/>
  <c r="I1208" i="4"/>
  <c r="H1208" i="4"/>
  <c r="G1208" i="4"/>
  <c r="I1207" i="4"/>
  <c r="H1207" i="4"/>
  <c r="G1207" i="4"/>
  <c r="I1206" i="4"/>
  <c r="H1206" i="4"/>
  <c r="G1206" i="4"/>
  <c r="I1205" i="4"/>
  <c r="H1205" i="4"/>
  <c r="G1205" i="4"/>
  <c r="I1204" i="4"/>
  <c r="H1204" i="4"/>
  <c r="G1204" i="4"/>
  <c r="I1203" i="4"/>
  <c r="H1203" i="4"/>
  <c r="G1203" i="4"/>
  <c r="I1202" i="4"/>
  <c r="H1202" i="4"/>
  <c r="G1202" i="4"/>
  <c r="I1201" i="4"/>
  <c r="H1201" i="4"/>
  <c r="G1201" i="4"/>
  <c r="I1200" i="4"/>
  <c r="H1200" i="4"/>
  <c r="G1200" i="4"/>
  <c r="I1199" i="4"/>
  <c r="H1199" i="4"/>
  <c r="G1199" i="4"/>
  <c r="I1198" i="4"/>
  <c r="H1198" i="4"/>
  <c r="G1198" i="4"/>
  <c r="I1197" i="4"/>
  <c r="H1197" i="4"/>
  <c r="G1197" i="4"/>
  <c r="I1196" i="4"/>
  <c r="H1196" i="4"/>
  <c r="G1196" i="4"/>
  <c r="I1195" i="4"/>
  <c r="H1195" i="4"/>
  <c r="G1195" i="4"/>
  <c r="I1194" i="4"/>
  <c r="H1194" i="4"/>
  <c r="G1194" i="4"/>
  <c r="I1193" i="4"/>
  <c r="H1193" i="4"/>
  <c r="G1193" i="4"/>
  <c r="I1192" i="4"/>
  <c r="H1192" i="4"/>
  <c r="G1192" i="4"/>
  <c r="I1191" i="4"/>
  <c r="H1191" i="4"/>
  <c r="G1191" i="4"/>
  <c r="I1190" i="4"/>
  <c r="H1190" i="4"/>
  <c r="G1190" i="4"/>
  <c r="I1189" i="4"/>
  <c r="H1189" i="4"/>
  <c r="G1189" i="4"/>
  <c r="I1188" i="4"/>
  <c r="H1188" i="4"/>
  <c r="G1188" i="4"/>
  <c r="I1187" i="4"/>
  <c r="H1187" i="4"/>
  <c r="G1187" i="4"/>
  <c r="I1186" i="4"/>
  <c r="H1186" i="4"/>
  <c r="G1186" i="4"/>
  <c r="I1185" i="4"/>
  <c r="H1185" i="4"/>
  <c r="G1185" i="4"/>
  <c r="I1184" i="4"/>
  <c r="H1184" i="4"/>
  <c r="G1184" i="4"/>
  <c r="I1183" i="4"/>
  <c r="H1183" i="4"/>
  <c r="G1183" i="4"/>
  <c r="I1182" i="4"/>
  <c r="H1182" i="4"/>
  <c r="G1182" i="4"/>
  <c r="I1181" i="4"/>
  <c r="H1181" i="4"/>
  <c r="G1181" i="4"/>
  <c r="I1180" i="4"/>
  <c r="H1180" i="4"/>
  <c r="G1180" i="4"/>
  <c r="I1179" i="4"/>
  <c r="H1179" i="4"/>
  <c r="G1179" i="4"/>
  <c r="I1178" i="4"/>
  <c r="H1178" i="4"/>
  <c r="G1178" i="4"/>
  <c r="I1177" i="4"/>
  <c r="H1177" i="4"/>
  <c r="G1177" i="4"/>
  <c r="I1176" i="4"/>
  <c r="H1176" i="4"/>
  <c r="G1176" i="4"/>
  <c r="I1175" i="4"/>
  <c r="H1175" i="4"/>
  <c r="G1175" i="4"/>
  <c r="I1174" i="4"/>
  <c r="H1174" i="4"/>
  <c r="G1174" i="4"/>
  <c r="I1173" i="4"/>
  <c r="H1173" i="4"/>
  <c r="G1173" i="4"/>
  <c r="I1172" i="4"/>
  <c r="H1172" i="4"/>
  <c r="G1172" i="4"/>
  <c r="I1171" i="4"/>
  <c r="H1171" i="4"/>
  <c r="G1171" i="4"/>
  <c r="I1170" i="4"/>
  <c r="H1170" i="4"/>
  <c r="G1170" i="4"/>
  <c r="I1169" i="4"/>
  <c r="H1169" i="4"/>
  <c r="G1169" i="4"/>
  <c r="I1168" i="4"/>
  <c r="H1168" i="4"/>
  <c r="G1168" i="4"/>
  <c r="I1167" i="4"/>
  <c r="H1167" i="4"/>
  <c r="G1167" i="4"/>
  <c r="I1166" i="4"/>
  <c r="H1166" i="4"/>
  <c r="G1166" i="4"/>
  <c r="I1165" i="4"/>
  <c r="H1165" i="4"/>
  <c r="G1165" i="4"/>
  <c r="I1164" i="4"/>
  <c r="H1164" i="4"/>
  <c r="G1164" i="4"/>
  <c r="I1163" i="4"/>
  <c r="H1163" i="4"/>
  <c r="G1163" i="4"/>
  <c r="I1162" i="4"/>
  <c r="H1162" i="4"/>
  <c r="G1162" i="4"/>
  <c r="I1161" i="4"/>
  <c r="H1161" i="4"/>
  <c r="G1161" i="4"/>
  <c r="I1160" i="4"/>
  <c r="H1160" i="4"/>
  <c r="G1160" i="4"/>
  <c r="I1159" i="4"/>
  <c r="H1159" i="4"/>
  <c r="G1159" i="4"/>
  <c r="I1158" i="4"/>
  <c r="H1158" i="4"/>
  <c r="G1158" i="4"/>
  <c r="I1157" i="4"/>
  <c r="H1157" i="4"/>
  <c r="G1157" i="4"/>
  <c r="I1156" i="4"/>
  <c r="H1156" i="4"/>
  <c r="G1156" i="4"/>
  <c r="I1155" i="4"/>
  <c r="H1155" i="4"/>
  <c r="G1155" i="4"/>
  <c r="I1154" i="4"/>
  <c r="H1154" i="4"/>
  <c r="G1154" i="4"/>
  <c r="I1153" i="4"/>
  <c r="H1153" i="4"/>
  <c r="G1153" i="4"/>
  <c r="I1152" i="4"/>
  <c r="H1152" i="4"/>
  <c r="G1152" i="4"/>
  <c r="I1151" i="4"/>
  <c r="H1151" i="4"/>
  <c r="G1151" i="4"/>
  <c r="I1150" i="4"/>
  <c r="H1150" i="4"/>
  <c r="G1150" i="4"/>
  <c r="I1149" i="4"/>
  <c r="H1149" i="4"/>
  <c r="G1149" i="4"/>
  <c r="I1148" i="4"/>
  <c r="H1148" i="4"/>
  <c r="G1148" i="4"/>
  <c r="I1147" i="4"/>
  <c r="H1147" i="4"/>
  <c r="G1147" i="4"/>
  <c r="I1146" i="4"/>
  <c r="H1146" i="4"/>
  <c r="G1146" i="4"/>
  <c r="I1145" i="4"/>
  <c r="H1145" i="4"/>
  <c r="G1145" i="4"/>
  <c r="I1144" i="4"/>
  <c r="H1144" i="4"/>
  <c r="G1144" i="4"/>
  <c r="I1143" i="4"/>
  <c r="H1143" i="4"/>
  <c r="G1143" i="4"/>
  <c r="I1142" i="4"/>
  <c r="H1142" i="4"/>
  <c r="G1142" i="4"/>
  <c r="I1141" i="4"/>
  <c r="H1141" i="4"/>
  <c r="G1141" i="4"/>
  <c r="I1140" i="4"/>
  <c r="H1140" i="4"/>
  <c r="G1140" i="4"/>
  <c r="I1139" i="4"/>
  <c r="H1139" i="4"/>
  <c r="G1139" i="4"/>
  <c r="I1138" i="4"/>
  <c r="H1138" i="4"/>
  <c r="G1138" i="4"/>
  <c r="I1137" i="4"/>
  <c r="H1137" i="4"/>
  <c r="G1137" i="4"/>
  <c r="I1136" i="4"/>
  <c r="H1136" i="4"/>
  <c r="G1136" i="4"/>
  <c r="I1135" i="4"/>
  <c r="H1135" i="4"/>
  <c r="G1135" i="4"/>
  <c r="I1134" i="4"/>
  <c r="H1134" i="4"/>
  <c r="G1134" i="4"/>
  <c r="I1133" i="4"/>
  <c r="H1133" i="4"/>
  <c r="G1133" i="4"/>
  <c r="I1132" i="4"/>
  <c r="H1132" i="4"/>
  <c r="G1132" i="4"/>
  <c r="I1131" i="4"/>
  <c r="H1131" i="4"/>
  <c r="G1131" i="4"/>
  <c r="I1130" i="4"/>
  <c r="H1130" i="4"/>
  <c r="G1130" i="4"/>
  <c r="I1129" i="4"/>
  <c r="H1129" i="4"/>
  <c r="G1129" i="4"/>
  <c r="I1128" i="4"/>
  <c r="H1128" i="4"/>
  <c r="G1128" i="4"/>
  <c r="I1127" i="4"/>
  <c r="H1127" i="4"/>
  <c r="G1127" i="4"/>
  <c r="I1126" i="4"/>
  <c r="H1126" i="4"/>
  <c r="G1126" i="4"/>
  <c r="I1125" i="4"/>
  <c r="H1125" i="4"/>
  <c r="G1125" i="4"/>
  <c r="I1124" i="4"/>
  <c r="H1124" i="4"/>
  <c r="G1124" i="4"/>
  <c r="I1123" i="4"/>
  <c r="H1123" i="4"/>
  <c r="G1123" i="4"/>
  <c r="I1122" i="4"/>
  <c r="H1122" i="4"/>
  <c r="G1122" i="4"/>
  <c r="I1121" i="4"/>
  <c r="H1121" i="4"/>
  <c r="G1121" i="4"/>
  <c r="I1120" i="4"/>
  <c r="H1120" i="4"/>
  <c r="G1120" i="4"/>
  <c r="I1119" i="4"/>
  <c r="H1119" i="4"/>
  <c r="G1119" i="4"/>
  <c r="I1118" i="4"/>
  <c r="H1118" i="4"/>
  <c r="G1118" i="4"/>
  <c r="I1117" i="4"/>
  <c r="H1117" i="4"/>
  <c r="G1117" i="4"/>
  <c r="I1116" i="4"/>
  <c r="H1116" i="4"/>
  <c r="G1116" i="4"/>
  <c r="I1115" i="4"/>
  <c r="H1115" i="4"/>
  <c r="G1115" i="4"/>
  <c r="I1114" i="4"/>
  <c r="H1114" i="4"/>
  <c r="G1114" i="4"/>
  <c r="I1113" i="4"/>
  <c r="H1113" i="4"/>
  <c r="G1113" i="4"/>
  <c r="I1112" i="4"/>
  <c r="H1112" i="4"/>
  <c r="G1112" i="4"/>
  <c r="I1111" i="4"/>
  <c r="H1111" i="4"/>
  <c r="G1111" i="4"/>
  <c r="I1110" i="4"/>
  <c r="H1110" i="4"/>
  <c r="G1110" i="4"/>
  <c r="I1109" i="4"/>
  <c r="H1109" i="4"/>
  <c r="G1109" i="4"/>
  <c r="I1108" i="4"/>
  <c r="H1108" i="4"/>
  <c r="G1108" i="4"/>
  <c r="I1107" i="4"/>
  <c r="H1107" i="4"/>
  <c r="G1107" i="4"/>
  <c r="I1106" i="4"/>
  <c r="H1106" i="4"/>
  <c r="G1106" i="4"/>
  <c r="I1105" i="4"/>
  <c r="H1105" i="4"/>
  <c r="G1105" i="4"/>
  <c r="I1104" i="4"/>
  <c r="H1104" i="4"/>
  <c r="G1104" i="4"/>
  <c r="I1103" i="4"/>
  <c r="H1103" i="4"/>
  <c r="G1103" i="4"/>
  <c r="I1102" i="4"/>
  <c r="H1102" i="4"/>
  <c r="G1102" i="4"/>
  <c r="I1101" i="4"/>
  <c r="H1101" i="4"/>
  <c r="G1101" i="4"/>
  <c r="I1100" i="4"/>
  <c r="H1100" i="4"/>
  <c r="G1100" i="4"/>
  <c r="I1099" i="4"/>
  <c r="H1099" i="4"/>
  <c r="G1099" i="4"/>
  <c r="I1098" i="4"/>
  <c r="H1098" i="4"/>
  <c r="G1098" i="4"/>
  <c r="I1097" i="4"/>
  <c r="H1097" i="4"/>
  <c r="G1097" i="4"/>
  <c r="I1096" i="4"/>
  <c r="H1096" i="4"/>
  <c r="G1096" i="4"/>
  <c r="I1095" i="4"/>
  <c r="H1095" i="4"/>
  <c r="G1095" i="4"/>
  <c r="I1094" i="4"/>
  <c r="H1094" i="4"/>
  <c r="G1094" i="4"/>
  <c r="I1093" i="4"/>
  <c r="H1093" i="4"/>
  <c r="G1093" i="4"/>
  <c r="I1092" i="4"/>
  <c r="H1092" i="4"/>
  <c r="G1092" i="4"/>
  <c r="I1091" i="4"/>
  <c r="H1091" i="4"/>
  <c r="G1091" i="4"/>
  <c r="I1090" i="4"/>
  <c r="H1090" i="4"/>
  <c r="G1090" i="4"/>
  <c r="I1089" i="4"/>
  <c r="H1089" i="4"/>
  <c r="G1089" i="4"/>
  <c r="I1088" i="4"/>
  <c r="H1088" i="4"/>
  <c r="G1088" i="4"/>
  <c r="I1087" i="4"/>
  <c r="H1087" i="4"/>
  <c r="G1087" i="4"/>
  <c r="I1086" i="4"/>
  <c r="H1086" i="4"/>
  <c r="G1086" i="4"/>
  <c r="I1085" i="4"/>
  <c r="H1085" i="4"/>
  <c r="G1085" i="4"/>
  <c r="I1084" i="4"/>
  <c r="H1084" i="4"/>
  <c r="G1084" i="4"/>
  <c r="I1083" i="4"/>
  <c r="H1083" i="4"/>
  <c r="G1083" i="4"/>
  <c r="I1082" i="4"/>
  <c r="H1082" i="4"/>
  <c r="G1082" i="4"/>
  <c r="I1081" i="4"/>
  <c r="H1081" i="4"/>
  <c r="G1081" i="4"/>
  <c r="I1080" i="4"/>
  <c r="H1080" i="4"/>
  <c r="G1080" i="4"/>
  <c r="I1079" i="4"/>
  <c r="H1079" i="4"/>
  <c r="G1079" i="4"/>
  <c r="I1078" i="4"/>
  <c r="H1078" i="4"/>
  <c r="G1078" i="4"/>
  <c r="I1077" i="4"/>
  <c r="H1077" i="4"/>
  <c r="G1077" i="4"/>
  <c r="I1076" i="4"/>
  <c r="H1076" i="4"/>
  <c r="G1076" i="4"/>
  <c r="I1075" i="4"/>
  <c r="H1075" i="4"/>
  <c r="G1075" i="4"/>
  <c r="I1074" i="4"/>
  <c r="H1074" i="4"/>
  <c r="G1074" i="4"/>
  <c r="I1073" i="4"/>
  <c r="H1073" i="4"/>
  <c r="G1073" i="4"/>
  <c r="I1072" i="4"/>
  <c r="H1072" i="4"/>
  <c r="G1072" i="4"/>
  <c r="I1071" i="4"/>
  <c r="H1071" i="4"/>
  <c r="G1071" i="4"/>
  <c r="I1070" i="4"/>
  <c r="H1070" i="4"/>
  <c r="G1070" i="4"/>
  <c r="I1069" i="4"/>
  <c r="H1069" i="4"/>
  <c r="G1069" i="4"/>
  <c r="I1068" i="4"/>
  <c r="H1068" i="4"/>
  <c r="G1068" i="4"/>
  <c r="I1067" i="4"/>
  <c r="H1067" i="4"/>
  <c r="G1067" i="4"/>
  <c r="I1066" i="4"/>
  <c r="H1066" i="4"/>
  <c r="G1066" i="4"/>
  <c r="I1065" i="4"/>
  <c r="H1065" i="4"/>
  <c r="G1065" i="4"/>
  <c r="I1064" i="4"/>
  <c r="H1064" i="4"/>
  <c r="G1064" i="4"/>
  <c r="I1063" i="4"/>
  <c r="H1063" i="4"/>
  <c r="G1063" i="4"/>
  <c r="I1062" i="4"/>
  <c r="H1062" i="4"/>
  <c r="G1062" i="4"/>
  <c r="I1061" i="4"/>
  <c r="H1061" i="4"/>
  <c r="G1061" i="4"/>
  <c r="I1060" i="4"/>
  <c r="H1060" i="4"/>
  <c r="G1060" i="4"/>
  <c r="I1059" i="4"/>
  <c r="H1059" i="4"/>
  <c r="G1059" i="4"/>
  <c r="I1058" i="4"/>
  <c r="H1058" i="4"/>
  <c r="G1058" i="4"/>
  <c r="I1057" i="4"/>
  <c r="H1057" i="4"/>
  <c r="G1057" i="4"/>
  <c r="I1056" i="4"/>
  <c r="H1056" i="4"/>
  <c r="G1056" i="4"/>
  <c r="I1055" i="4"/>
  <c r="H1055" i="4"/>
  <c r="G1055" i="4"/>
  <c r="I1054" i="4"/>
  <c r="H1054" i="4"/>
  <c r="G1054" i="4"/>
  <c r="I1053" i="4"/>
  <c r="H1053" i="4"/>
  <c r="G1053" i="4"/>
  <c r="I1052" i="4"/>
  <c r="H1052" i="4"/>
  <c r="G1052" i="4"/>
  <c r="I1051" i="4"/>
  <c r="H1051" i="4"/>
  <c r="G1051" i="4"/>
  <c r="I1050" i="4"/>
  <c r="H1050" i="4"/>
  <c r="G1050" i="4"/>
  <c r="I1049" i="4"/>
  <c r="H1049" i="4"/>
  <c r="G1049" i="4"/>
  <c r="I1048" i="4"/>
  <c r="H1048" i="4"/>
  <c r="G1048" i="4"/>
  <c r="I1047" i="4"/>
  <c r="H1047" i="4"/>
  <c r="G1047" i="4"/>
  <c r="I1046" i="4"/>
  <c r="H1046" i="4"/>
  <c r="G1046" i="4"/>
  <c r="I1045" i="4"/>
  <c r="H1045" i="4"/>
  <c r="G1045" i="4"/>
  <c r="I1044" i="4"/>
  <c r="H1044" i="4"/>
  <c r="G1044" i="4"/>
  <c r="I1043" i="4"/>
  <c r="H1043" i="4"/>
  <c r="G1043" i="4"/>
  <c r="I1042" i="4"/>
  <c r="H1042" i="4"/>
  <c r="G1042" i="4"/>
  <c r="I1041" i="4"/>
  <c r="H1041" i="4"/>
  <c r="G1041" i="4"/>
  <c r="I1040" i="4"/>
  <c r="H1040" i="4"/>
  <c r="G1040" i="4"/>
  <c r="I1039" i="4"/>
  <c r="H1039" i="4"/>
  <c r="G1039" i="4"/>
  <c r="I1038" i="4"/>
  <c r="H1038" i="4"/>
  <c r="G1038" i="4"/>
  <c r="I1037" i="4"/>
  <c r="H1037" i="4"/>
  <c r="G1037" i="4"/>
  <c r="I1036" i="4"/>
  <c r="H1036" i="4"/>
  <c r="G1036" i="4"/>
  <c r="I1035" i="4"/>
  <c r="H1035" i="4"/>
  <c r="G1035" i="4"/>
  <c r="I1034" i="4"/>
  <c r="H1034" i="4"/>
  <c r="G1034" i="4"/>
  <c r="I1033" i="4"/>
  <c r="H1033" i="4"/>
  <c r="G1033" i="4"/>
  <c r="I1032" i="4"/>
  <c r="H1032" i="4"/>
  <c r="G1032" i="4"/>
  <c r="I1031" i="4"/>
  <c r="H1031" i="4"/>
  <c r="G1031" i="4"/>
  <c r="I1030" i="4"/>
  <c r="H1030" i="4"/>
  <c r="G1030" i="4"/>
  <c r="I1029" i="4"/>
  <c r="H1029" i="4"/>
  <c r="G1029" i="4"/>
  <c r="I1028" i="4"/>
  <c r="H1028" i="4"/>
  <c r="G1028" i="4"/>
  <c r="I1027" i="4"/>
  <c r="H1027" i="4"/>
  <c r="G1027" i="4"/>
  <c r="I1026" i="4"/>
  <c r="H1026" i="4"/>
  <c r="G1026" i="4"/>
  <c r="I1025" i="4"/>
  <c r="H1025" i="4"/>
  <c r="G1025" i="4"/>
  <c r="I1024" i="4"/>
  <c r="H1024" i="4"/>
  <c r="G1024" i="4"/>
  <c r="I1023" i="4"/>
  <c r="H1023" i="4"/>
  <c r="G1023" i="4"/>
  <c r="I1022" i="4"/>
  <c r="H1022" i="4"/>
  <c r="G1022" i="4"/>
  <c r="I1021" i="4"/>
  <c r="H1021" i="4"/>
  <c r="G1021" i="4"/>
  <c r="I1020" i="4"/>
  <c r="H1020" i="4"/>
  <c r="G1020" i="4"/>
  <c r="I1019" i="4"/>
  <c r="H1019" i="4"/>
  <c r="G1019" i="4"/>
  <c r="I1018" i="4"/>
  <c r="H1018" i="4"/>
  <c r="G1018" i="4"/>
  <c r="I1017" i="4"/>
  <c r="H1017" i="4"/>
  <c r="G1017" i="4"/>
  <c r="I1016" i="4"/>
  <c r="H1016" i="4"/>
  <c r="G1016" i="4"/>
  <c r="I1015" i="4"/>
  <c r="H1015" i="4"/>
  <c r="G1015" i="4"/>
  <c r="I1014" i="4"/>
  <c r="H1014" i="4"/>
  <c r="G1014" i="4"/>
  <c r="I1013" i="4"/>
  <c r="H1013" i="4"/>
  <c r="G1013" i="4"/>
  <c r="I1012" i="4"/>
  <c r="H1012" i="4"/>
  <c r="G1012" i="4"/>
  <c r="I1011" i="4"/>
  <c r="H1011" i="4"/>
  <c r="G1011" i="4"/>
  <c r="I1010" i="4"/>
  <c r="H1010" i="4"/>
  <c r="G1010" i="4"/>
  <c r="I1009" i="4"/>
  <c r="H1009" i="4"/>
  <c r="G1009" i="4"/>
  <c r="I1008" i="4"/>
  <c r="H1008" i="4"/>
  <c r="G1008" i="4"/>
  <c r="I1007" i="4"/>
  <c r="H1007" i="4"/>
  <c r="G1007" i="4"/>
  <c r="I1006" i="4"/>
  <c r="H1006" i="4"/>
  <c r="G1006" i="4"/>
  <c r="I1005" i="4"/>
  <c r="H1005" i="4"/>
  <c r="G1005" i="4"/>
  <c r="I1004" i="4"/>
  <c r="H1004" i="4"/>
  <c r="G1004" i="4"/>
  <c r="I1003" i="4"/>
  <c r="H1003" i="4"/>
  <c r="G1003" i="4"/>
  <c r="I1002" i="4"/>
  <c r="H1002" i="4"/>
  <c r="G1002" i="4"/>
  <c r="I1001" i="4"/>
  <c r="H1001" i="4"/>
  <c r="G1001" i="4"/>
  <c r="I1000" i="4"/>
  <c r="H1000" i="4"/>
  <c r="G1000" i="4"/>
  <c r="I999" i="4"/>
  <c r="H999" i="4"/>
  <c r="G999" i="4"/>
  <c r="I998" i="4"/>
  <c r="H998" i="4"/>
  <c r="G998" i="4"/>
  <c r="I997" i="4"/>
  <c r="H997" i="4"/>
  <c r="G997" i="4"/>
  <c r="I996" i="4"/>
  <c r="H996" i="4"/>
  <c r="G996" i="4"/>
  <c r="I995" i="4"/>
  <c r="H995" i="4"/>
  <c r="G995" i="4"/>
  <c r="I994" i="4"/>
  <c r="H994" i="4"/>
  <c r="G994" i="4"/>
  <c r="I993" i="4"/>
  <c r="H993" i="4"/>
  <c r="G993" i="4"/>
  <c r="I992" i="4"/>
  <c r="H992" i="4"/>
  <c r="G992" i="4"/>
  <c r="I991" i="4"/>
  <c r="H991" i="4"/>
  <c r="G991" i="4"/>
  <c r="I990" i="4"/>
  <c r="H990" i="4"/>
  <c r="G990" i="4"/>
  <c r="I989" i="4"/>
  <c r="H989" i="4"/>
  <c r="G989" i="4"/>
  <c r="I988" i="4"/>
  <c r="H988" i="4"/>
  <c r="G988" i="4"/>
  <c r="I987" i="4"/>
  <c r="H987" i="4"/>
  <c r="G987" i="4"/>
  <c r="I986" i="4"/>
  <c r="H986" i="4"/>
  <c r="G986" i="4"/>
  <c r="I985" i="4"/>
  <c r="H985" i="4"/>
  <c r="G985" i="4"/>
  <c r="I984" i="4"/>
  <c r="H984" i="4"/>
  <c r="G984" i="4"/>
  <c r="I983" i="4"/>
  <c r="H983" i="4"/>
  <c r="G983" i="4"/>
  <c r="I982" i="4"/>
  <c r="H982" i="4"/>
  <c r="G982" i="4"/>
  <c r="I981" i="4"/>
  <c r="H981" i="4"/>
  <c r="G981" i="4"/>
  <c r="I980" i="4"/>
  <c r="H980" i="4"/>
  <c r="G980" i="4"/>
  <c r="I979" i="4"/>
  <c r="H979" i="4"/>
  <c r="G979" i="4"/>
  <c r="I978" i="4"/>
  <c r="H978" i="4"/>
  <c r="G978" i="4"/>
  <c r="I977" i="4"/>
  <c r="H977" i="4"/>
  <c r="G977" i="4"/>
  <c r="I976" i="4"/>
  <c r="H976" i="4"/>
  <c r="G976" i="4"/>
  <c r="I975" i="4"/>
  <c r="H975" i="4"/>
  <c r="G975" i="4"/>
  <c r="I974" i="4"/>
  <c r="H974" i="4"/>
  <c r="G974" i="4"/>
  <c r="I973" i="4"/>
  <c r="H973" i="4"/>
  <c r="G973" i="4"/>
  <c r="I972" i="4"/>
  <c r="H972" i="4"/>
  <c r="G972" i="4"/>
  <c r="I971" i="4"/>
  <c r="H971" i="4"/>
  <c r="G971" i="4"/>
  <c r="I970" i="4"/>
  <c r="H970" i="4"/>
  <c r="G970" i="4"/>
  <c r="I969" i="4"/>
  <c r="H969" i="4"/>
  <c r="G969" i="4"/>
  <c r="I968" i="4"/>
  <c r="H968" i="4"/>
  <c r="G968" i="4"/>
  <c r="I967" i="4"/>
  <c r="H967" i="4"/>
  <c r="G967" i="4"/>
  <c r="I966" i="4"/>
  <c r="H966" i="4"/>
  <c r="G966" i="4"/>
  <c r="I965" i="4"/>
  <c r="H965" i="4"/>
  <c r="G965" i="4"/>
  <c r="I964" i="4"/>
  <c r="H964" i="4"/>
  <c r="G964" i="4"/>
  <c r="I963" i="4"/>
  <c r="H963" i="4"/>
  <c r="G963" i="4"/>
  <c r="I962" i="4"/>
  <c r="H962" i="4"/>
  <c r="G962" i="4"/>
  <c r="I961" i="4"/>
  <c r="H961" i="4"/>
  <c r="G961" i="4"/>
  <c r="I960" i="4"/>
  <c r="H960" i="4"/>
  <c r="G960" i="4"/>
  <c r="I959" i="4"/>
  <c r="H959" i="4"/>
  <c r="G959" i="4"/>
  <c r="I958" i="4"/>
  <c r="H958" i="4"/>
  <c r="G958" i="4"/>
  <c r="I957" i="4"/>
  <c r="H957" i="4"/>
  <c r="G957" i="4"/>
  <c r="I956" i="4"/>
  <c r="H956" i="4"/>
  <c r="G956" i="4"/>
  <c r="I955" i="4"/>
  <c r="H955" i="4"/>
  <c r="G955" i="4"/>
  <c r="I954" i="4"/>
  <c r="H954" i="4"/>
  <c r="G954" i="4"/>
  <c r="I953" i="4"/>
  <c r="H953" i="4"/>
  <c r="G953" i="4"/>
  <c r="I952" i="4"/>
  <c r="H952" i="4"/>
  <c r="G952" i="4"/>
  <c r="I951" i="4"/>
  <c r="H951" i="4"/>
  <c r="G951" i="4"/>
  <c r="I950" i="4"/>
  <c r="H950" i="4"/>
  <c r="G950" i="4"/>
  <c r="I949" i="4"/>
  <c r="H949" i="4"/>
  <c r="G949" i="4"/>
  <c r="I948" i="4"/>
  <c r="H948" i="4"/>
  <c r="G948" i="4"/>
  <c r="I947" i="4"/>
  <c r="H947" i="4"/>
  <c r="G947" i="4"/>
  <c r="I946" i="4"/>
  <c r="H946" i="4"/>
  <c r="G946" i="4"/>
  <c r="I945" i="4"/>
  <c r="H945" i="4"/>
  <c r="G945" i="4"/>
  <c r="I944" i="4"/>
  <c r="H944" i="4"/>
  <c r="G944" i="4"/>
  <c r="I943" i="4"/>
  <c r="H943" i="4"/>
  <c r="G943" i="4"/>
  <c r="I942" i="4"/>
  <c r="H942" i="4"/>
  <c r="G942" i="4"/>
  <c r="I941" i="4"/>
  <c r="H941" i="4"/>
  <c r="G941" i="4"/>
  <c r="I940" i="4"/>
  <c r="H940" i="4"/>
  <c r="G940" i="4"/>
  <c r="I939" i="4"/>
  <c r="H939" i="4"/>
  <c r="G939" i="4"/>
  <c r="I938" i="4"/>
  <c r="H938" i="4"/>
  <c r="G938" i="4"/>
  <c r="I937" i="4"/>
  <c r="H937" i="4"/>
  <c r="G937" i="4"/>
  <c r="I936" i="4"/>
  <c r="H936" i="4"/>
  <c r="G936" i="4"/>
  <c r="I935" i="4"/>
  <c r="H935" i="4"/>
  <c r="G935" i="4"/>
  <c r="I934" i="4"/>
  <c r="H934" i="4"/>
  <c r="G934" i="4"/>
  <c r="I933" i="4"/>
  <c r="H933" i="4"/>
  <c r="G933" i="4"/>
  <c r="I932" i="4"/>
  <c r="H932" i="4"/>
  <c r="G932" i="4"/>
  <c r="I931" i="4"/>
  <c r="H931" i="4"/>
  <c r="G931" i="4"/>
  <c r="I930" i="4"/>
  <c r="H930" i="4"/>
  <c r="G930" i="4"/>
  <c r="I929" i="4"/>
  <c r="H929" i="4"/>
  <c r="G929" i="4"/>
  <c r="I928" i="4"/>
  <c r="H928" i="4"/>
  <c r="G928" i="4"/>
  <c r="I927" i="4"/>
  <c r="H927" i="4"/>
  <c r="G927" i="4"/>
  <c r="I926" i="4"/>
  <c r="H926" i="4"/>
  <c r="G926" i="4"/>
  <c r="I925" i="4"/>
  <c r="H925" i="4"/>
  <c r="G925" i="4"/>
  <c r="I924" i="4"/>
  <c r="H924" i="4"/>
  <c r="G924" i="4"/>
  <c r="I923" i="4"/>
  <c r="H923" i="4"/>
  <c r="G923" i="4"/>
  <c r="I922" i="4"/>
  <c r="H922" i="4"/>
  <c r="G922" i="4"/>
  <c r="I921" i="4"/>
  <c r="H921" i="4"/>
  <c r="G921" i="4"/>
  <c r="I920" i="4"/>
  <c r="H920" i="4"/>
  <c r="G920" i="4"/>
  <c r="I919" i="4"/>
  <c r="H919" i="4"/>
  <c r="G919" i="4"/>
  <c r="I918" i="4"/>
  <c r="H918" i="4"/>
  <c r="G918" i="4"/>
  <c r="I917" i="4"/>
  <c r="H917" i="4"/>
  <c r="G917" i="4"/>
  <c r="I916" i="4"/>
  <c r="H916" i="4"/>
  <c r="G916" i="4"/>
  <c r="I915" i="4"/>
  <c r="H915" i="4"/>
  <c r="G915" i="4"/>
  <c r="I914" i="4"/>
  <c r="H914" i="4"/>
  <c r="G914" i="4"/>
  <c r="I913" i="4"/>
  <c r="H913" i="4"/>
  <c r="G913" i="4"/>
  <c r="I912" i="4"/>
  <c r="H912" i="4"/>
  <c r="G912" i="4"/>
  <c r="I911" i="4"/>
  <c r="H911" i="4"/>
  <c r="G911" i="4"/>
  <c r="I910" i="4"/>
  <c r="H910" i="4"/>
  <c r="G910" i="4"/>
  <c r="I909" i="4"/>
  <c r="H909" i="4"/>
  <c r="G909" i="4"/>
  <c r="I908" i="4"/>
  <c r="H908" i="4"/>
  <c r="G908" i="4"/>
  <c r="I907" i="4"/>
  <c r="H907" i="4"/>
  <c r="G907" i="4"/>
  <c r="I906" i="4"/>
  <c r="H906" i="4"/>
  <c r="G906" i="4"/>
  <c r="I905" i="4"/>
  <c r="H905" i="4"/>
  <c r="G905" i="4"/>
  <c r="I904" i="4"/>
  <c r="H904" i="4"/>
  <c r="G904" i="4"/>
  <c r="I903" i="4"/>
  <c r="H903" i="4"/>
  <c r="G903" i="4"/>
  <c r="I902" i="4"/>
  <c r="H902" i="4"/>
  <c r="G902" i="4"/>
  <c r="I901" i="4"/>
  <c r="H901" i="4"/>
  <c r="G901" i="4"/>
  <c r="I900" i="4"/>
  <c r="H900" i="4"/>
  <c r="G900" i="4"/>
  <c r="I899" i="4"/>
  <c r="H899" i="4"/>
  <c r="G899" i="4"/>
  <c r="I898" i="4"/>
  <c r="H898" i="4"/>
  <c r="G898" i="4"/>
  <c r="I897" i="4"/>
  <c r="H897" i="4"/>
  <c r="G897" i="4"/>
  <c r="I896" i="4"/>
  <c r="H896" i="4"/>
  <c r="G896" i="4"/>
  <c r="I895" i="4"/>
  <c r="H895" i="4"/>
  <c r="G895" i="4"/>
  <c r="I894" i="4"/>
  <c r="H894" i="4"/>
  <c r="G894" i="4"/>
  <c r="I893" i="4"/>
  <c r="H893" i="4"/>
  <c r="G893" i="4"/>
  <c r="I892" i="4"/>
  <c r="H892" i="4"/>
  <c r="G892" i="4"/>
  <c r="I891" i="4"/>
  <c r="H891" i="4"/>
  <c r="G891" i="4"/>
  <c r="I890" i="4"/>
  <c r="H890" i="4"/>
  <c r="G890" i="4"/>
  <c r="I889" i="4"/>
  <c r="H889" i="4"/>
  <c r="G889" i="4"/>
  <c r="I888" i="4"/>
  <c r="H888" i="4"/>
  <c r="G888" i="4"/>
  <c r="I887" i="4"/>
  <c r="H887" i="4"/>
  <c r="G887" i="4"/>
  <c r="I886" i="4"/>
  <c r="H886" i="4"/>
  <c r="G886" i="4"/>
  <c r="I885" i="4"/>
  <c r="H885" i="4"/>
  <c r="G885" i="4"/>
  <c r="I884" i="4"/>
  <c r="H884" i="4"/>
  <c r="G884" i="4"/>
  <c r="I883" i="4"/>
  <c r="H883" i="4"/>
  <c r="G883" i="4"/>
  <c r="I882" i="4"/>
  <c r="H882" i="4"/>
  <c r="G882" i="4"/>
  <c r="I881" i="4"/>
  <c r="H881" i="4"/>
  <c r="G881" i="4"/>
  <c r="I880" i="4"/>
  <c r="H880" i="4"/>
  <c r="G880" i="4"/>
  <c r="I879" i="4"/>
  <c r="H879" i="4"/>
  <c r="G879" i="4"/>
  <c r="I878" i="4"/>
  <c r="H878" i="4"/>
  <c r="G878" i="4"/>
  <c r="I877" i="4"/>
  <c r="H877" i="4"/>
  <c r="G877" i="4"/>
  <c r="I876" i="4"/>
  <c r="H876" i="4"/>
  <c r="G876" i="4"/>
  <c r="I875" i="4"/>
  <c r="H875" i="4"/>
  <c r="G875" i="4"/>
  <c r="I874" i="4"/>
  <c r="H874" i="4"/>
  <c r="G874" i="4"/>
  <c r="I873" i="4"/>
  <c r="H873" i="4"/>
  <c r="G873" i="4"/>
  <c r="I872" i="4"/>
  <c r="H872" i="4"/>
  <c r="G872" i="4"/>
  <c r="I871" i="4"/>
  <c r="H871" i="4"/>
  <c r="G871" i="4"/>
  <c r="I870" i="4"/>
  <c r="H870" i="4"/>
  <c r="G870" i="4"/>
  <c r="I869" i="4"/>
  <c r="H869" i="4"/>
  <c r="G869" i="4"/>
  <c r="I868" i="4"/>
  <c r="H868" i="4"/>
  <c r="G868" i="4"/>
  <c r="I867" i="4"/>
  <c r="H867" i="4"/>
  <c r="G867" i="4"/>
  <c r="I866" i="4"/>
  <c r="H866" i="4"/>
  <c r="G866" i="4"/>
  <c r="I865" i="4"/>
  <c r="H865" i="4"/>
  <c r="G865" i="4"/>
  <c r="I864" i="4"/>
  <c r="H864" i="4"/>
  <c r="G864" i="4"/>
  <c r="I863" i="4"/>
  <c r="H863" i="4"/>
  <c r="G863" i="4"/>
  <c r="I862" i="4"/>
  <c r="H862" i="4"/>
  <c r="G862" i="4"/>
  <c r="I861" i="4"/>
  <c r="H861" i="4"/>
  <c r="G861" i="4"/>
  <c r="I860" i="4"/>
  <c r="H860" i="4"/>
  <c r="G860" i="4"/>
  <c r="I859" i="4"/>
  <c r="H859" i="4"/>
  <c r="G859" i="4"/>
  <c r="I858" i="4"/>
  <c r="H858" i="4"/>
  <c r="G858" i="4"/>
  <c r="I857" i="4"/>
  <c r="H857" i="4"/>
  <c r="G857" i="4"/>
  <c r="I856" i="4"/>
  <c r="H856" i="4"/>
  <c r="G856" i="4"/>
  <c r="I855" i="4"/>
  <c r="H855" i="4"/>
  <c r="G855" i="4"/>
  <c r="I854" i="4"/>
  <c r="H854" i="4"/>
  <c r="G854" i="4"/>
  <c r="I853" i="4"/>
  <c r="H853" i="4"/>
  <c r="G853" i="4"/>
  <c r="I852" i="4"/>
  <c r="H852" i="4"/>
  <c r="G852" i="4"/>
  <c r="I851" i="4"/>
  <c r="H851" i="4"/>
  <c r="G851" i="4"/>
  <c r="I850" i="4"/>
  <c r="H850" i="4"/>
  <c r="G850" i="4"/>
  <c r="I849" i="4"/>
  <c r="H849" i="4"/>
  <c r="G849" i="4"/>
  <c r="I848" i="4"/>
  <c r="H848" i="4"/>
  <c r="G848" i="4"/>
  <c r="I847" i="4"/>
  <c r="H847" i="4"/>
  <c r="G847" i="4"/>
  <c r="I846" i="4"/>
  <c r="H846" i="4"/>
  <c r="G846" i="4"/>
  <c r="I845" i="4"/>
  <c r="H845" i="4"/>
  <c r="G845" i="4"/>
  <c r="I844" i="4"/>
  <c r="H844" i="4"/>
  <c r="G844" i="4"/>
  <c r="I843" i="4"/>
  <c r="H843" i="4"/>
  <c r="G843" i="4"/>
  <c r="I842" i="4"/>
  <c r="H842" i="4"/>
  <c r="G842" i="4"/>
  <c r="I841" i="4"/>
  <c r="H841" i="4"/>
  <c r="G841" i="4"/>
  <c r="I840" i="4"/>
  <c r="H840" i="4"/>
  <c r="G840" i="4"/>
  <c r="I839" i="4"/>
  <c r="H839" i="4"/>
  <c r="G839" i="4"/>
  <c r="I838" i="4"/>
  <c r="H838" i="4"/>
  <c r="G838" i="4"/>
  <c r="I837" i="4"/>
  <c r="H837" i="4"/>
  <c r="G837" i="4"/>
  <c r="I836" i="4"/>
  <c r="H836" i="4"/>
  <c r="G836" i="4"/>
  <c r="I835" i="4"/>
  <c r="H835" i="4"/>
  <c r="G835" i="4"/>
  <c r="I834" i="4"/>
  <c r="H834" i="4"/>
  <c r="G834" i="4"/>
  <c r="I833" i="4"/>
  <c r="H833" i="4"/>
  <c r="G833" i="4"/>
  <c r="I832" i="4"/>
  <c r="H832" i="4"/>
  <c r="G832" i="4"/>
  <c r="I831" i="4"/>
  <c r="H831" i="4"/>
  <c r="G831" i="4"/>
  <c r="I830" i="4"/>
  <c r="H830" i="4"/>
  <c r="G830" i="4"/>
  <c r="I829" i="4"/>
  <c r="H829" i="4"/>
  <c r="G829" i="4"/>
  <c r="I828" i="4"/>
  <c r="H828" i="4"/>
  <c r="G828" i="4"/>
  <c r="I827" i="4"/>
  <c r="H827" i="4"/>
  <c r="G827" i="4"/>
  <c r="I826" i="4"/>
  <c r="H826" i="4"/>
  <c r="G826" i="4"/>
  <c r="I825" i="4"/>
  <c r="H825" i="4"/>
  <c r="G825" i="4"/>
  <c r="I824" i="4"/>
  <c r="H824" i="4"/>
  <c r="G824" i="4"/>
  <c r="I823" i="4"/>
  <c r="H823" i="4"/>
  <c r="G823" i="4"/>
  <c r="I822" i="4"/>
  <c r="H822" i="4"/>
  <c r="G822" i="4"/>
  <c r="I821" i="4"/>
  <c r="H821" i="4"/>
  <c r="G821" i="4"/>
  <c r="I820" i="4"/>
  <c r="H820" i="4"/>
  <c r="G820" i="4"/>
  <c r="I819" i="4"/>
  <c r="H819" i="4"/>
  <c r="G819" i="4"/>
  <c r="I818" i="4"/>
  <c r="H818" i="4"/>
  <c r="G818" i="4"/>
  <c r="I817" i="4"/>
  <c r="H817" i="4"/>
  <c r="G817" i="4"/>
  <c r="I816" i="4"/>
  <c r="H816" i="4"/>
  <c r="G816" i="4"/>
  <c r="I815" i="4"/>
  <c r="H815" i="4"/>
  <c r="G815" i="4"/>
  <c r="I814" i="4"/>
  <c r="H814" i="4"/>
  <c r="G814" i="4"/>
  <c r="I813" i="4"/>
  <c r="H813" i="4"/>
  <c r="G813" i="4"/>
  <c r="I812" i="4"/>
  <c r="H812" i="4"/>
  <c r="G812" i="4"/>
  <c r="I811" i="4"/>
  <c r="H811" i="4"/>
  <c r="G811" i="4"/>
  <c r="I810" i="4"/>
  <c r="H810" i="4"/>
  <c r="G810" i="4"/>
  <c r="I809" i="4"/>
  <c r="H809" i="4"/>
  <c r="G809" i="4"/>
  <c r="I808" i="4"/>
  <c r="H808" i="4"/>
  <c r="G808" i="4"/>
  <c r="I807" i="4"/>
  <c r="H807" i="4"/>
  <c r="G807" i="4"/>
  <c r="I806" i="4"/>
  <c r="H806" i="4"/>
  <c r="G806" i="4"/>
  <c r="I805" i="4"/>
  <c r="H805" i="4"/>
  <c r="G805" i="4"/>
  <c r="I804" i="4"/>
  <c r="H804" i="4"/>
  <c r="G804" i="4"/>
  <c r="I803" i="4"/>
  <c r="H803" i="4"/>
  <c r="G803" i="4"/>
  <c r="I802" i="4"/>
  <c r="H802" i="4"/>
  <c r="G802" i="4"/>
  <c r="I801" i="4"/>
  <c r="H801" i="4"/>
  <c r="G801" i="4"/>
  <c r="I800" i="4"/>
  <c r="H800" i="4"/>
  <c r="G800" i="4"/>
  <c r="I799" i="4"/>
  <c r="H799" i="4"/>
  <c r="G799" i="4"/>
  <c r="I798" i="4"/>
  <c r="H798" i="4"/>
  <c r="G798" i="4"/>
  <c r="I797" i="4"/>
  <c r="H797" i="4"/>
  <c r="G797" i="4"/>
  <c r="I796" i="4"/>
  <c r="H796" i="4"/>
  <c r="G796" i="4"/>
  <c r="I795" i="4"/>
  <c r="H795" i="4"/>
  <c r="G795" i="4"/>
  <c r="I794" i="4"/>
  <c r="H794" i="4"/>
  <c r="G794" i="4"/>
  <c r="I793" i="4"/>
  <c r="H793" i="4"/>
  <c r="G793" i="4"/>
  <c r="I792" i="4"/>
  <c r="H792" i="4"/>
  <c r="G792" i="4"/>
  <c r="I791" i="4"/>
  <c r="H791" i="4"/>
  <c r="G791" i="4"/>
  <c r="I790" i="4"/>
  <c r="H790" i="4"/>
  <c r="G790" i="4"/>
  <c r="I789" i="4"/>
  <c r="H789" i="4"/>
  <c r="G789" i="4"/>
  <c r="I788" i="4"/>
  <c r="H788" i="4"/>
  <c r="G788" i="4"/>
  <c r="I787" i="4"/>
  <c r="H787" i="4"/>
  <c r="G787" i="4"/>
  <c r="I786" i="4"/>
  <c r="H786" i="4"/>
  <c r="G786" i="4"/>
  <c r="I785" i="4"/>
  <c r="H785" i="4"/>
  <c r="G785" i="4"/>
  <c r="I784" i="4"/>
  <c r="H784" i="4"/>
  <c r="G784" i="4"/>
  <c r="I783" i="4"/>
  <c r="H783" i="4"/>
  <c r="G783" i="4"/>
  <c r="I782" i="4"/>
  <c r="H782" i="4"/>
  <c r="G782" i="4"/>
  <c r="I781" i="4"/>
  <c r="H781" i="4"/>
  <c r="G781" i="4"/>
  <c r="I780" i="4"/>
  <c r="H780" i="4"/>
  <c r="G780" i="4"/>
  <c r="I779" i="4"/>
  <c r="H779" i="4"/>
  <c r="G779" i="4"/>
  <c r="I778" i="4"/>
  <c r="H778" i="4"/>
  <c r="G778" i="4"/>
  <c r="I777" i="4"/>
  <c r="H777" i="4"/>
  <c r="G777" i="4"/>
  <c r="I776" i="4"/>
  <c r="H776" i="4"/>
  <c r="G776" i="4"/>
  <c r="I775" i="4"/>
  <c r="H775" i="4"/>
  <c r="G775" i="4"/>
  <c r="I774" i="4"/>
  <c r="H774" i="4"/>
  <c r="G774" i="4"/>
  <c r="I773" i="4"/>
  <c r="H773" i="4"/>
  <c r="G773" i="4"/>
  <c r="I772" i="4"/>
  <c r="H772" i="4"/>
  <c r="G772" i="4"/>
  <c r="I771" i="4"/>
  <c r="H771" i="4"/>
  <c r="G771" i="4"/>
  <c r="I770" i="4"/>
  <c r="H770" i="4"/>
  <c r="G770" i="4"/>
  <c r="I769" i="4"/>
  <c r="H769" i="4"/>
  <c r="G769" i="4"/>
  <c r="I768" i="4"/>
  <c r="H768" i="4"/>
  <c r="G768" i="4"/>
  <c r="I767" i="4"/>
  <c r="H767" i="4"/>
  <c r="G767" i="4"/>
  <c r="I766" i="4"/>
  <c r="H766" i="4"/>
  <c r="G766" i="4"/>
  <c r="I765" i="4"/>
  <c r="H765" i="4"/>
  <c r="G765" i="4"/>
  <c r="I764" i="4"/>
  <c r="H764" i="4"/>
  <c r="G764" i="4"/>
  <c r="I763" i="4"/>
  <c r="H763" i="4"/>
  <c r="G763" i="4"/>
  <c r="I762" i="4"/>
  <c r="H762" i="4"/>
  <c r="G762" i="4"/>
  <c r="I761" i="4"/>
  <c r="H761" i="4"/>
  <c r="G761" i="4"/>
  <c r="I760" i="4"/>
  <c r="H760" i="4"/>
  <c r="G760" i="4"/>
  <c r="I759" i="4"/>
  <c r="H759" i="4"/>
  <c r="G759" i="4"/>
  <c r="I758" i="4"/>
  <c r="H758" i="4"/>
  <c r="G758" i="4"/>
  <c r="I757" i="4"/>
  <c r="H757" i="4"/>
  <c r="G757" i="4"/>
  <c r="I756" i="4"/>
  <c r="H756" i="4"/>
  <c r="G756" i="4"/>
  <c r="I755" i="4"/>
  <c r="H755" i="4"/>
  <c r="G755" i="4"/>
  <c r="I754" i="4"/>
  <c r="H754" i="4"/>
  <c r="G754" i="4"/>
  <c r="I753" i="4"/>
  <c r="H753" i="4"/>
  <c r="G753" i="4"/>
  <c r="I752" i="4"/>
  <c r="H752" i="4"/>
  <c r="G752" i="4"/>
  <c r="I751" i="4"/>
  <c r="H751" i="4"/>
  <c r="G751" i="4"/>
  <c r="I750" i="4"/>
  <c r="H750" i="4"/>
  <c r="G750" i="4"/>
  <c r="I749" i="4"/>
  <c r="H749" i="4"/>
  <c r="G749" i="4"/>
  <c r="I748" i="4"/>
  <c r="H748" i="4"/>
  <c r="G748" i="4"/>
  <c r="I747" i="4"/>
  <c r="H747" i="4"/>
  <c r="G747" i="4"/>
  <c r="I746" i="4"/>
  <c r="H746" i="4"/>
  <c r="G746" i="4"/>
  <c r="I745" i="4"/>
  <c r="H745" i="4"/>
  <c r="G745" i="4"/>
  <c r="I744" i="4"/>
  <c r="H744" i="4"/>
  <c r="G744" i="4"/>
  <c r="I743" i="4"/>
  <c r="H743" i="4"/>
  <c r="G743" i="4"/>
  <c r="I742" i="4"/>
  <c r="H742" i="4"/>
  <c r="G742" i="4"/>
  <c r="I741" i="4"/>
  <c r="H741" i="4"/>
  <c r="G741" i="4"/>
  <c r="I740" i="4"/>
  <c r="H740" i="4"/>
  <c r="G740" i="4"/>
  <c r="I739" i="4"/>
  <c r="H739" i="4"/>
  <c r="G739" i="4"/>
  <c r="I738" i="4"/>
  <c r="H738" i="4"/>
  <c r="G738" i="4"/>
  <c r="I737" i="4"/>
  <c r="H737" i="4"/>
  <c r="G737" i="4"/>
  <c r="I736" i="4"/>
  <c r="H736" i="4"/>
  <c r="G736" i="4"/>
  <c r="I735" i="4"/>
  <c r="H735" i="4"/>
  <c r="G735" i="4"/>
  <c r="I734" i="4"/>
  <c r="H734" i="4"/>
  <c r="G734" i="4"/>
  <c r="I733" i="4"/>
  <c r="H733" i="4"/>
  <c r="G733" i="4"/>
  <c r="I732" i="4"/>
  <c r="H732" i="4"/>
  <c r="G732" i="4"/>
  <c r="I731" i="4"/>
  <c r="H731" i="4"/>
  <c r="G731" i="4"/>
  <c r="I730" i="4"/>
  <c r="H730" i="4"/>
  <c r="G730" i="4"/>
  <c r="I729" i="4"/>
  <c r="H729" i="4"/>
  <c r="G729" i="4"/>
  <c r="I728" i="4"/>
  <c r="H728" i="4"/>
  <c r="G728" i="4"/>
  <c r="I727" i="4"/>
  <c r="H727" i="4"/>
  <c r="G727" i="4"/>
  <c r="I726" i="4"/>
  <c r="H726" i="4"/>
  <c r="G726" i="4"/>
  <c r="I725" i="4"/>
  <c r="H725" i="4"/>
  <c r="G725" i="4"/>
  <c r="I724" i="4"/>
  <c r="H724" i="4"/>
  <c r="G724" i="4"/>
  <c r="I723" i="4"/>
  <c r="H723" i="4"/>
  <c r="G723" i="4"/>
  <c r="I722" i="4"/>
  <c r="H722" i="4"/>
  <c r="G722" i="4"/>
  <c r="I721" i="4"/>
  <c r="H721" i="4"/>
  <c r="G721" i="4"/>
  <c r="I720" i="4"/>
  <c r="H720" i="4"/>
  <c r="G720" i="4"/>
  <c r="I719" i="4"/>
  <c r="H719" i="4"/>
  <c r="G719" i="4"/>
  <c r="I718" i="4"/>
  <c r="H718" i="4"/>
  <c r="G718" i="4"/>
  <c r="I717" i="4"/>
  <c r="H717" i="4"/>
  <c r="G717" i="4"/>
  <c r="I716" i="4"/>
  <c r="H716" i="4"/>
  <c r="G716" i="4"/>
  <c r="I715" i="4"/>
  <c r="H715" i="4"/>
  <c r="G715" i="4"/>
  <c r="I714" i="4"/>
  <c r="H714" i="4"/>
  <c r="G714" i="4"/>
  <c r="I713" i="4"/>
  <c r="H713" i="4"/>
  <c r="G713" i="4"/>
  <c r="I712" i="4"/>
  <c r="H712" i="4"/>
  <c r="G712" i="4"/>
  <c r="I711" i="4"/>
  <c r="H711" i="4"/>
  <c r="G711" i="4"/>
  <c r="I710" i="4"/>
  <c r="H710" i="4"/>
  <c r="G710" i="4"/>
  <c r="I709" i="4"/>
  <c r="H709" i="4"/>
  <c r="G709" i="4"/>
  <c r="I708" i="4"/>
  <c r="H708" i="4"/>
  <c r="G708" i="4"/>
  <c r="I707" i="4"/>
  <c r="H707" i="4"/>
  <c r="G707" i="4"/>
  <c r="I706" i="4"/>
  <c r="H706" i="4"/>
  <c r="G706" i="4"/>
  <c r="I705" i="4"/>
  <c r="H705" i="4"/>
  <c r="G705" i="4"/>
  <c r="I704" i="4"/>
  <c r="H704" i="4"/>
  <c r="G704" i="4"/>
  <c r="I703" i="4"/>
  <c r="H703" i="4"/>
  <c r="G703" i="4"/>
  <c r="I702" i="4"/>
  <c r="H702" i="4"/>
  <c r="G702" i="4"/>
  <c r="I701" i="4"/>
  <c r="H701" i="4"/>
  <c r="G701" i="4"/>
  <c r="I700" i="4"/>
  <c r="H700" i="4"/>
  <c r="G700" i="4"/>
  <c r="I699" i="4"/>
  <c r="H699" i="4"/>
  <c r="G699" i="4"/>
  <c r="I698" i="4"/>
  <c r="H698" i="4"/>
  <c r="G698" i="4"/>
  <c r="I697" i="4"/>
  <c r="H697" i="4"/>
  <c r="G697" i="4"/>
  <c r="I696" i="4"/>
  <c r="H696" i="4"/>
  <c r="G696" i="4"/>
  <c r="I695" i="4"/>
  <c r="H695" i="4"/>
  <c r="G695" i="4"/>
  <c r="I694" i="4"/>
  <c r="H694" i="4"/>
  <c r="G694" i="4"/>
  <c r="I693" i="4"/>
  <c r="H693" i="4"/>
  <c r="G693" i="4"/>
  <c r="I692" i="4"/>
  <c r="H692" i="4"/>
  <c r="G692" i="4"/>
  <c r="I691" i="4"/>
  <c r="H691" i="4"/>
  <c r="G691" i="4"/>
  <c r="I690" i="4"/>
  <c r="H690" i="4"/>
  <c r="G690" i="4"/>
  <c r="I689" i="4"/>
  <c r="H689" i="4"/>
  <c r="G689" i="4"/>
  <c r="I688" i="4"/>
  <c r="H688" i="4"/>
  <c r="G688" i="4"/>
  <c r="I687" i="4"/>
  <c r="H687" i="4"/>
  <c r="G687" i="4"/>
  <c r="I686" i="4"/>
  <c r="H686" i="4"/>
  <c r="G686" i="4"/>
  <c r="I685" i="4"/>
  <c r="H685" i="4"/>
  <c r="G685" i="4"/>
  <c r="I684" i="4"/>
  <c r="H684" i="4"/>
  <c r="G684" i="4"/>
  <c r="I683" i="4"/>
  <c r="H683" i="4"/>
  <c r="G683" i="4"/>
  <c r="I682" i="4"/>
  <c r="H682" i="4"/>
  <c r="G682" i="4"/>
  <c r="I681" i="4"/>
  <c r="H681" i="4"/>
  <c r="G681" i="4"/>
  <c r="I680" i="4"/>
  <c r="H680" i="4"/>
  <c r="G680" i="4"/>
  <c r="I679" i="4"/>
  <c r="H679" i="4"/>
  <c r="G679" i="4"/>
  <c r="I678" i="4"/>
  <c r="H678" i="4"/>
  <c r="G678" i="4"/>
  <c r="I677" i="4"/>
  <c r="H677" i="4"/>
  <c r="G677" i="4"/>
  <c r="I676" i="4"/>
  <c r="H676" i="4"/>
  <c r="G676" i="4"/>
  <c r="I675" i="4"/>
  <c r="H675" i="4"/>
  <c r="G675" i="4"/>
  <c r="I674" i="4"/>
  <c r="H674" i="4"/>
  <c r="G674" i="4"/>
  <c r="I673" i="4"/>
  <c r="H673" i="4"/>
  <c r="G673" i="4"/>
  <c r="I672" i="4"/>
  <c r="H672" i="4"/>
  <c r="G672" i="4"/>
  <c r="I671" i="4"/>
  <c r="H671" i="4"/>
  <c r="G671" i="4"/>
  <c r="I670" i="4"/>
  <c r="H670" i="4"/>
  <c r="G670" i="4"/>
  <c r="I669" i="4"/>
  <c r="H669" i="4"/>
  <c r="G669" i="4"/>
  <c r="I668" i="4"/>
  <c r="H668" i="4"/>
  <c r="G668" i="4"/>
  <c r="I667" i="4"/>
  <c r="H667" i="4"/>
  <c r="G667" i="4"/>
  <c r="I666" i="4"/>
  <c r="H666" i="4"/>
  <c r="G666" i="4"/>
  <c r="I665" i="4"/>
  <c r="H665" i="4"/>
  <c r="G665" i="4"/>
  <c r="I664" i="4"/>
  <c r="H664" i="4"/>
  <c r="G664" i="4"/>
  <c r="I663" i="4"/>
  <c r="H663" i="4"/>
  <c r="G663" i="4"/>
  <c r="I662" i="4"/>
  <c r="H662" i="4"/>
  <c r="G662" i="4"/>
  <c r="I661" i="4"/>
  <c r="H661" i="4"/>
  <c r="G661" i="4"/>
  <c r="I660" i="4"/>
  <c r="H660" i="4"/>
  <c r="G660" i="4"/>
  <c r="I659" i="4"/>
  <c r="H659" i="4"/>
  <c r="G659" i="4"/>
  <c r="I658" i="4"/>
  <c r="H658" i="4"/>
  <c r="G658" i="4"/>
  <c r="I657" i="4"/>
  <c r="H657" i="4"/>
  <c r="G657" i="4"/>
  <c r="I656" i="4"/>
  <c r="H656" i="4"/>
  <c r="G656" i="4"/>
  <c r="I655" i="4"/>
  <c r="H655" i="4"/>
  <c r="G655" i="4"/>
  <c r="I654" i="4"/>
  <c r="H654" i="4"/>
  <c r="G654" i="4"/>
  <c r="I653" i="4"/>
  <c r="H653" i="4"/>
  <c r="G653" i="4"/>
  <c r="I652" i="4"/>
  <c r="H652" i="4"/>
  <c r="G652" i="4"/>
  <c r="I651" i="4"/>
  <c r="H651" i="4"/>
  <c r="G651" i="4"/>
  <c r="I650" i="4"/>
  <c r="H650" i="4"/>
  <c r="G650" i="4"/>
  <c r="I649" i="4"/>
  <c r="H649" i="4"/>
  <c r="G649" i="4"/>
  <c r="I648" i="4"/>
  <c r="H648" i="4"/>
  <c r="G648" i="4"/>
  <c r="I647" i="4"/>
  <c r="H647" i="4"/>
  <c r="G647" i="4"/>
  <c r="I646" i="4"/>
  <c r="H646" i="4"/>
  <c r="G646" i="4"/>
  <c r="I645" i="4"/>
  <c r="H645" i="4"/>
  <c r="G645" i="4"/>
  <c r="I644" i="4"/>
  <c r="H644" i="4"/>
  <c r="G644" i="4"/>
  <c r="I643" i="4"/>
  <c r="H643" i="4"/>
  <c r="G643" i="4"/>
  <c r="I642" i="4"/>
  <c r="H642" i="4"/>
  <c r="G642" i="4"/>
  <c r="I641" i="4"/>
  <c r="H641" i="4"/>
  <c r="G641" i="4"/>
  <c r="I640" i="4"/>
  <c r="H640" i="4"/>
  <c r="G640" i="4"/>
  <c r="I639" i="4"/>
  <c r="H639" i="4"/>
  <c r="G639" i="4"/>
  <c r="I638" i="4"/>
  <c r="H638" i="4"/>
  <c r="G638" i="4"/>
  <c r="I637" i="4"/>
  <c r="H637" i="4"/>
  <c r="G637" i="4"/>
  <c r="I636" i="4"/>
  <c r="H636" i="4"/>
  <c r="G636" i="4"/>
  <c r="I635" i="4"/>
  <c r="H635" i="4"/>
  <c r="G635" i="4"/>
  <c r="I634" i="4"/>
  <c r="H634" i="4"/>
  <c r="G634" i="4"/>
  <c r="I633" i="4"/>
  <c r="H633" i="4"/>
  <c r="G633" i="4"/>
  <c r="I632" i="4"/>
  <c r="H632" i="4"/>
  <c r="G632" i="4"/>
  <c r="I631" i="4"/>
  <c r="H631" i="4"/>
  <c r="G631" i="4"/>
  <c r="I630" i="4"/>
  <c r="H630" i="4"/>
  <c r="G630" i="4"/>
  <c r="I629" i="4"/>
  <c r="H629" i="4"/>
  <c r="G629" i="4"/>
  <c r="I628" i="4"/>
  <c r="H628" i="4"/>
  <c r="G628" i="4"/>
  <c r="I627" i="4"/>
  <c r="H627" i="4"/>
  <c r="G627" i="4"/>
  <c r="I626" i="4"/>
  <c r="H626" i="4"/>
  <c r="G626" i="4"/>
  <c r="I625" i="4"/>
  <c r="H625" i="4"/>
  <c r="G625" i="4"/>
  <c r="I624" i="4"/>
  <c r="H624" i="4"/>
  <c r="G624" i="4"/>
  <c r="I623" i="4"/>
  <c r="H623" i="4"/>
  <c r="G623" i="4"/>
  <c r="I622" i="4"/>
  <c r="H622" i="4"/>
  <c r="G622" i="4"/>
  <c r="I621" i="4"/>
  <c r="H621" i="4"/>
  <c r="G621" i="4"/>
  <c r="I620" i="4"/>
  <c r="H620" i="4"/>
  <c r="G620" i="4"/>
  <c r="I619" i="4"/>
  <c r="H619" i="4"/>
  <c r="G619" i="4"/>
  <c r="I618" i="4"/>
  <c r="H618" i="4"/>
  <c r="G618" i="4"/>
  <c r="I617" i="4"/>
  <c r="H617" i="4"/>
  <c r="G617" i="4"/>
  <c r="I616" i="4"/>
  <c r="H616" i="4"/>
  <c r="G616" i="4"/>
  <c r="I615" i="4"/>
  <c r="H615" i="4"/>
  <c r="G615" i="4"/>
  <c r="I614" i="4"/>
  <c r="H614" i="4"/>
  <c r="G614" i="4"/>
  <c r="I613" i="4"/>
  <c r="H613" i="4"/>
  <c r="G613" i="4"/>
  <c r="I612" i="4"/>
  <c r="H612" i="4"/>
  <c r="G612" i="4"/>
  <c r="I611" i="4"/>
  <c r="H611" i="4"/>
  <c r="G611" i="4"/>
  <c r="I610" i="4"/>
  <c r="H610" i="4"/>
  <c r="G610" i="4"/>
  <c r="I609" i="4"/>
  <c r="H609" i="4"/>
  <c r="G609" i="4"/>
  <c r="I608" i="4"/>
  <c r="H608" i="4"/>
  <c r="G608" i="4"/>
  <c r="I607" i="4"/>
  <c r="H607" i="4"/>
  <c r="G607" i="4"/>
  <c r="I606" i="4"/>
  <c r="H606" i="4"/>
  <c r="G606" i="4"/>
  <c r="I605" i="4"/>
  <c r="H605" i="4"/>
  <c r="G605" i="4"/>
  <c r="I604" i="4"/>
  <c r="H604" i="4"/>
  <c r="G604" i="4"/>
  <c r="I603" i="4"/>
  <c r="H603" i="4"/>
  <c r="G603" i="4"/>
  <c r="I602" i="4"/>
  <c r="H602" i="4"/>
  <c r="G602" i="4"/>
  <c r="I601" i="4"/>
  <c r="H601" i="4"/>
  <c r="G601" i="4"/>
  <c r="I600" i="4"/>
  <c r="H600" i="4"/>
  <c r="G600" i="4"/>
  <c r="I599" i="4"/>
  <c r="H599" i="4"/>
  <c r="G599" i="4"/>
  <c r="I598" i="4"/>
  <c r="H598" i="4"/>
  <c r="G598" i="4"/>
  <c r="I597" i="4"/>
  <c r="H597" i="4"/>
  <c r="G597" i="4"/>
  <c r="I596" i="4"/>
  <c r="H596" i="4"/>
  <c r="G596" i="4"/>
  <c r="I595" i="4"/>
  <c r="H595" i="4"/>
  <c r="G595" i="4"/>
  <c r="I594" i="4"/>
  <c r="H594" i="4"/>
  <c r="G594" i="4"/>
  <c r="I593" i="4"/>
  <c r="H593" i="4"/>
  <c r="G593" i="4"/>
  <c r="I592" i="4"/>
  <c r="H592" i="4"/>
  <c r="G592" i="4"/>
  <c r="I591" i="4"/>
  <c r="H591" i="4"/>
  <c r="G591" i="4"/>
  <c r="I590" i="4"/>
  <c r="H590" i="4"/>
  <c r="G590" i="4"/>
  <c r="I589" i="4"/>
  <c r="H589" i="4"/>
  <c r="G589" i="4"/>
  <c r="I588" i="4"/>
  <c r="H588" i="4"/>
  <c r="G588" i="4"/>
  <c r="I587" i="4"/>
  <c r="H587" i="4"/>
  <c r="G587" i="4"/>
  <c r="I586" i="4"/>
  <c r="H586" i="4"/>
  <c r="G586" i="4"/>
  <c r="I585" i="4"/>
  <c r="H585" i="4"/>
  <c r="G585" i="4"/>
  <c r="I584" i="4"/>
  <c r="H584" i="4"/>
  <c r="G584" i="4"/>
  <c r="I583" i="4"/>
  <c r="H583" i="4"/>
  <c r="G583" i="4"/>
  <c r="I582" i="4"/>
  <c r="H582" i="4"/>
  <c r="G582" i="4"/>
  <c r="I581" i="4"/>
  <c r="H581" i="4"/>
  <c r="G581" i="4"/>
  <c r="I580" i="4"/>
  <c r="H580" i="4"/>
  <c r="G580" i="4"/>
  <c r="I579" i="4"/>
  <c r="H579" i="4"/>
  <c r="G579" i="4"/>
  <c r="I578" i="4"/>
  <c r="H578" i="4"/>
  <c r="G578" i="4"/>
  <c r="I577" i="4"/>
  <c r="H577" i="4"/>
  <c r="G577" i="4"/>
  <c r="I576" i="4"/>
  <c r="H576" i="4"/>
  <c r="G576" i="4"/>
  <c r="I575" i="4"/>
  <c r="H575" i="4"/>
  <c r="G575" i="4"/>
  <c r="I574" i="4"/>
  <c r="H574" i="4"/>
  <c r="G574" i="4"/>
  <c r="I573" i="4"/>
  <c r="H573" i="4"/>
  <c r="G573" i="4"/>
  <c r="I572" i="4"/>
  <c r="H572" i="4"/>
  <c r="G572" i="4"/>
  <c r="I571" i="4"/>
  <c r="H571" i="4"/>
  <c r="G571" i="4"/>
  <c r="I570" i="4"/>
  <c r="H570" i="4"/>
  <c r="G570" i="4"/>
  <c r="I569" i="4"/>
  <c r="H569" i="4"/>
  <c r="G569" i="4"/>
  <c r="I568" i="4"/>
  <c r="H568" i="4"/>
  <c r="G568" i="4"/>
  <c r="I567" i="4"/>
  <c r="H567" i="4"/>
  <c r="G567" i="4"/>
  <c r="I566" i="4"/>
  <c r="H566" i="4"/>
  <c r="G566" i="4"/>
  <c r="I565" i="4"/>
  <c r="H565" i="4"/>
  <c r="G565" i="4"/>
  <c r="I564" i="4"/>
  <c r="H564" i="4"/>
  <c r="G564" i="4"/>
  <c r="I563" i="4"/>
  <c r="H563" i="4"/>
  <c r="G563" i="4"/>
  <c r="I562" i="4"/>
  <c r="H562" i="4"/>
  <c r="G562" i="4"/>
  <c r="I561" i="4"/>
  <c r="H561" i="4"/>
  <c r="G561" i="4"/>
  <c r="I560" i="4"/>
  <c r="H560" i="4"/>
  <c r="G560" i="4"/>
  <c r="I559" i="4"/>
  <c r="H559" i="4"/>
  <c r="G559" i="4"/>
  <c r="I558" i="4"/>
  <c r="H558" i="4"/>
  <c r="G558" i="4"/>
  <c r="I557" i="4"/>
  <c r="H557" i="4"/>
  <c r="G557" i="4"/>
  <c r="I556" i="4"/>
  <c r="H556" i="4"/>
  <c r="G556" i="4"/>
  <c r="I555" i="4"/>
  <c r="H555" i="4"/>
  <c r="G555" i="4"/>
  <c r="I554" i="4"/>
  <c r="H554" i="4"/>
  <c r="G554" i="4"/>
  <c r="I553" i="4"/>
  <c r="H553" i="4"/>
  <c r="G553" i="4"/>
  <c r="I552" i="4"/>
  <c r="H552" i="4"/>
  <c r="G552" i="4"/>
  <c r="I551" i="4"/>
  <c r="H551" i="4"/>
  <c r="G551" i="4"/>
  <c r="I550" i="4"/>
  <c r="H550" i="4"/>
  <c r="G550" i="4"/>
  <c r="I549" i="4"/>
  <c r="H549" i="4"/>
  <c r="G549" i="4"/>
  <c r="I548" i="4"/>
  <c r="H548" i="4"/>
  <c r="G548" i="4"/>
  <c r="I547" i="4"/>
  <c r="H547" i="4"/>
  <c r="G547" i="4"/>
  <c r="I546" i="4"/>
  <c r="H546" i="4"/>
  <c r="G546" i="4"/>
  <c r="I545" i="4"/>
  <c r="H545" i="4"/>
  <c r="G545" i="4"/>
  <c r="I544" i="4"/>
  <c r="H544" i="4"/>
  <c r="G544" i="4"/>
  <c r="I543" i="4"/>
  <c r="H543" i="4"/>
  <c r="G543" i="4"/>
  <c r="I542" i="4"/>
  <c r="H542" i="4"/>
  <c r="G542" i="4"/>
  <c r="I541" i="4"/>
  <c r="H541" i="4"/>
  <c r="G541" i="4"/>
  <c r="I540" i="4"/>
  <c r="H540" i="4"/>
  <c r="G540" i="4"/>
  <c r="I539" i="4"/>
  <c r="H539" i="4"/>
  <c r="G539" i="4"/>
  <c r="I538" i="4"/>
  <c r="H538" i="4"/>
  <c r="G538" i="4"/>
  <c r="I537" i="4"/>
  <c r="H537" i="4"/>
  <c r="G537" i="4"/>
  <c r="I536" i="4"/>
  <c r="H536" i="4"/>
  <c r="G536" i="4"/>
  <c r="I535" i="4"/>
  <c r="H535" i="4"/>
  <c r="G535" i="4"/>
  <c r="I534" i="4"/>
  <c r="H534" i="4"/>
  <c r="G534" i="4"/>
  <c r="I533" i="4"/>
  <c r="H533" i="4"/>
  <c r="G533" i="4"/>
  <c r="I532" i="4"/>
  <c r="H532" i="4"/>
  <c r="G532" i="4"/>
  <c r="I531" i="4"/>
  <c r="H531" i="4"/>
  <c r="G531" i="4"/>
  <c r="I530" i="4"/>
  <c r="H530" i="4"/>
  <c r="G530" i="4"/>
  <c r="I529" i="4"/>
  <c r="H529" i="4"/>
  <c r="G529" i="4"/>
  <c r="I528" i="4"/>
  <c r="H528" i="4"/>
  <c r="G528" i="4"/>
  <c r="I527" i="4"/>
  <c r="H527" i="4"/>
  <c r="G527" i="4"/>
  <c r="I526" i="4"/>
  <c r="H526" i="4"/>
  <c r="G526" i="4"/>
  <c r="I525" i="4"/>
  <c r="H525" i="4"/>
  <c r="G525" i="4"/>
  <c r="I524" i="4"/>
  <c r="H524" i="4"/>
  <c r="G524" i="4"/>
  <c r="I523" i="4"/>
  <c r="H523" i="4"/>
  <c r="G523" i="4"/>
  <c r="I522" i="4"/>
  <c r="H522" i="4"/>
  <c r="G522" i="4"/>
  <c r="I521" i="4"/>
  <c r="H521" i="4"/>
  <c r="G521" i="4"/>
  <c r="I520" i="4"/>
  <c r="H520" i="4"/>
  <c r="G520" i="4"/>
  <c r="I519" i="4"/>
  <c r="H519" i="4"/>
  <c r="G519" i="4"/>
  <c r="I518" i="4"/>
  <c r="H518" i="4"/>
  <c r="G518" i="4"/>
  <c r="I517" i="4"/>
  <c r="H517" i="4"/>
  <c r="G517" i="4"/>
  <c r="I516" i="4"/>
  <c r="H516" i="4"/>
  <c r="G516" i="4"/>
  <c r="I515" i="4"/>
  <c r="H515" i="4"/>
  <c r="G515" i="4"/>
  <c r="I514" i="4"/>
  <c r="H514" i="4"/>
  <c r="G514" i="4"/>
  <c r="I513" i="4"/>
  <c r="H513" i="4"/>
  <c r="G513" i="4"/>
  <c r="I512" i="4"/>
  <c r="H512" i="4"/>
  <c r="G512" i="4"/>
  <c r="I511" i="4"/>
  <c r="H511" i="4"/>
  <c r="G511" i="4"/>
  <c r="I510" i="4"/>
  <c r="H510" i="4"/>
  <c r="G510" i="4"/>
  <c r="I509" i="4"/>
  <c r="H509" i="4"/>
  <c r="G509" i="4"/>
  <c r="I508" i="4"/>
  <c r="H508" i="4"/>
  <c r="G508" i="4"/>
  <c r="I507" i="4"/>
  <c r="H507" i="4"/>
  <c r="G507" i="4"/>
  <c r="I506" i="4"/>
  <c r="H506" i="4"/>
  <c r="G506" i="4"/>
  <c r="I505" i="4"/>
  <c r="H505" i="4"/>
  <c r="G505" i="4"/>
  <c r="I504" i="4"/>
  <c r="H504" i="4"/>
  <c r="G504" i="4"/>
  <c r="I503" i="4"/>
  <c r="H503" i="4"/>
  <c r="G503" i="4"/>
  <c r="I502" i="4"/>
  <c r="H502" i="4"/>
  <c r="G502" i="4"/>
  <c r="I501" i="4"/>
  <c r="H501" i="4"/>
  <c r="G501" i="4"/>
  <c r="I500" i="4"/>
  <c r="H500" i="4"/>
  <c r="G500" i="4"/>
  <c r="I499" i="4"/>
  <c r="H499" i="4"/>
  <c r="G499" i="4"/>
  <c r="I498" i="4"/>
  <c r="H498" i="4"/>
  <c r="G498" i="4"/>
  <c r="I497" i="4"/>
  <c r="H497" i="4"/>
  <c r="G497" i="4"/>
  <c r="I496" i="4"/>
  <c r="H496" i="4"/>
  <c r="G496" i="4"/>
  <c r="I495" i="4"/>
  <c r="H495" i="4"/>
  <c r="G495" i="4"/>
  <c r="I494" i="4"/>
  <c r="H494" i="4"/>
  <c r="G494" i="4"/>
  <c r="I493" i="4"/>
  <c r="H493" i="4"/>
  <c r="G493" i="4"/>
  <c r="I492" i="4"/>
  <c r="H492" i="4"/>
  <c r="G492" i="4"/>
  <c r="I491" i="4"/>
  <c r="H491" i="4"/>
  <c r="G491" i="4"/>
  <c r="I490" i="4"/>
  <c r="H490" i="4"/>
  <c r="G490" i="4"/>
  <c r="I489" i="4"/>
  <c r="H489" i="4"/>
  <c r="G489" i="4"/>
  <c r="I488" i="4"/>
  <c r="H488" i="4"/>
  <c r="G488" i="4"/>
  <c r="I487" i="4"/>
  <c r="H487" i="4"/>
  <c r="G487" i="4"/>
  <c r="I486" i="4"/>
  <c r="H486" i="4"/>
  <c r="G486" i="4"/>
  <c r="I485" i="4"/>
  <c r="H485" i="4"/>
  <c r="G485" i="4"/>
  <c r="I484" i="4"/>
  <c r="H484" i="4"/>
  <c r="G484" i="4"/>
  <c r="I483" i="4"/>
  <c r="H483" i="4"/>
  <c r="G483" i="4"/>
  <c r="I482" i="4"/>
  <c r="H482" i="4"/>
  <c r="G482" i="4"/>
  <c r="I481" i="4"/>
  <c r="H481" i="4"/>
  <c r="G481" i="4"/>
  <c r="I480" i="4"/>
  <c r="H480" i="4"/>
  <c r="G480" i="4"/>
  <c r="I479" i="4"/>
  <c r="H479" i="4"/>
  <c r="G479" i="4"/>
  <c r="I478" i="4"/>
  <c r="H478" i="4"/>
  <c r="G478" i="4"/>
  <c r="I477" i="4"/>
  <c r="H477" i="4"/>
  <c r="G477" i="4"/>
  <c r="I476" i="4"/>
  <c r="H476" i="4"/>
  <c r="G476" i="4"/>
  <c r="I475" i="4"/>
  <c r="H475" i="4"/>
  <c r="G475" i="4"/>
  <c r="I474" i="4"/>
  <c r="H474" i="4"/>
  <c r="G474" i="4"/>
  <c r="I473" i="4"/>
  <c r="H473" i="4"/>
  <c r="G473" i="4"/>
  <c r="I472" i="4"/>
  <c r="H472" i="4"/>
  <c r="G472" i="4"/>
  <c r="I471" i="4"/>
  <c r="H471" i="4"/>
  <c r="G471" i="4"/>
  <c r="I470" i="4"/>
  <c r="H470" i="4"/>
  <c r="G470" i="4"/>
  <c r="I469" i="4"/>
  <c r="H469" i="4"/>
  <c r="G469" i="4"/>
  <c r="I468" i="4"/>
  <c r="H468" i="4"/>
  <c r="G468" i="4"/>
  <c r="I467" i="4"/>
  <c r="H467" i="4"/>
  <c r="G467" i="4"/>
  <c r="I466" i="4"/>
  <c r="H466" i="4"/>
  <c r="G466" i="4"/>
  <c r="I465" i="4"/>
  <c r="H465" i="4"/>
  <c r="G465" i="4"/>
  <c r="I464" i="4"/>
  <c r="H464" i="4"/>
  <c r="G464" i="4"/>
  <c r="I463" i="4"/>
  <c r="H463" i="4"/>
  <c r="G463" i="4"/>
  <c r="I462" i="4"/>
  <c r="H462" i="4"/>
  <c r="G462" i="4"/>
  <c r="I461" i="4"/>
  <c r="H461" i="4"/>
  <c r="G461" i="4"/>
  <c r="I460" i="4"/>
  <c r="H460" i="4"/>
  <c r="G460" i="4"/>
  <c r="I459" i="4"/>
  <c r="H459" i="4"/>
  <c r="G459" i="4"/>
  <c r="I458" i="4"/>
  <c r="H458" i="4"/>
  <c r="G458" i="4"/>
  <c r="I457" i="4"/>
  <c r="H457" i="4"/>
  <c r="G457" i="4"/>
  <c r="I456" i="4"/>
  <c r="H456" i="4"/>
  <c r="G456" i="4"/>
  <c r="I455" i="4"/>
  <c r="H455" i="4"/>
  <c r="G455" i="4"/>
  <c r="I454" i="4"/>
  <c r="H454" i="4"/>
  <c r="G454" i="4"/>
  <c r="I453" i="4"/>
  <c r="H453" i="4"/>
  <c r="G453" i="4"/>
  <c r="I452" i="4"/>
  <c r="H452" i="4"/>
  <c r="G452" i="4"/>
  <c r="I451" i="4"/>
  <c r="H451" i="4"/>
  <c r="G451" i="4"/>
  <c r="I450" i="4"/>
  <c r="H450" i="4"/>
  <c r="G450" i="4"/>
  <c r="I449" i="4"/>
  <c r="H449" i="4"/>
  <c r="G449" i="4"/>
  <c r="I448" i="4"/>
  <c r="H448" i="4"/>
  <c r="G448" i="4"/>
  <c r="I447" i="4"/>
  <c r="H447" i="4"/>
  <c r="G447" i="4"/>
  <c r="I446" i="4"/>
  <c r="H446" i="4"/>
  <c r="G446" i="4"/>
  <c r="I445" i="4"/>
  <c r="H445" i="4"/>
  <c r="G445" i="4"/>
  <c r="I444" i="4"/>
  <c r="H444" i="4"/>
  <c r="G444" i="4"/>
  <c r="I443" i="4"/>
  <c r="H443" i="4"/>
  <c r="G443" i="4"/>
  <c r="I442" i="4"/>
  <c r="H442" i="4"/>
  <c r="G442" i="4"/>
  <c r="I441" i="4"/>
  <c r="H441" i="4"/>
  <c r="G441" i="4"/>
  <c r="I440" i="4"/>
  <c r="H440" i="4"/>
  <c r="G440" i="4"/>
  <c r="I439" i="4"/>
  <c r="H439" i="4"/>
  <c r="G439" i="4"/>
  <c r="I438" i="4"/>
  <c r="H438" i="4"/>
  <c r="G438" i="4"/>
  <c r="I437" i="4"/>
  <c r="H437" i="4"/>
  <c r="G437" i="4"/>
  <c r="I436" i="4"/>
  <c r="H436" i="4"/>
  <c r="G436" i="4"/>
  <c r="I435" i="4"/>
  <c r="H435" i="4"/>
  <c r="G435" i="4"/>
  <c r="I434" i="4"/>
  <c r="H434" i="4"/>
  <c r="G434" i="4"/>
  <c r="I433" i="4"/>
  <c r="H433" i="4"/>
  <c r="G433" i="4"/>
  <c r="I432" i="4"/>
  <c r="H432" i="4"/>
  <c r="G432" i="4"/>
  <c r="I431" i="4"/>
  <c r="H431" i="4"/>
  <c r="G431" i="4"/>
  <c r="I430" i="4"/>
  <c r="H430" i="4"/>
  <c r="G430" i="4"/>
  <c r="I429" i="4"/>
  <c r="H429" i="4"/>
  <c r="G429" i="4"/>
  <c r="I428" i="4"/>
  <c r="H428" i="4"/>
  <c r="G428" i="4"/>
  <c r="I427" i="4"/>
  <c r="H427" i="4"/>
  <c r="G427" i="4"/>
  <c r="I426" i="4"/>
  <c r="H426" i="4"/>
  <c r="G426" i="4"/>
  <c r="I425" i="4"/>
  <c r="H425" i="4"/>
  <c r="G425" i="4"/>
  <c r="I424" i="4"/>
  <c r="H424" i="4"/>
  <c r="G424" i="4"/>
  <c r="I423" i="4"/>
  <c r="H423" i="4"/>
  <c r="G423" i="4"/>
  <c r="I422" i="4"/>
  <c r="H422" i="4"/>
  <c r="G422" i="4"/>
  <c r="I421" i="4"/>
  <c r="H421" i="4"/>
  <c r="G421" i="4"/>
  <c r="I420" i="4"/>
  <c r="H420" i="4"/>
  <c r="G420" i="4"/>
  <c r="I419" i="4"/>
  <c r="H419" i="4"/>
  <c r="G419" i="4"/>
  <c r="I418" i="4"/>
  <c r="H418" i="4"/>
  <c r="G418" i="4"/>
  <c r="I417" i="4"/>
  <c r="H417" i="4"/>
  <c r="G417" i="4"/>
  <c r="I416" i="4"/>
  <c r="H416" i="4"/>
  <c r="G416" i="4"/>
  <c r="I415" i="4"/>
  <c r="H415" i="4"/>
  <c r="G415" i="4"/>
  <c r="I414" i="4"/>
  <c r="H414" i="4"/>
  <c r="G414" i="4"/>
  <c r="I413" i="4"/>
  <c r="H413" i="4"/>
  <c r="G413" i="4"/>
  <c r="I412" i="4"/>
  <c r="H412" i="4"/>
  <c r="G412" i="4"/>
  <c r="I411" i="4"/>
  <c r="H411" i="4"/>
  <c r="G411" i="4"/>
  <c r="I410" i="4"/>
  <c r="H410" i="4"/>
  <c r="G410" i="4"/>
  <c r="I409" i="4"/>
  <c r="H409" i="4"/>
  <c r="G409" i="4"/>
  <c r="I408" i="4"/>
  <c r="H408" i="4"/>
  <c r="G408" i="4"/>
  <c r="I407" i="4"/>
  <c r="H407" i="4"/>
  <c r="G407" i="4"/>
  <c r="I406" i="4"/>
  <c r="H406" i="4"/>
  <c r="G406" i="4"/>
  <c r="I405" i="4"/>
  <c r="H405" i="4"/>
  <c r="G405" i="4"/>
  <c r="I404" i="4"/>
  <c r="H404" i="4"/>
  <c r="G404" i="4"/>
  <c r="I403" i="4"/>
  <c r="H403" i="4"/>
  <c r="G403" i="4"/>
  <c r="I402" i="4"/>
  <c r="H402" i="4"/>
  <c r="G402" i="4"/>
  <c r="I401" i="4"/>
  <c r="H401" i="4"/>
  <c r="G401" i="4"/>
  <c r="I400" i="4"/>
  <c r="H400" i="4"/>
  <c r="G400" i="4"/>
  <c r="I399" i="4"/>
  <c r="H399" i="4"/>
  <c r="G399" i="4"/>
  <c r="I398" i="4"/>
  <c r="H398" i="4"/>
  <c r="G398" i="4"/>
  <c r="I397" i="4"/>
  <c r="H397" i="4"/>
  <c r="G397" i="4"/>
  <c r="I396" i="4"/>
  <c r="H396" i="4"/>
  <c r="G396" i="4"/>
  <c r="I395" i="4"/>
  <c r="H395" i="4"/>
  <c r="G395" i="4"/>
  <c r="I394" i="4"/>
  <c r="H394" i="4"/>
  <c r="G394" i="4"/>
  <c r="I393" i="4"/>
  <c r="H393" i="4"/>
  <c r="G393" i="4"/>
  <c r="I392" i="4"/>
  <c r="H392" i="4"/>
  <c r="G392" i="4"/>
  <c r="I391" i="4"/>
  <c r="H391" i="4"/>
  <c r="G391" i="4"/>
  <c r="I390" i="4"/>
  <c r="H390" i="4"/>
  <c r="G390" i="4"/>
  <c r="I389" i="4"/>
  <c r="H389" i="4"/>
  <c r="G389" i="4"/>
  <c r="I388" i="4"/>
  <c r="H388" i="4"/>
  <c r="G388" i="4"/>
  <c r="I387" i="4"/>
  <c r="H387" i="4"/>
  <c r="G387" i="4"/>
  <c r="I386" i="4"/>
  <c r="H386" i="4"/>
  <c r="G386" i="4"/>
  <c r="I385" i="4"/>
  <c r="H385" i="4"/>
  <c r="G385" i="4"/>
  <c r="I384" i="4"/>
  <c r="H384" i="4"/>
  <c r="G384" i="4"/>
  <c r="I383" i="4"/>
  <c r="H383" i="4"/>
  <c r="G383" i="4"/>
  <c r="I382" i="4"/>
  <c r="H382" i="4"/>
  <c r="G382" i="4"/>
  <c r="I381" i="4"/>
  <c r="H381" i="4"/>
  <c r="G381" i="4"/>
  <c r="I380" i="4"/>
  <c r="H380" i="4"/>
  <c r="G380" i="4"/>
  <c r="I379" i="4"/>
  <c r="H379" i="4"/>
  <c r="G379" i="4"/>
  <c r="I378" i="4"/>
  <c r="H378" i="4"/>
  <c r="G378" i="4"/>
  <c r="I377" i="4"/>
  <c r="H377" i="4"/>
  <c r="G377" i="4"/>
  <c r="I376" i="4"/>
  <c r="H376" i="4"/>
  <c r="G376" i="4"/>
  <c r="I375" i="4"/>
  <c r="H375" i="4"/>
  <c r="G375" i="4"/>
  <c r="I374" i="4"/>
  <c r="H374" i="4"/>
  <c r="G374" i="4"/>
  <c r="I373" i="4"/>
  <c r="H373" i="4"/>
  <c r="G373" i="4"/>
  <c r="I372" i="4"/>
  <c r="H372" i="4"/>
  <c r="G372" i="4"/>
  <c r="I371" i="4"/>
  <c r="H371" i="4"/>
  <c r="G371" i="4"/>
  <c r="I370" i="4"/>
  <c r="H370" i="4"/>
  <c r="G370" i="4"/>
  <c r="I369" i="4"/>
  <c r="H369" i="4"/>
  <c r="G369" i="4"/>
  <c r="I368" i="4"/>
  <c r="H368" i="4"/>
  <c r="G368" i="4"/>
  <c r="I367" i="4"/>
  <c r="H367" i="4"/>
  <c r="G367" i="4"/>
  <c r="I366" i="4"/>
  <c r="H366" i="4"/>
  <c r="G366" i="4"/>
  <c r="I365" i="4"/>
  <c r="H365" i="4"/>
  <c r="G365" i="4"/>
  <c r="I364" i="4"/>
  <c r="H364" i="4"/>
  <c r="G364" i="4"/>
  <c r="I363" i="4"/>
  <c r="H363" i="4"/>
  <c r="G363" i="4"/>
  <c r="I362" i="4"/>
  <c r="H362" i="4"/>
  <c r="G362" i="4"/>
  <c r="I361" i="4"/>
  <c r="H361" i="4"/>
  <c r="G361" i="4"/>
  <c r="I360" i="4"/>
  <c r="H360" i="4"/>
  <c r="G360" i="4"/>
  <c r="I359" i="4"/>
  <c r="H359" i="4"/>
  <c r="G359" i="4"/>
  <c r="I358" i="4"/>
  <c r="H358" i="4"/>
  <c r="G358" i="4"/>
  <c r="I357" i="4"/>
  <c r="H357" i="4"/>
  <c r="G357" i="4"/>
  <c r="I356" i="4"/>
  <c r="H356" i="4"/>
  <c r="G356" i="4"/>
  <c r="I355" i="4"/>
  <c r="H355" i="4"/>
  <c r="G355" i="4"/>
  <c r="I354" i="4"/>
  <c r="H354" i="4"/>
  <c r="G354" i="4"/>
  <c r="I353" i="4"/>
  <c r="H353" i="4"/>
  <c r="G353" i="4"/>
  <c r="I352" i="4"/>
  <c r="H352" i="4"/>
  <c r="G352" i="4"/>
  <c r="I351" i="4"/>
  <c r="H351" i="4"/>
  <c r="G351" i="4"/>
  <c r="I350" i="4"/>
  <c r="H350" i="4"/>
  <c r="G350" i="4"/>
  <c r="I349" i="4"/>
  <c r="H349" i="4"/>
  <c r="G349" i="4"/>
  <c r="I348" i="4"/>
  <c r="H348" i="4"/>
  <c r="G348" i="4"/>
  <c r="I347" i="4"/>
  <c r="H347" i="4"/>
  <c r="G347" i="4"/>
  <c r="I346" i="4"/>
  <c r="H346" i="4"/>
  <c r="G346" i="4"/>
  <c r="I345" i="4"/>
  <c r="H345" i="4"/>
  <c r="G345" i="4"/>
  <c r="I344" i="4"/>
  <c r="H344" i="4"/>
  <c r="G344" i="4"/>
  <c r="I343" i="4"/>
  <c r="H343" i="4"/>
  <c r="G343" i="4"/>
  <c r="I342" i="4"/>
  <c r="H342" i="4"/>
  <c r="G342" i="4"/>
  <c r="I341" i="4"/>
  <c r="H341" i="4"/>
  <c r="G341" i="4"/>
  <c r="I340" i="4"/>
  <c r="H340" i="4"/>
  <c r="G340" i="4"/>
  <c r="I339" i="4"/>
  <c r="H339" i="4"/>
  <c r="G339" i="4"/>
  <c r="I338" i="4"/>
  <c r="H338" i="4"/>
  <c r="G338" i="4"/>
  <c r="I337" i="4"/>
  <c r="H337" i="4"/>
  <c r="G337" i="4"/>
  <c r="I336" i="4"/>
  <c r="H336" i="4"/>
  <c r="G336" i="4"/>
  <c r="I335" i="4"/>
  <c r="H335" i="4"/>
  <c r="G335" i="4"/>
  <c r="I334" i="4"/>
  <c r="H334" i="4"/>
  <c r="G334" i="4"/>
  <c r="I333" i="4"/>
  <c r="H333" i="4"/>
  <c r="G333" i="4"/>
  <c r="I332" i="4"/>
  <c r="H332" i="4"/>
  <c r="G332" i="4"/>
  <c r="I331" i="4"/>
  <c r="H331" i="4"/>
  <c r="G331" i="4"/>
  <c r="I330" i="4"/>
  <c r="H330" i="4"/>
  <c r="G330" i="4"/>
  <c r="I329" i="4"/>
  <c r="H329" i="4"/>
  <c r="G329" i="4"/>
  <c r="I328" i="4"/>
  <c r="H328" i="4"/>
  <c r="G328" i="4"/>
  <c r="I327" i="4"/>
  <c r="H327" i="4"/>
  <c r="G327" i="4"/>
  <c r="I326" i="4"/>
  <c r="H326" i="4"/>
  <c r="G326" i="4"/>
  <c r="I325" i="4"/>
  <c r="H325" i="4"/>
  <c r="G325" i="4"/>
  <c r="I324" i="4"/>
  <c r="H324" i="4"/>
  <c r="G324" i="4"/>
  <c r="I323" i="4"/>
  <c r="H323" i="4"/>
  <c r="G323" i="4"/>
  <c r="I322" i="4"/>
  <c r="H322" i="4"/>
  <c r="G322" i="4"/>
  <c r="I321" i="4"/>
  <c r="H321" i="4"/>
  <c r="G321" i="4"/>
  <c r="I320" i="4"/>
  <c r="H320" i="4"/>
  <c r="G320" i="4"/>
  <c r="I319" i="4"/>
  <c r="H319" i="4"/>
  <c r="G319" i="4"/>
  <c r="I318" i="4"/>
  <c r="H318" i="4"/>
  <c r="G318" i="4"/>
  <c r="I317" i="4"/>
  <c r="H317" i="4"/>
  <c r="G317" i="4"/>
  <c r="I316" i="4"/>
  <c r="H316" i="4"/>
  <c r="G316" i="4"/>
  <c r="I315" i="4"/>
  <c r="H315" i="4"/>
  <c r="G315" i="4"/>
  <c r="I314" i="4"/>
  <c r="H314" i="4"/>
  <c r="G314" i="4"/>
  <c r="I313" i="4"/>
  <c r="H313" i="4"/>
  <c r="G313" i="4"/>
  <c r="I312" i="4"/>
  <c r="H312" i="4"/>
  <c r="G312" i="4"/>
  <c r="I311" i="4"/>
  <c r="H311" i="4"/>
  <c r="G311" i="4"/>
  <c r="I310" i="4"/>
  <c r="H310" i="4"/>
  <c r="G310" i="4"/>
  <c r="I309" i="4"/>
  <c r="H309" i="4"/>
  <c r="G309" i="4"/>
  <c r="I308" i="4"/>
  <c r="H308" i="4"/>
  <c r="G308" i="4"/>
  <c r="I307" i="4"/>
  <c r="H307" i="4"/>
  <c r="G307" i="4"/>
  <c r="I306" i="4"/>
  <c r="H306" i="4"/>
  <c r="G306" i="4"/>
  <c r="I305" i="4"/>
  <c r="H305" i="4"/>
  <c r="G305" i="4"/>
  <c r="I304" i="4"/>
  <c r="H304" i="4"/>
  <c r="G304" i="4"/>
  <c r="I303" i="4"/>
  <c r="H303" i="4"/>
  <c r="G303" i="4"/>
  <c r="I302" i="4"/>
  <c r="H302" i="4"/>
  <c r="G302" i="4"/>
  <c r="I301" i="4"/>
  <c r="H301" i="4"/>
  <c r="G301" i="4"/>
  <c r="I300" i="4"/>
  <c r="H300" i="4"/>
  <c r="G300" i="4"/>
  <c r="I299" i="4"/>
  <c r="H299" i="4"/>
  <c r="G299" i="4"/>
  <c r="I298" i="4"/>
  <c r="H298" i="4"/>
  <c r="G298" i="4"/>
  <c r="I297" i="4"/>
  <c r="H297" i="4"/>
  <c r="G297" i="4"/>
  <c r="I296" i="4"/>
  <c r="H296" i="4"/>
  <c r="G296" i="4"/>
  <c r="I295" i="4"/>
  <c r="H295" i="4"/>
  <c r="G295" i="4"/>
  <c r="I294" i="4"/>
  <c r="H294" i="4"/>
  <c r="G294" i="4"/>
  <c r="I293" i="4"/>
  <c r="H293" i="4"/>
  <c r="G293" i="4"/>
  <c r="I292" i="4"/>
  <c r="H292" i="4"/>
  <c r="G292" i="4"/>
  <c r="I291" i="4"/>
  <c r="H291" i="4"/>
  <c r="G291" i="4"/>
  <c r="I290" i="4"/>
  <c r="H290" i="4"/>
  <c r="G290" i="4"/>
  <c r="I289" i="4"/>
  <c r="H289" i="4"/>
  <c r="G289" i="4"/>
  <c r="I288" i="4"/>
  <c r="H288" i="4"/>
  <c r="G288" i="4"/>
  <c r="I287" i="4"/>
  <c r="H287" i="4"/>
  <c r="G287" i="4"/>
  <c r="I286" i="4"/>
  <c r="H286" i="4"/>
  <c r="G286" i="4"/>
  <c r="I285" i="4"/>
  <c r="H285" i="4"/>
  <c r="G285" i="4"/>
  <c r="I284" i="4"/>
  <c r="H284" i="4"/>
  <c r="G284" i="4"/>
  <c r="I283" i="4"/>
  <c r="H283" i="4"/>
  <c r="G283" i="4"/>
  <c r="I282" i="4"/>
  <c r="H282" i="4"/>
  <c r="G282" i="4"/>
  <c r="I281" i="4"/>
  <c r="H281" i="4"/>
  <c r="G281" i="4"/>
  <c r="I280" i="4"/>
  <c r="H280" i="4"/>
  <c r="G280" i="4"/>
  <c r="I279" i="4"/>
  <c r="H279" i="4"/>
  <c r="G279" i="4"/>
  <c r="I278" i="4"/>
  <c r="H278" i="4"/>
  <c r="G278" i="4"/>
  <c r="I277" i="4"/>
  <c r="H277" i="4"/>
  <c r="G277" i="4"/>
  <c r="I276" i="4"/>
  <c r="H276" i="4"/>
  <c r="G276" i="4"/>
  <c r="I275" i="4"/>
  <c r="H275" i="4"/>
  <c r="G275" i="4"/>
  <c r="I274" i="4"/>
  <c r="H274" i="4"/>
  <c r="G274" i="4"/>
  <c r="I273" i="4"/>
  <c r="H273" i="4"/>
  <c r="G273" i="4"/>
  <c r="I272" i="4"/>
  <c r="H272" i="4"/>
  <c r="G272" i="4"/>
  <c r="I271" i="4"/>
  <c r="H271" i="4"/>
  <c r="G271" i="4"/>
  <c r="I270" i="4"/>
  <c r="H270" i="4"/>
  <c r="G270" i="4"/>
  <c r="I269" i="4"/>
  <c r="H269" i="4"/>
  <c r="G269" i="4"/>
  <c r="I268" i="4"/>
  <c r="H268" i="4"/>
  <c r="G268" i="4"/>
  <c r="I267" i="4"/>
  <c r="H267" i="4"/>
  <c r="G267" i="4"/>
  <c r="I266" i="4"/>
  <c r="H266" i="4"/>
  <c r="G266" i="4"/>
  <c r="I265" i="4"/>
  <c r="H265" i="4"/>
  <c r="G265" i="4"/>
  <c r="I264" i="4"/>
  <c r="H264" i="4"/>
  <c r="G264" i="4"/>
  <c r="I263" i="4"/>
  <c r="H263" i="4"/>
  <c r="G263" i="4"/>
  <c r="I262" i="4"/>
  <c r="H262" i="4"/>
  <c r="G262" i="4"/>
  <c r="I261" i="4"/>
  <c r="H261" i="4"/>
  <c r="G261" i="4"/>
  <c r="I260" i="4"/>
  <c r="H260" i="4"/>
  <c r="G260" i="4"/>
  <c r="I259" i="4"/>
  <c r="H259" i="4"/>
  <c r="G259" i="4"/>
  <c r="I258" i="4"/>
  <c r="H258" i="4"/>
  <c r="G258" i="4"/>
  <c r="I257" i="4"/>
  <c r="H257" i="4"/>
  <c r="G257" i="4"/>
  <c r="I256" i="4"/>
  <c r="H256" i="4"/>
  <c r="G256" i="4"/>
  <c r="I255" i="4"/>
  <c r="H255" i="4"/>
  <c r="G255" i="4"/>
  <c r="I254" i="4"/>
  <c r="H254" i="4"/>
  <c r="G254" i="4"/>
  <c r="I253" i="4"/>
  <c r="H253" i="4"/>
  <c r="G253" i="4"/>
  <c r="I252" i="4"/>
  <c r="H252" i="4"/>
  <c r="G252" i="4"/>
  <c r="I251" i="4"/>
  <c r="H251" i="4"/>
  <c r="G251" i="4"/>
  <c r="I250" i="4"/>
  <c r="H250" i="4"/>
  <c r="G250" i="4"/>
  <c r="I249" i="4"/>
  <c r="H249" i="4"/>
  <c r="G249" i="4"/>
  <c r="I248" i="4"/>
  <c r="H248" i="4"/>
  <c r="G248" i="4"/>
  <c r="I247" i="4"/>
  <c r="H247" i="4"/>
  <c r="G247" i="4"/>
  <c r="I246" i="4"/>
  <c r="H246" i="4"/>
  <c r="G246" i="4"/>
  <c r="I245" i="4"/>
  <c r="H245" i="4"/>
  <c r="G245" i="4"/>
  <c r="I244" i="4"/>
  <c r="H244" i="4"/>
  <c r="G244" i="4"/>
  <c r="I243" i="4"/>
  <c r="H243" i="4"/>
  <c r="G243" i="4"/>
  <c r="I242" i="4"/>
  <c r="H242" i="4"/>
  <c r="G242" i="4"/>
  <c r="I241" i="4"/>
  <c r="H241" i="4"/>
  <c r="G241" i="4"/>
  <c r="I240" i="4"/>
  <c r="H240" i="4"/>
  <c r="G240" i="4"/>
  <c r="I239" i="4"/>
  <c r="H239" i="4"/>
  <c r="G239" i="4"/>
  <c r="I238" i="4"/>
  <c r="H238" i="4"/>
  <c r="G238" i="4"/>
  <c r="I237" i="4"/>
  <c r="H237" i="4"/>
  <c r="G237" i="4"/>
  <c r="I236" i="4"/>
  <c r="H236" i="4"/>
  <c r="G236" i="4"/>
  <c r="I235" i="4"/>
  <c r="H235" i="4"/>
  <c r="G235" i="4"/>
  <c r="I234" i="4"/>
  <c r="H234" i="4"/>
  <c r="G234" i="4"/>
  <c r="I233" i="4"/>
  <c r="H233" i="4"/>
  <c r="G233" i="4"/>
  <c r="I232" i="4"/>
  <c r="H232" i="4"/>
  <c r="G232" i="4"/>
  <c r="I231" i="4"/>
  <c r="H231" i="4"/>
  <c r="G231" i="4"/>
  <c r="I230" i="4"/>
  <c r="H230" i="4"/>
  <c r="G230" i="4"/>
  <c r="I229" i="4"/>
  <c r="H229" i="4"/>
  <c r="G229" i="4"/>
  <c r="I228" i="4"/>
  <c r="H228" i="4"/>
  <c r="G228" i="4"/>
  <c r="I227" i="4"/>
  <c r="H227" i="4"/>
  <c r="G227" i="4"/>
  <c r="I226" i="4"/>
  <c r="H226" i="4"/>
  <c r="G226" i="4"/>
  <c r="I225" i="4"/>
  <c r="H225" i="4"/>
  <c r="G225" i="4"/>
  <c r="I224" i="4"/>
  <c r="H224" i="4"/>
  <c r="G224" i="4"/>
  <c r="I223" i="4"/>
  <c r="H223" i="4"/>
  <c r="G223" i="4"/>
  <c r="I222" i="4"/>
  <c r="H222" i="4"/>
  <c r="G222" i="4"/>
  <c r="I221" i="4"/>
  <c r="H221" i="4"/>
  <c r="G221" i="4"/>
  <c r="I220" i="4"/>
  <c r="H220" i="4"/>
  <c r="G220" i="4"/>
  <c r="I219" i="4"/>
  <c r="H219" i="4"/>
  <c r="G219" i="4"/>
  <c r="I218" i="4"/>
  <c r="H218" i="4"/>
  <c r="G218" i="4"/>
  <c r="I217" i="4"/>
  <c r="H217" i="4"/>
  <c r="G217" i="4"/>
  <c r="I216" i="4"/>
  <c r="H216" i="4"/>
  <c r="G216" i="4"/>
  <c r="I215" i="4"/>
  <c r="H215" i="4"/>
  <c r="G215" i="4"/>
  <c r="I214" i="4"/>
  <c r="H214" i="4"/>
  <c r="G214" i="4"/>
  <c r="I213" i="4"/>
  <c r="H213" i="4"/>
  <c r="G213" i="4"/>
  <c r="I212" i="4"/>
  <c r="H212" i="4"/>
  <c r="G212" i="4"/>
  <c r="I211" i="4"/>
  <c r="H211" i="4"/>
  <c r="G211" i="4"/>
  <c r="I210" i="4"/>
  <c r="H210" i="4"/>
  <c r="G210" i="4"/>
  <c r="I209" i="4"/>
  <c r="H209" i="4"/>
  <c r="G209" i="4"/>
  <c r="I208" i="4"/>
  <c r="H208" i="4"/>
  <c r="G208" i="4"/>
  <c r="I207" i="4"/>
  <c r="H207" i="4"/>
  <c r="G207" i="4"/>
  <c r="I206" i="4"/>
  <c r="H206" i="4"/>
  <c r="G206" i="4"/>
  <c r="I205" i="4"/>
  <c r="H205" i="4"/>
  <c r="G205" i="4"/>
  <c r="I204" i="4"/>
  <c r="H204" i="4"/>
  <c r="G204" i="4"/>
  <c r="I203" i="4"/>
  <c r="H203" i="4"/>
  <c r="G203" i="4"/>
  <c r="I202" i="4"/>
  <c r="H202" i="4"/>
  <c r="G202" i="4"/>
  <c r="I201" i="4"/>
  <c r="H201" i="4"/>
  <c r="G201" i="4"/>
  <c r="I200" i="4"/>
  <c r="H200" i="4"/>
  <c r="G200" i="4"/>
  <c r="I199" i="4"/>
  <c r="H199" i="4"/>
  <c r="G199" i="4"/>
  <c r="I198" i="4"/>
  <c r="H198" i="4"/>
  <c r="G198" i="4"/>
  <c r="I197" i="4"/>
  <c r="H197" i="4"/>
  <c r="G197" i="4"/>
  <c r="I196" i="4"/>
  <c r="H196" i="4"/>
  <c r="G196" i="4"/>
  <c r="I195" i="4"/>
  <c r="H195" i="4"/>
  <c r="G195" i="4"/>
  <c r="I194" i="4"/>
  <c r="H194" i="4"/>
  <c r="G194" i="4"/>
  <c r="I193" i="4"/>
  <c r="H193" i="4"/>
  <c r="G193" i="4"/>
  <c r="I192" i="4"/>
  <c r="H192" i="4"/>
  <c r="G192" i="4"/>
  <c r="I191" i="4"/>
  <c r="H191" i="4"/>
  <c r="G191" i="4"/>
  <c r="I190" i="4"/>
  <c r="H190" i="4"/>
  <c r="G190" i="4"/>
  <c r="I189" i="4"/>
  <c r="H189" i="4"/>
  <c r="G189" i="4"/>
  <c r="I188" i="4"/>
  <c r="H188" i="4"/>
  <c r="G188" i="4"/>
  <c r="I187" i="4"/>
  <c r="H187" i="4"/>
  <c r="G187" i="4"/>
  <c r="I186" i="4"/>
  <c r="H186" i="4"/>
  <c r="G186" i="4"/>
  <c r="I185" i="4"/>
  <c r="H185" i="4"/>
  <c r="G185" i="4"/>
  <c r="I184" i="4"/>
  <c r="H184" i="4"/>
  <c r="G184" i="4"/>
  <c r="I183" i="4"/>
  <c r="H183" i="4"/>
  <c r="G183" i="4"/>
  <c r="I182" i="4"/>
  <c r="H182" i="4"/>
  <c r="G182" i="4"/>
  <c r="I181" i="4"/>
  <c r="H181" i="4"/>
  <c r="G181" i="4"/>
  <c r="I180" i="4"/>
  <c r="H180" i="4"/>
  <c r="G180" i="4"/>
  <c r="I179" i="4"/>
  <c r="H179" i="4"/>
  <c r="G179" i="4"/>
  <c r="I178" i="4"/>
  <c r="H178" i="4"/>
  <c r="G178" i="4"/>
  <c r="I177" i="4"/>
  <c r="H177" i="4"/>
  <c r="G177" i="4"/>
  <c r="I176" i="4"/>
  <c r="H176" i="4"/>
  <c r="G176" i="4"/>
  <c r="I175" i="4"/>
  <c r="H175" i="4"/>
  <c r="G175" i="4"/>
  <c r="I174" i="4"/>
  <c r="H174" i="4"/>
  <c r="G174" i="4"/>
  <c r="I173" i="4"/>
  <c r="H173" i="4"/>
  <c r="G173" i="4"/>
  <c r="I172" i="4"/>
  <c r="H172" i="4"/>
  <c r="G172" i="4"/>
  <c r="I171" i="4"/>
  <c r="H171" i="4"/>
  <c r="G171" i="4"/>
  <c r="I170" i="4"/>
  <c r="H170" i="4"/>
  <c r="G170" i="4"/>
  <c r="I169" i="4"/>
  <c r="H169" i="4"/>
  <c r="G169" i="4"/>
  <c r="I168" i="4"/>
  <c r="H168" i="4"/>
  <c r="G168" i="4"/>
  <c r="I167" i="4"/>
  <c r="H167" i="4"/>
  <c r="G167" i="4"/>
  <c r="I166" i="4"/>
  <c r="H166" i="4"/>
  <c r="G166" i="4"/>
  <c r="I165" i="4"/>
  <c r="H165" i="4"/>
  <c r="G165" i="4"/>
  <c r="I164" i="4"/>
  <c r="H164" i="4"/>
  <c r="G164" i="4"/>
  <c r="I163" i="4"/>
  <c r="H163" i="4"/>
  <c r="G163" i="4"/>
  <c r="I162" i="4"/>
  <c r="H162" i="4"/>
  <c r="G162" i="4"/>
  <c r="I161" i="4"/>
  <c r="H161" i="4"/>
  <c r="G161" i="4"/>
  <c r="I160" i="4"/>
  <c r="H160" i="4"/>
  <c r="G160" i="4"/>
  <c r="I159" i="4"/>
  <c r="H159" i="4"/>
  <c r="G159" i="4"/>
  <c r="I158" i="4"/>
  <c r="H158" i="4"/>
  <c r="G158" i="4"/>
  <c r="I157" i="4"/>
  <c r="H157" i="4"/>
  <c r="G157" i="4"/>
  <c r="I156" i="4"/>
  <c r="H156" i="4"/>
  <c r="G156" i="4"/>
  <c r="I155" i="4"/>
  <c r="H155" i="4"/>
  <c r="G155" i="4"/>
  <c r="I154" i="4"/>
  <c r="H154" i="4"/>
  <c r="G154" i="4"/>
  <c r="I153" i="4"/>
  <c r="H153" i="4"/>
  <c r="G153" i="4"/>
  <c r="I152" i="4"/>
  <c r="H152" i="4"/>
  <c r="G152" i="4"/>
  <c r="I151" i="4"/>
  <c r="H151" i="4"/>
  <c r="G151" i="4"/>
  <c r="I150" i="4"/>
  <c r="H150" i="4"/>
  <c r="G150" i="4"/>
  <c r="I149" i="4"/>
  <c r="H149" i="4"/>
  <c r="G149" i="4"/>
  <c r="I148" i="4"/>
  <c r="H148" i="4"/>
  <c r="G148" i="4"/>
  <c r="I147" i="4"/>
  <c r="H147" i="4"/>
  <c r="G147" i="4"/>
  <c r="I146" i="4"/>
  <c r="H146" i="4"/>
  <c r="G146" i="4"/>
  <c r="I145" i="4"/>
  <c r="H145" i="4"/>
  <c r="G145" i="4"/>
  <c r="I144" i="4"/>
  <c r="H144" i="4"/>
  <c r="G144" i="4"/>
  <c r="I143" i="4"/>
  <c r="H143" i="4"/>
  <c r="G143" i="4"/>
  <c r="I142" i="4"/>
  <c r="H142" i="4"/>
  <c r="G142" i="4"/>
  <c r="I141" i="4"/>
  <c r="H141" i="4"/>
  <c r="G141" i="4"/>
  <c r="I140" i="4"/>
  <c r="H140" i="4"/>
  <c r="G140" i="4"/>
  <c r="I139" i="4"/>
  <c r="H139" i="4"/>
  <c r="G139" i="4"/>
  <c r="I138" i="4"/>
  <c r="H138" i="4"/>
  <c r="G138" i="4"/>
  <c r="I137" i="4"/>
  <c r="H137" i="4"/>
  <c r="G137" i="4"/>
  <c r="I136" i="4"/>
  <c r="H136" i="4"/>
  <c r="G136" i="4"/>
  <c r="I135" i="4"/>
  <c r="H135" i="4"/>
  <c r="G135" i="4"/>
  <c r="I134" i="4"/>
  <c r="H134" i="4"/>
  <c r="G134" i="4"/>
  <c r="I133" i="4"/>
  <c r="H133" i="4"/>
  <c r="G133" i="4"/>
  <c r="I132" i="4"/>
  <c r="H132" i="4"/>
  <c r="G132" i="4"/>
  <c r="I131" i="4"/>
  <c r="H131" i="4"/>
  <c r="G131" i="4"/>
  <c r="I130" i="4"/>
  <c r="H130" i="4"/>
  <c r="G130" i="4"/>
  <c r="I129" i="4"/>
  <c r="H129" i="4"/>
  <c r="G129" i="4"/>
  <c r="I128" i="4"/>
  <c r="H128" i="4"/>
  <c r="G128" i="4"/>
  <c r="I127" i="4"/>
  <c r="H127" i="4"/>
  <c r="G127" i="4"/>
  <c r="I126" i="4"/>
  <c r="H126" i="4"/>
  <c r="G126" i="4"/>
  <c r="I125" i="4"/>
  <c r="H125" i="4"/>
  <c r="G125" i="4"/>
  <c r="I124" i="4"/>
  <c r="H124" i="4"/>
  <c r="G124" i="4"/>
  <c r="I123" i="4"/>
  <c r="H123" i="4"/>
  <c r="G123" i="4"/>
  <c r="I122" i="4"/>
  <c r="H122" i="4"/>
  <c r="G122" i="4"/>
  <c r="I121" i="4"/>
  <c r="H121" i="4"/>
  <c r="G121" i="4"/>
  <c r="I120" i="4"/>
  <c r="H120" i="4"/>
  <c r="G120" i="4"/>
  <c r="I119" i="4"/>
  <c r="H119" i="4"/>
  <c r="G119" i="4"/>
  <c r="I118" i="4"/>
  <c r="H118" i="4"/>
  <c r="G118" i="4"/>
  <c r="I117" i="4"/>
  <c r="H117" i="4"/>
  <c r="G117" i="4"/>
  <c r="I116" i="4"/>
  <c r="H116" i="4"/>
  <c r="G116" i="4"/>
  <c r="I115" i="4"/>
  <c r="H115" i="4"/>
  <c r="G115" i="4"/>
  <c r="I114" i="4"/>
  <c r="H114" i="4"/>
  <c r="G114" i="4"/>
  <c r="I113" i="4"/>
  <c r="H113" i="4"/>
  <c r="G113" i="4"/>
  <c r="I112" i="4"/>
  <c r="H112" i="4"/>
  <c r="G112" i="4"/>
  <c r="I111" i="4"/>
  <c r="H111" i="4"/>
  <c r="G111" i="4"/>
  <c r="I110" i="4"/>
  <c r="H110" i="4"/>
  <c r="G110" i="4"/>
  <c r="I109" i="4"/>
  <c r="H109" i="4"/>
  <c r="G109" i="4"/>
  <c r="I108" i="4"/>
  <c r="H108" i="4"/>
  <c r="G108" i="4"/>
  <c r="I107" i="4"/>
  <c r="H107" i="4"/>
  <c r="G107" i="4"/>
  <c r="I106" i="4"/>
  <c r="H106" i="4"/>
  <c r="G106" i="4"/>
  <c r="I105" i="4"/>
  <c r="H105" i="4"/>
  <c r="G105" i="4"/>
  <c r="I104" i="4"/>
  <c r="H104" i="4"/>
  <c r="G104" i="4"/>
  <c r="I103" i="4"/>
  <c r="H103" i="4"/>
  <c r="G103" i="4"/>
  <c r="I102" i="4"/>
  <c r="H102" i="4"/>
  <c r="G102" i="4"/>
  <c r="I101" i="4"/>
  <c r="H101" i="4"/>
  <c r="G101" i="4"/>
  <c r="I100" i="4"/>
  <c r="H100" i="4"/>
  <c r="G100" i="4"/>
  <c r="I99" i="4"/>
  <c r="H99" i="4"/>
  <c r="G99" i="4"/>
  <c r="I98" i="4"/>
  <c r="H98" i="4"/>
  <c r="G98" i="4"/>
  <c r="I97" i="4"/>
  <c r="H97" i="4"/>
  <c r="G97" i="4"/>
  <c r="I96" i="4"/>
  <c r="H96" i="4"/>
  <c r="G96" i="4"/>
  <c r="I95" i="4"/>
  <c r="H95" i="4"/>
  <c r="G95" i="4"/>
  <c r="I94" i="4"/>
  <c r="H94" i="4"/>
  <c r="G94" i="4"/>
  <c r="I93" i="4"/>
  <c r="H93" i="4"/>
  <c r="G93" i="4"/>
  <c r="I92" i="4"/>
  <c r="H92" i="4"/>
  <c r="G92" i="4"/>
  <c r="I91" i="4"/>
  <c r="H91" i="4"/>
  <c r="G91" i="4"/>
  <c r="I90" i="4"/>
  <c r="H90" i="4"/>
  <c r="G90" i="4"/>
  <c r="I89" i="4"/>
  <c r="H89" i="4"/>
  <c r="G89" i="4"/>
  <c r="I88" i="4"/>
  <c r="H88" i="4"/>
  <c r="G88" i="4"/>
  <c r="I87" i="4"/>
  <c r="H87" i="4"/>
  <c r="G87" i="4"/>
  <c r="I86" i="4"/>
  <c r="H86" i="4"/>
  <c r="G86" i="4"/>
  <c r="I85" i="4"/>
  <c r="H85" i="4"/>
  <c r="G85" i="4"/>
  <c r="I84" i="4"/>
  <c r="H84" i="4"/>
  <c r="G84" i="4"/>
  <c r="I83" i="4"/>
  <c r="H83" i="4"/>
  <c r="G83" i="4"/>
  <c r="I82" i="4"/>
  <c r="H82" i="4"/>
  <c r="G82" i="4"/>
  <c r="I81" i="4"/>
  <c r="H81" i="4"/>
  <c r="G81" i="4"/>
  <c r="I80" i="4"/>
  <c r="H80" i="4"/>
  <c r="G80" i="4"/>
  <c r="I79" i="4"/>
  <c r="H79" i="4"/>
  <c r="G79" i="4"/>
  <c r="I78" i="4"/>
  <c r="H78" i="4"/>
  <c r="G78" i="4"/>
  <c r="I77" i="4"/>
  <c r="H77" i="4"/>
  <c r="G77" i="4"/>
  <c r="I76" i="4"/>
  <c r="H76" i="4"/>
  <c r="G76" i="4"/>
  <c r="I75" i="4"/>
  <c r="H75" i="4"/>
  <c r="G75" i="4"/>
  <c r="I74" i="4"/>
  <c r="H74" i="4"/>
  <c r="G74" i="4"/>
  <c r="I73" i="4"/>
  <c r="H73" i="4"/>
  <c r="G73" i="4"/>
  <c r="I72" i="4"/>
  <c r="H72" i="4"/>
  <c r="G72" i="4"/>
  <c r="I71" i="4"/>
  <c r="H71" i="4"/>
  <c r="G71" i="4"/>
  <c r="I70" i="4"/>
  <c r="H70" i="4"/>
  <c r="G70" i="4"/>
  <c r="I69" i="4"/>
  <c r="H69" i="4"/>
  <c r="G69" i="4"/>
  <c r="I68" i="4"/>
  <c r="H68" i="4"/>
  <c r="G68" i="4"/>
  <c r="I67" i="4"/>
  <c r="H67" i="4"/>
  <c r="G67" i="4"/>
  <c r="I66" i="4"/>
  <c r="H66" i="4"/>
  <c r="G66" i="4"/>
  <c r="I65" i="4"/>
  <c r="H65" i="4"/>
  <c r="G65" i="4"/>
  <c r="I64" i="4"/>
  <c r="H64" i="4"/>
  <c r="G64" i="4"/>
  <c r="I63" i="4"/>
  <c r="H63" i="4"/>
  <c r="G63" i="4"/>
  <c r="I62" i="4"/>
  <c r="H62" i="4"/>
  <c r="G62" i="4"/>
  <c r="I61" i="4"/>
  <c r="H61" i="4"/>
  <c r="G61" i="4"/>
  <c r="I60" i="4"/>
  <c r="H60" i="4"/>
  <c r="G60" i="4"/>
  <c r="I59" i="4"/>
  <c r="H59" i="4"/>
  <c r="G59" i="4"/>
  <c r="I58" i="4"/>
  <c r="H58" i="4"/>
  <c r="G58" i="4"/>
  <c r="I57" i="4"/>
  <c r="H57" i="4"/>
  <c r="G57" i="4"/>
  <c r="I56" i="4"/>
  <c r="H56" i="4"/>
  <c r="G56" i="4"/>
  <c r="I55" i="4"/>
  <c r="H55" i="4"/>
  <c r="G55" i="4"/>
  <c r="I54" i="4"/>
  <c r="H54" i="4"/>
  <c r="G54" i="4"/>
  <c r="I53" i="4"/>
  <c r="H53" i="4"/>
  <c r="G53" i="4"/>
  <c r="I52" i="4"/>
  <c r="H52" i="4"/>
  <c r="G52" i="4"/>
  <c r="I51" i="4"/>
  <c r="H51" i="4"/>
  <c r="G51" i="4"/>
  <c r="I50" i="4"/>
  <c r="H50" i="4"/>
  <c r="G50" i="4"/>
  <c r="I49" i="4"/>
  <c r="H49" i="4"/>
  <c r="G49" i="4"/>
  <c r="I48" i="4"/>
  <c r="H48" i="4"/>
  <c r="G48" i="4"/>
  <c r="I47" i="4"/>
  <c r="H47" i="4"/>
  <c r="G47" i="4"/>
  <c r="I46" i="4"/>
  <c r="H46" i="4"/>
  <c r="G46" i="4"/>
  <c r="I45" i="4"/>
  <c r="H45" i="4"/>
  <c r="G45" i="4"/>
  <c r="I44" i="4"/>
  <c r="H44" i="4"/>
  <c r="G44" i="4"/>
  <c r="I43" i="4"/>
  <c r="H43" i="4"/>
  <c r="G43" i="4"/>
  <c r="I42" i="4"/>
  <c r="H42" i="4"/>
  <c r="G42" i="4"/>
  <c r="I41" i="4"/>
  <c r="H41" i="4"/>
  <c r="G41" i="4"/>
  <c r="I40" i="4"/>
  <c r="H40" i="4"/>
  <c r="G40" i="4"/>
  <c r="I39" i="4"/>
  <c r="H39" i="4"/>
  <c r="G39" i="4"/>
  <c r="I38" i="4"/>
  <c r="H38" i="4"/>
  <c r="G38" i="4"/>
  <c r="I37" i="4"/>
  <c r="H37" i="4"/>
  <c r="G37" i="4"/>
  <c r="I36" i="4"/>
  <c r="H36" i="4"/>
  <c r="G36" i="4"/>
  <c r="I35" i="4"/>
  <c r="H35" i="4"/>
  <c r="G35" i="4"/>
  <c r="I34" i="4"/>
  <c r="H34" i="4"/>
  <c r="G34" i="4"/>
  <c r="I33" i="4"/>
  <c r="H33" i="4"/>
  <c r="G33" i="4"/>
  <c r="I32" i="4"/>
  <c r="H32" i="4"/>
  <c r="G32" i="4"/>
  <c r="I31" i="4"/>
  <c r="H31" i="4"/>
  <c r="G31" i="4"/>
  <c r="I30" i="4"/>
  <c r="H30" i="4"/>
  <c r="G30" i="4"/>
  <c r="I29" i="4"/>
  <c r="H29" i="4"/>
  <c r="G29" i="4"/>
  <c r="I28" i="4"/>
  <c r="H28" i="4"/>
  <c r="G28" i="4"/>
  <c r="I27" i="4"/>
  <c r="H27" i="4"/>
  <c r="G27" i="4"/>
  <c r="I26" i="4"/>
  <c r="H26" i="4"/>
  <c r="G26" i="4"/>
  <c r="I25" i="4"/>
  <c r="H25" i="4"/>
  <c r="G25" i="4"/>
  <c r="I24" i="4"/>
  <c r="H24" i="4"/>
  <c r="G24" i="4"/>
  <c r="I23" i="4"/>
  <c r="H23" i="4"/>
  <c r="G23" i="4"/>
  <c r="I22" i="4"/>
  <c r="H22" i="4"/>
  <c r="G22" i="4"/>
  <c r="I21" i="4"/>
  <c r="H21" i="4"/>
  <c r="G21" i="4"/>
  <c r="I20" i="4"/>
  <c r="H20" i="4"/>
  <c r="G20" i="4"/>
  <c r="I19" i="4"/>
  <c r="H19" i="4"/>
  <c r="G19" i="4"/>
  <c r="I18" i="4"/>
  <c r="H18" i="4"/>
  <c r="G18" i="4"/>
  <c r="I17" i="4"/>
  <c r="H17" i="4"/>
  <c r="G17" i="4"/>
  <c r="I16" i="4"/>
  <c r="H16" i="4"/>
  <c r="G16" i="4"/>
  <c r="I15" i="4"/>
  <c r="H15" i="4"/>
  <c r="G15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8" i="4"/>
  <c r="H8" i="4"/>
  <c r="G8" i="4"/>
  <c r="I7" i="4"/>
  <c r="H7" i="4"/>
  <c r="G7" i="4"/>
  <c r="I6" i="4"/>
  <c r="H6" i="4"/>
  <c r="G6" i="4"/>
  <c r="I5" i="4"/>
  <c r="H5" i="4"/>
  <c r="G5" i="4"/>
  <c r="I4" i="4"/>
  <c r="H4" i="4"/>
  <c r="G4" i="4"/>
  <c r="I3" i="4"/>
  <c r="H3" i="4"/>
  <c r="G3" i="4"/>
  <c r="I2" i="4"/>
  <c r="H2" i="4"/>
  <c r="G2" i="4"/>
  <c r="E23" i="3"/>
  <c r="D23" i="3"/>
  <c r="C23" i="3"/>
  <c r="B23" i="3"/>
  <c r="A23" i="3"/>
  <c r="E22" i="3"/>
  <c r="D22" i="3"/>
  <c r="C22" i="3"/>
  <c r="B22" i="3"/>
  <c r="A22" i="3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H26" i="2"/>
  <c r="F26" i="2"/>
  <c r="G26" i="2" s="1"/>
  <c r="F23" i="3" s="1"/>
  <c r="H25" i="2"/>
  <c r="F25" i="2"/>
  <c r="G25" i="2" s="1"/>
  <c r="F22" i="3" s="1"/>
  <c r="H24" i="2"/>
  <c r="F24" i="2"/>
  <c r="G24" i="2" s="1"/>
  <c r="F21" i="3" s="1"/>
  <c r="H23" i="2"/>
  <c r="F23" i="2"/>
  <c r="G23" i="2" s="1"/>
  <c r="F20" i="3" s="1"/>
  <c r="H22" i="2"/>
  <c r="F22" i="2"/>
  <c r="G22" i="2" s="1"/>
  <c r="F19" i="3" s="1"/>
  <c r="H21" i="2"/>
  <c r="F21" i="2"/>
  <c r="G21" i="2" s="1"/>
  <c r="F18" i="3" s="1"/>
  <c r="H20" i="2"/>
  <c r="F20" i="2"/>
  <c r="G20" i="2" s="1"/>
  <c r="F17" i="3" s="1"/>
  <c r="H19" i="2"/>
  <c r="F19" i="2"/>
  <c r="G19" i="2" s="1"/>
  <c r="F16" i="3" s="1"/>
  <c r="H18" i="2"/>
  <c r="F18" i="2"/>
  <c r="G18" i="2" s="1"/>
  <c r="F15" i="3" s="1"/>
  <c r="H17" i="2"/>
  <c r="F17" i="2"/>
  <c r="G17" i="2" s="1"/>
  <c r="F14" i="3" s="1"/>
  <c r="H16" i="2"/>
  <c r="F16" i="2"/>
  <c r="G16" i="2" s="1"/>
  <c r="F13" i="3" s="1"/>
  <c r="H15" i="2"/>
  <c r="F15" i="2"/>
  <c r="G15" i="2" s="1"/>
  <c r="F12" i="3" s="1"/>
  <c r="H14" i="2"/>
  <c r="F14" i="2"/>
  <c r="G14" i="2" s="1"/>
  <c r="F11" i="3" s="1"/>
  <c r="H13" i="2"/>
  <c r="F13" i="2"/>
  <c r="G13" i="2" s="1"/>
  <c r="F10" i="3" s="1"/>
  <c r="H12" i="2"/>
  <c r="F12" i="2"/>
  <c r="G12" i="2" s="1"/>
  <c r="F9" i="3" s="1"/>
  <c r="H11" i="2"/>
  <c r="F11" i="2"/>
  <c r="G11" i="2" s="1"/>
  <c r="F8" i="3" s="1"/>
  <c r="H10" i="2"/>
  <c r="F10" i="2"/>
  <c r="G10" i="2" s="1"/>
  <c r="F7" i="3" s="1"/>
  <c r="H9" i="2"/>
  <c r="F9" i="2"/>
  <c r="G9" i="2" s="1"/>
  <c r="F6" i="3" s="1"/>
  <c r="H8" i="2"/>
  <c r="F8" i="2"/>
  <c r="G8" i="2" s="1"/>
  <c r="F5" i="3" s="1"/>
  <c r="H7" i="2"/>
  <c r="F7" i="2"/>
  <c r="G7" i="2" s="1"/>
  <c r="Z3" i="2"/>
  <c r="Z1" i="2"/>
  <c r="Z4" i="2" l="1"/>
  <c r="H27" i="2" s="1"/>
  <c r="F4" i="3"/>
  <c r="F26" i="3" s="1"/>
  <c r="G29" i="2"/>
  <c r="G27" i="2" l="1"/>
  <c r="G36" i="2" s="1"/>
  <c r="G30" i="2" l="1"/>
  <c r="G32" i="2" s="1"/>
  <c r="G37" i="2" s="1"/>
  <c r="G38" i="2" s="1"/>
  <c r="F24" i="3"/>
  <c r="F27" i="3" s="1"/>
  <c r="F29" i="3" s="1"/>
  <c r="F30" i="3" s="1"/>
  <c r="F31" i="3" s="1"/>
  <c r="G33" i="2" l="1"/>
  <c r="G34" i="2" s="1"/>
</calcChain>
</file>

<file path=xl/sharedStrings.xml><?xml version="1.0" encoding="utf-8"?>
<sst xmlns="http://schemas.openxmlformats.org/spreadsheetml/2006/main" count="15332" uniqueCount="378">
  <si>
    <t>GUIDE D'UTILISATION</t>
  </si>
  <si>
    <t>Grille tarifaire PHG-France</t>
  </si>
  <si>
    <t>⚠  IMPORTANT</t>
  </si>
  <si>
    <t>Cet outil est mis à disposition des adhérents PHG-France à titre informatif.</t>
  </si>
  <si>
    <t>Il permet d'estimer rapidement le coût des monuments du catalogue PHG-France.</t>
  </si>
  <si>
    <t>En aucun cas il ne constitue un devis ni un engagement contractuel.</t>
  </si>
  <si>
    <t>Toute demande de chiffrage officielle doit être transmise à votre technico-commercial PHG-France de référence.</t>
  </si>
  <si>
    <t>1.  Onglet « CALCUL PRIX ACHAT € »</t>
  </si>
  <si>
    <t>Étape 1 — Département de livraison</t>
  </si>
  <si>
    <t xml:space="preserve">  •  Cliquer sur la cellule B3</t>
  </si>
  <si>
    <t xml:space="preserve">  •  Sélectionner le département dans la liste déroulante</t>
  </si>
  <si>
    <t xml:space="preserve">  •  Le transport sera calculé automatiquement selon la zone</t>
  </si>
  <si>
    <t>Étape 2 — Saisir les produits (lignes 7 à 26)</t>
  </si>
  <si>
    <t>Colonne</t>
  </si>
  <si>
    <t>Action</t>
  </si>
  <si>
    <t>A — Type</t>
  </si>
  <si>
    <t>Choisir : Monument, Semelle, Accessoire, Gravure…</t>
  </si>
  <si>
    <t>B — Ligne</t>
  </si>
  <si>
    <t>Choisir la ligne (si Monument ou Accessoire)</t>
  </si>
  <si>
    <t>C — Référence</t>
  </si>
  <si>
    <t>Choisir la référence du produit</t>
  </si>
  <si>
    <t>D — Granit</t>
  </si>
  <si>
    <t>Choisir le granit (si applicable)</t>
  </si>
  <si>
    <t>E — Qté</t>
  </si>
  <si>
    <t>Saisir la quantité (ou nb de caractères pour Gravure)</t>
  </si>
  <si>
    <t>I — Coef.</t>
  </si>
  <si>
    <t>Coefficient de marge (2.5 par défaut, modifiable)</t>
  </si>
  <si>
    <t>Étape 3 — Coefficient transport</t>
  </si>
  <si>
    <t xml:space="preserve">  •  Cellule I27 : modifier si besoin (1 par défaut)</t>
  </si>
  <si>
    <t>2.  Lecture des résultats</t>
  </si>
  <si>
    <t>Cellule</t>
  </si>
  <si>
    <t>Information</t>
  </si>
  <si>
    <t>G29</t>
  </si>
  <si>
    <t>Sous-total produits HT (prix d'achat)</t>
  </si>
  <si>
    <t>G30</t>
  </si>
  <si>
    <t>Transport franco HT</t>
  </si>
  <si>
    <t>G32</t>
  </si>
  <si>
    <t>Total HT achat ★</t>
  </si>
  <si>
    <t>G36</t>
  </si>
  <si>
    <t>Prix de vente famille HT (avec coefficients) ★</t>
  </si>
  <si>
    <t>G37</t>
  </si>
  <si>
    <t>Marge brute HT</t>
  </si>
  <si>
    <t>G38</t>
  </si>
  <si>
    <t>Taux de marge (%)</t>
  </si>
  <si>
    <t>3.  Onglet « VOTRE PROJET » (CALCUL PRIX FAMILLE €)</t>
  </si>
  <si>
    <t>Cet onglet affiche uniquement les informations destinées à la famille :</t>
  </si>
  <si>
    <t xml:space="preserve">  •  Liste des produits sélectionnés</t>
  </si>
  <si>
    <t xml:space="preserve">  •  Prix de vente / Transport / Total HT / TVA / TTC</t>
  </si>
  <si>
    <t xml:space="preserve">  →  À utiliser pour établir un chiffrage client.</t>
  </si>
  <si>
    <t>4.  Onglets de consultation (lecture seule)</t>
  </si>
  <si>
    <t>Onglet</t>
  </si>
  <si>
    <t>Contenu</t>
  </si>
  <si>
    <t>Monument.PrixAdh.€HT</t>
  </si>
  <si>
    <t>Tous les monuments avec prix adhérent</t>
  </si>
  <si>
    <t>Semelles.PrixAdh.€HT</t>
  </si>
  <si>
    <t>Tarifs des semelles</t>
  </si>
  <si>
    <t>Accessoires.PrixAdh.€HT</t>
  </si>
  <si>
    <t>Vases, jardinières…</t>
  </si>
  <si>
    <t>Gravure.PrixAdh.€HT</t>
  </si>
  <si>
    <t>Prix au caractère</t>
  </si>
  <si>
    <t>GRANITS</t>
  </si>
  <si>
    <t>Liste des granits disponibles avec origines</t>
  </si>
  <si>
    <t>PHG-France</t>
  </si>
  <si>
    <t>CALCUL COÛT DE REVIENT ADHÉRENT</t>
  </si>
  <si>
    <t>Département de livraison :</t>
  </si>
  <si>
    <t>03</t>
  </si>
  <si>
    <t>Type</t>
  </si>
  <si>
    <t>Ligne</t>
  </si>
  <si>
    <t>Référence</t>
  </si>
  <si>
    <t>Granit</t>
  </si>
  <si>
    <t>Qté</t>
  </si>
  <si>
    <t>Prix Unit.</t>
  </si>
  <si>
    <t>Prix Total</t>
  </si>
  <si>
    <t>Poids (T)</t>
  </si>
  <si>
    <t>Coef.</t>
  </si>
  <si>
    <t>TRANSPORT</t>
  </si>
  <si>
    <t>SOUS-TOTAL PRODUITS € HT</t>
  </si>
  <si>
    <t>TRANSPORT FRANCO € HT</t>
  </si>
  <si>
    <t>TOTAL HT</t>
  </si>
  <si>
    <t>TVA 20%</t>
  </si>
  <si>
    <t>TOTAL TTC</t>
  </si>
  <si>
    <t>PRIX DE VENTE FAMILLE HT</t>
  </si>
  <si>
    <t>MARGE BRUTE HT</t>
  </si>
  <si>
    <t>TAUX DE MARGE</t>
  </si>
  <si>
    <t>VOTRE PROJET</t>
  </si>
  <si>
    <t>Prix €</t>
  </si>
  <si>
    <t>SOUS-TOTAL</t>
  </si>
  <si>
    <t xml:space="preserve">Ligne </t>
  </si>
  <si>
    <t>Référence PHG-France</t>
  </si>
  <si>
    <t>I/C</t>
  </si>
  <si>
    <t>Code granit</t>
  </si>
  <si>
    <t>Prix € HT</t>
  </si>
  <si>
    <t>Avec semelle 
130x230</t>
  </si>
  <si>
    <t>Avec semelle 
140x240</t>
  </si>
  <si>
    <t>Avec semelle 
150x250</t>
  </si>
  <si>
    <t>LIGNE CLASSIQUE</t>
  </si>
  <si>
    <t>PHGA - CL - A</t>
  </si>
  <si>
    <t>I</t>
  </si>
  <si>
    <t>Feuille d'automne indien</t>
  </si>
  <si>
    <t>Gris indien / Tarn</t>
  </si>
  <si>
    <t>Puma</t>
  </si>
  <si>
    <t>Café impérial</t>
  </si>
  <si>
    <t>Kinawa white</t>
  </si>
  <si>
    <t>Imperial pink</t>
  </si>
  <si>
    <t>Indian juparana</t>
  </si>
  <si>
    <t>Colombo juparana</t>
  </si>
  <si>
    <t>Kuppam green</t>
  </si>
  <si>
    <t>Cachemire</t>
  </si>
  <si>
    <t>Impala black</t>
  </si>
  <si>
    <t>Black white</t>
  </si>
  <si>
    <t>Starry blue</t>
  </si>
  <si>
    <t>Ivory brown</t>
  </si>
  <si>
    <t>Romantica</t>
  </si>
  <si>
    <t>Red imperial</t>
  </si>
  <si>
    <t>Paradiso</t>
  </si>
  <si>
    <t>Steel grey</t>
  </si>
  <si>
    <t>Paradiso fantasy</t>
  </si>
  <si>
    <t>Bois de rose indien</t>
  </si>
  <si>
    <t>Blue galaxy</t>
  </si>
  <si>
    <t>Naf blue</t>
  </si>
  <si>
    <t>Viscon white</t>
  </si>
  <si>
    <t>Himalaya SRE</t>
  </si>
  <si>
    <t>Himalaya Gandhi</t>
  </si>
  <si>
    <t>Mass blue</t>
  </si>
  <si>
    <t>Moutain blue</t>
  </si>
  <si>
    <t>Aurora</t>
  </si>
  <si>
    <t>Noir fin indien</t>
  </si>
  <si>
    <t>Black galaxy</t>
  </si>
  <si>
    <t>C</t>
  </si>
  <si>
    <t>Feuille d'automne chinois</t>
  </si>
  <si>
    <t>Rose Tibet</t>
  </si>
  <si>
    <t>Gris zephyr</t>
  </si>
  <si>
    <t>Gris pagode</t>
  </si>
  <si>
    <t>Mappel red</t>
  </si>
  <si>
    <t>Mandalay</t>
  </si>
  <si>
    <t>Lanhelin chinois</t>
  </si>
  <si>
    <t>Cachemire white</t>
  </si>
  <si>
    <t>Noir d'Afrique</t>
  </si>
  <si>
    <t>Bohus chinois</t>
  </si>
  <si>
    <t>Vert olive</t>
  </si>
  <si>
    <t>Vert San Francisco</t>
  </si>
  <si>
    <t>Barap</t>
  </si>
  <si>
    <t>Rose d'alva</t>
  </si>
  <si>
    <t>Lilas gerais</t>
  </si>
  <si>
    <t>Balmoral</t>
  </si>
  <si>
    <t>Labrador bleu SPA</t>
  </si>
  <si>
    <t>Labrador bleu HQ</t>
  </si>
  <si>
    <t>PHGA - CL - B</t>
  </si>
  <si>
    <t>PHGA - CL - C</t>
  </si>
  <si>
    <t>PHGA - CL - D</t>
  </si>
  <si>
    <t>PHGA - CL - E</t>
  </si>
  <si>
    <t>PHGA - CL - F</t>
  </si>
  <si>
    <t>PHGA - CL - G</t>
  </si>
  <si>
    <t>PHGA - CL - H</t>
  </si>
  <si>
    <t>PHGA - CL - I</t>
  </si>
  <si>
    <t>PHGA - CL - J</t>
  </si>
  <si>
    <t>LIGNE CRÉATION</t>
  </si>
  <si>
    <t>PHGA - CR - A</t>
  </si>
  <si>
    <t>PHGA - CR - B</t>
  </si>
  <si>
    <t>PHGA - CR - C</t>
  </si>
  <si>
    <t>PHGA - CR - D</t>
  </si>
  <si>
    <t>PHGA - CR - E</t>
  </si>
  <si>
    <t>PHGA - CR - F</t>
  </si>
  <si>
    <t>PHGA - CR - G</t>
  </si>
  <si>
    <t>PHGA - CR - I</t>
  </si>
  <si>
    <t>PHGA - CR - J</t>
  </si>
  <si>
    <t>PHGA - CR - K</t>
  </si>
  <si>
    <t>PHGA - CR - L</t>
  </si>
  <si>
    <t>PHGA - CR - M</t>
  </si>
  <si>
    <t>PHGA - CR - N</t>
  </si>
  <si>
    <t>PHGA - CR - O</t>
  </si>
  <si>
    <t>PHGA - CR - P</t>
  </si>
  <si>
    <t>PHGA - CR - Q</t>
  </si>
  <si>
    <t>PHGA - CR - R</t>
  </si>
  <si>
    <t>PHGA - CR - S</t>
  </si>
  <si>
    <t>PHGA - CR - T</t>
  </si>
  <si>
    <t>PHGA - CR - U</t>
  </si>
  <si>
    <t>LIGNE CONTEMPORAIN</t>
  </si>
  <si>
    <t>PHGA - CO - A</t>
  </si>
  <si>
    <t>PHGA - CO - B</t>
  </si>
  <si>
    <t>PHGA - CO - C</t>
  </si>
  <si>
    <t>LIGNE TOMBALE</t>
  </si>
  <si>
    <t>PHGA - TB - A</t>
  </si>
  <si>
    <t>PHGA - TB - B</t>
  </si>
  <si>
    <t>PHGA - TB - C</t>
  </si>
  <si>
    <t>PHGA - TB - D</t>
  </si>
  <si>
    <t>PHGA - TB - E</t>
  </si>
  <si>
    <t>PHGA - TB - F</t>
  </si>
  <si>
    <t>PHGA - TB - G</t>
  </si>
  <si>
    <t>PHGA - TB - H</t>
  </si>
  <si>
    <t>LIGNE RELIGIEUX</t>
  </si>
  <si>
    <t>PHGA - RL - A</t>
  </si>
  <si>
    <t>PHGA - RL - B</t>
  </si>
  <si>
    <t>PHGA - RL - C</t>
  </si>
  <si>
    <t>MONUMENTS DOUBLES</t>
  </si>
  <si>
    <t>PHGA - DB - A</t>
  </si>
  <si>
    <t>PHGA - DB - B</t>
  </si>
  <si>
    <t>PHGA - DB - C</t>
  </si>
  <si>
    <t>PHGA - DB - D</t>
  </si>
  <si>
    <t>LIGNE CINÉRAIRE</t>
  </si>
  <si>
    <t>PHGA - CI - A</t>
  </si>
  <si>
    <t>PHGA - CI - B</t>
  </si>
  <si>
    <t>PHGA - CI - C</t>
  </si>
  <si>
    <t>PHGA - CI - D</t>
  </si>
  <si>
    <t>PHGA - CI - E</t>
  </si>
  <si>
    <t>PHGA - CI - F</t>
  </si>
  <si>
    <t>PHGA - CI - G</t>
  </si>
  <si>
    <t>PHGA - CI - H</t>
  </si>
  <si>
    <t>PHGA - CI - I</t>
  </si>
  <si>
    <t>PHGA - CI - J</t>
  </si>
  <si>
    <t>PHGA - CI - K</t>
  </si>
  <si>
    <t>PHGA - CI - L</t>
  </si>
  <si>
    <t>PHGA - CI - M</t>
  </si>
  <si>
    <t>PHGA - CI - N</t>
  </si>
  <si>
    <t>I / BC</t>
  </si>
  <si>
    <t>Kuppam green &amp; Noir fin</t>
  </si>
  <si>
    <t>Mass blue &amp; Noir fin</t>
  </si>
  <si>
    <t>Viscon white &amp; Noir fin</t>
  </si>
  <si>
    <t>Moutain blue &amp; Noir fin</t>
  </si>
  <si>
    <t>Code</t>
  </si>
  <si>
    <t>Prix adhérent € HT</t>
  </si>
  <si>
    <t>SEMELLES</t>
  </si>
  <si>
    <t>130 x 230 x 5</t>
  </si>
  <si>
    <t>140 x 240 x 5</t>
  </si>
  <si>
    <t>150 x 250 x 5</t>
  </si>
  <si>
    <t>ACCESSOIRES</t>
  </si>
  <si>
    <t>VASE</t>
  </si>
  <si>
    <t>PHGA - VA - DQB</t>
  </si>
  <si>
    <t>PHGA - VA - GA</t>
  </si>
  <si>
    <t>PHGA - VA - SQB</t>
  </si>
  <si>
    <t>PHGA - VA - TU</t>
  </si>
  <si>
    <t>JARDINIERE</t>
  </si>
  <si>
    <t>PHGA - JA - DGA</t>
  </si>
  <si>
    <t>PHGA - JA - DQB</t>
  </si>
  <si>
    <t>PHGA - JA - GA</t>
  </si>
  <si>
    <t>PHGA - JA - TU</t>
  </si>
  <si>
    <t>PU caractère 
adhérent € HT</t>
  </si>
  <si>
    <t>GRAVURE</t>
  </si>
  <si>
    <t>PHG - GR - XX</t>
  </si>
  <si>
    <t>Origine</t>
  </si>
  <si>
    <t xml:space="preserve">Inde </t>
  </si>
  <si>
    <t>Chine</t>
  </si>
  <si>
    <t>Afrique du Sud</t>
  </si>
  <si>
    <t>Brésil</t>
  </si>
  <si>
    <t>Finlande</t>
  </si>
  <si>
    <t>Norvège</t>
  </si>
  <si>
    <t>SEMELLE</t>
  </si>
  <si>
    <t>Poids en T</t>
  </si>
  <si>
    <t>ACCESOIRES - VA</t>
  </si>
  <si>
    <t>ACCESOIRES - JA</t>
  </si>
  <si>
    <t>Zone 1</t>
  </si>
  <si>
    <t>Zone 2</t>
  </si>
  <si>
    <t>Zone 3</t>
  </si>
  <si>
    <t>Zone 4</t>
  </si>
  <si>
    <t>Zone 5</t>
  </si>
  <si>
    <t>Zone 6</t>
  </si>
  <si>
    <t>Zone</t>
  </si>
  <si>
    <t>Prix € HT kilo 
De 0 et inférieur à 3T</t>
  </si>
  <si>
    <t>Prix € HT kilo 
De 3T et inférieur à 5T</t>
  </si>
  <si>
    <t>Prix € HT kilo 
De 5T et inférieur à 8T</t>
  </si>
  <si>
    <t xml:space="preserve">Prix € HT kilo 
De 8T et inférieur à 10T </t>
  </si>
  <si>
    <t xml:space="preserve">Prix € HT kilo 
De 10T et inférieur à 15T </t>
  </si>
  <si>
    <t xml:space="preserve">Minimum de perception </t>
  </si>
  <si>
    <t>Département</t>
  </si>
  <si>
    <t>Types</t>
  </si>
  <si>
    <t>Lignes_Monument</t>
  </si>
  <si>
    <t>Lignes_Accessoire</t>
  </si>
  <si>
    <t>CLASSIQUE</t>
  </si>
  <si>
    <t>CRÉATION</t>
  </si>
  <si>
    <t>CONTEMPORAIN</t>
  </si>
  <si>
    <t>TOMBALE</t>
  </si>
  <si>
    <t>RELIGIEUX</t>
  </si>
  <si>
    <t>DOUBLES</t>
  </si>
  <si>
    <t>CINÉRAIRE</t>
  </si>
  <si>
    <t>JARDINIÈRE</t>
  </si>
  <si>
    <t>Semelle</t>
  </si>
  <si>
    <t>Urne</t>
  </si>
  <si>
    <t>Gravure</t>
  </si>
  <si>
    <t>Litho</t>
  </si>
  <si>
    <t>Granits</t>
  </si>
  <si>
    <t>01</t>
  </si>
  <si>
    <t>Monument</t>
  </si>
  <si>
    <t>02</t>
  </si>
  <si>
    <t>Accessoire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</si>
  <si>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</si>
  <si>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</si>
  <si>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</si>
  <si>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</si>
  <si>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</si>
  <si>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</si>
  <si>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</si>
  <si>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</si>
  <si>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</si>
  <si>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</si>
  <si>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</si>
  <si>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</si>
  <si>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</si>
  <si>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</si>
  <si>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</si>
  <si>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</si>
  <si>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</si>
  <si>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</si>
  <si>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</si>
  <si>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</si>
  <si>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</si>
  <si>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</si>
  <si>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</si>
  <si>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</si>
  <si>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</si>
  <si>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</si>
  <si>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</si>
  <si>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</si>
  <si>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</si>
  <si>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</si>
  <si>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</si>
  <si>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</si>
  <si>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</si>
  <si>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</si>
  <si>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</si>
  <si>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</si>
  <si>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</si>
  <si>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</si>
  <si>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</si>
  <si>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</si>
  <si>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</si>
  <si>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</si>
  <si>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</si>
  <si>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</si>
  <si>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</si>
  <si>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</si>
  <si>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</si>
  <si>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</si>
  <si>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</si>
  <si>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</si>
  <si>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</si>
  <si>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</si>
  <si>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</si>
  <si>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</si>
  <si>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</si>
  <si>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</si>
  <si>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</si>
  <si>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</si>
  <si>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</si>
  <si>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</si>
  <si>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</si>
  <si>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</si>
  <si>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</si>
  <si>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</si>
  <si>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</si>
  <si>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</si>
  <si>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</si>
  <si>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</si>
  <si>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</si>
  <si>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</si>
  <si>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</si>
  <si>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</si>
  <si>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</si>
  <si>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</si>
  <si>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</si>
  <si>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</si>
  <si>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</si>
  <si>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</si>
  <si>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</si>
  <si>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</si>
  <si>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</si>
  <si>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</si>
  <si>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</si>
  <si>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</si>
  <si>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</si>
  <si>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</si>
  <si>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</si>
  <si>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</si>
  <si>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</si>
  <si>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</si>
  <si>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</si>
  <si>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servicecommercial@phgfrance.fr  |  02 46 99 17 19 
1 rue Delaville Leroulx, 37260 Monts</t>
  </si>
  <si>
    <t>Prix coûtant • Qualité • Indépendance
Trois valeurs gravées dans le granit</t>
  </si>
  <si>
    <t>Stele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</si>
</sst>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\ &quot;€&quot;"/>
    <numFmt numFmtId="165" formatCode="00"/>
    <numFmt numFmtId="166" formatCode="#,##0.00\ \€"/>
    <numFmt numFmtId="167" formatCode="0.000"/>
    <numFmt numFmtId="168" formatCode="0.0%"/>
    <numFmt numFmtId="169" formatCode="0.000\ &quot;T&quot;"/>
  </numFmts>
  <fonts count="36">
    <font>
      <sz val="11"/>
      <color theme="1"/>
      <name val="Aptos Narrow"/>
      <family val="2"/>
      <scheme val="minor"/>
    </font>
    <font>
      <sz val="14"/>
      <color theme="1"/>
      <name val="Montserrat"/>
      <family val="3"/>
    </font>
    <font>
      <sz val="14"/>
      <color rgb="FF4E4E4E"/>
      <name val="Montserrat"/>
      <family val="3"/>
    </font>
    <font>
      <sz val="16"/>
      <color theme="1"/>
      <name val="Montserrat"/>
      <family val="3"/>
    </font>
    <font>
      <sz val="14"/>
      <color theme="1"/>
      <name val="Montserrat Light"/>
      <family val="3"/>
    </font>
    <font>
      <sz val="16"/>
      <color theme="1"/>
      <name val="Montserrat Light"/>
      <family val="3"/>
    </font>
    <font>
      <b/>
      <sz val="14"/>
      <color rgb="FF1A1A2E"/>
      <name val="Aptos Narrow"/>
      <family val="2"/>
    </font>
    <font>
      <b/>
      <sz val="11"/>
      <name val="Aptos Narrow"/>
      <family val="2"/>
    </font>
    <font>
      <sz val="10"/>
      <color rgb="FF0000FF"/>
      <name val="Aptos Narrow"/>
      <family val="2"/>
    </font>
    <font>
      <i/>
      <sz val="8"/>
      <color rgb="FF666666"/>
      <name val="Aptos Narrow"/>
      <family val="2"/>
    </font>
    <font>
      <b/>
      <sz val="11"/>
      <color rgb="FFFFFFFF"/>
      <name val="Aptos Narrow"/>
      <family val="2"/>
    </font>
    <font>
      <sz val="10"/>
      <color rgb="FF0000FF"/>
      <name val="Aptos Narrow"/>
      <family val="2"/>
    </font>
    <font>
      <b/>
      <sz val="11"/>
      <name val="Aptos Narrow"/>
    </font>
    <font>
      <sz val="10"/>
      <color rgb="FF0000FF"/>
      <name val="Aptos Narrow"/>
    </font>
    <font>
      <sz val="11"/>
      <name val="Aptos Narrow"/>
    </font>
    <font>
      <i/>
      <sz val="11"/>
      <color rgb="FF666666"/>
      <name val="Aptos Narrow"/>
    </font>
    <font>
      <b/>
      <sz val="14"/>
      <color rgb="FFFFFFFF"/>
      <name val="Aptos Narrow"/>
      <family val="2"/>
    </font>
    <font>
      <sz val="14"/>
      <name val="Aptos Narrow"/>
      <family val="2"/>
    </font>
    <font>
      <sz val="14"/>
      <color theme="1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666666"/>
      <name val="Aptos Narrow"/>
    </font>
    <font>
      <b/>
      <sz val="14"/>
      <color rgb="FF1A1A2E"/>
      <name val="Aptos Narrow"/>
    </font>
    <font>
      <sz val="11"/>
      <name val="Aptos Narrow"/>
      <family val="2"/>
    </font>
    <font>
      <b/>
      <sz val="18"/>
      <color rgb="FF1A1A2E"/>
      <name val="Montserrat"/>
    </font>
    <font>
      <sz val="12"/>
      <color rgb="FF2C3E5A"/>
      <name val="Montserrat"/>
    </font>
    <font>
      <b/>
      <sz val="13"/>
      <color rgb="FFFFFFFF"/>
      <name val="Montserrat"/>
    </font>
    <font>
      <b/>
      <sz val="11"/>
      <color rgb="FF2C3E5A"/>
      <name val="Montserrat"/>
    </font>
    <font>
      <sz val="10"/>
      <color rgb="FF333333"/>
      <name val="Montserrat"/>
    </font>
    <font>
      <b/>
      <sz val="10"/>
      <color rgb="FFFFFFFF"/>
      <name val="Montserrat"/>
    </font>
    <font>
      <b/>
      <sz val="10"/>
      <color rgb="FF333333"/>
      <name val="Montserrat"/>
    </font>
    <font>
      <i/>
      <sz val="10"/>
      <color rgb="FF555555"/>
      <name val="Montserrat"/>
    </font>
    <font>
      <b/>
      <sz val="12"/>
      <color rgb="FF1A1A2E"/>
      <name val="Montserrat"/>
    </font>
    <font>
      <i/>
      <sz val="10"/>
      <color rgb="FF2C3E5A"/>
      <name val="Montserrat"/>
    </font>
    <font>
      <sz val="10"/>
      <color rgb="FF2C3E5A"/>
      <name val="Montserrat"/>
    </font>
    <font>
      <b/>
      <sz val="11"/>
      <color rgb="FFE65100"/>
      <name val="Montserrat"/>
    </font>
    <font>
      <b/>
      <sz val="10"/>
      <color rgb="FFE65100"/>
      <name val="Montserrat"/>
    </font>
  </fonts>
  <fills count="27">
    <fill>
      <patternFill patternType="none"/>
    </fill>
    <fill>
      <patternFill patternType="gray125"/>
    </fill>
    <fill>
      <patternFill patternType="solid">
        <fgColor rgb="FFE8E8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F4FD"/>
        <bgColor rgb="FFE8F4FD"/>
      </patternFill>
    </fill>
    <fill>
      <patternFill patternType="solid">
        <fgColor rgb="FF1A1A2E"/>
        <bgColor rgb="FF1A1A2E"/>
      </patternFill>
    </fill>
    <fill>
      <patternFill patternType="solid">
        <fgColor rgb="FFE8F4FD"/>
        <bgColor rgb="FFE8F4FD"/>
      </patternFill>
    </fill>
    <fill>
      <patternFill patternType="solid">
        <fgColor rgb="FFF0F0F0"/>
        <bgColor rgb="FFF0F0F0"/>
      </patternFill>
    </fill>
    <fill>
      <patternFill patternType="solid">
        <fgColor rgb="FFD4EDDA"/>
        <bgColor rgb="FFD4EDDA"/>
      </patternFill>
    </fill>
    <fill>
      <patternFill patternType="solid">
        <fgColor rgb="FFFFF3CD"/>
        <bgColor rgb="FFFFF3CD"/>
      </patternFill>
    </fill>
    <fill>
      <patternFill patternType="solid">
        <fgColor rgb="FFE2E3E5"/>
        <bgColor rgb="FFE2E3E5"/>
      </patternFill>
    </fill>
    <fill>
      <patternFill patternType="solid">
        <fgColor rgb="FF2C3E5A"/>
        <bgColor rgb="FF2C3E5A"/>
      </patternFill>
    </fill>
    <fill>
      <patternFill patternType="solid">
        <fgColor rgb="FFE2E3E5"/>
        <bgColor rgb="FFF0F0F0"/>
      </patternFill>
    </fill>
    <fill>
      <patternFill patternType="solid">
        <fgColor rgb="FFD4EDDA"/>
        <bgColor rgb="FFE2E3E5"/>
      </patternFill>
    </fill>
    <fill>
      <patternFill patternType="solid">
        <fgColor rgb="FF2C3E5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2BB74C"/>
        <bgColor rgb="FF1E7E34"/>
      </patternFill>
    </fill>
    <fill>
      <patternFill patternType="solid">
        <fgColor rgb="FF2BB74C"/>
        <bgColor indexed="64"/>
      </patternFill>
    </fill>
    <fill>
      <patternFill patternType="solid">
        <fgColor rgb="FF259B41"/>
        <bgColor rgb="FF1E7E34"/>
      </patternFill>
    </fill>
    <fill>
      <patternFill patternType="solid">
        <fgColor rgb="FF259B41"/>
        <bgColor indexed="64"/>
      </patternFill>
    </fill>
    <fill>
      <patternFill patternType="solid">
        <fgColor rgb="FF1A702E"/>
        <bgColor rgb="FF1E7E34"/>
      </patternFill>
    </fill>
    <fill>
      <patternFill patternType="solid">
        <fgColor rgb="FF1A702E"/>
        <bgColor indexed="64"/>
      </patternFill>
    </fill>
    <fill>
      <patternFill patternType="solid">
        <fgColor rgb="FF2C3E5A"/>
      </patternFill>
    </fill>
    <fill>
      <patternFill patternType="solid">
        <fgColor rgb="FFE8F0FE"/>
      </patternFill>
    </fill>
    <fill>
      <patternFill patternType="solid">
        <fgColor rgb="FFF5F5F5"/>
      </patternFill>
    </fill>
    <fill>
      <patternFill patternType="solid">
        <fgColor rgb="FFFFF8E1"/>
      </patternFill>
    </fill>
    <fill>
      <patternFill patternType="solid">
        <fgColor rgb="FFFFF3E0"/>
      </patternFill>
    </fill>
  </fills>
  <borders count="1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E65100"/>
      </left>
      <right style="medium">
        <color rgb="FFE65100"/>
      </right>
      <top style="medium">
        <color rgb="FFE65100"/>
      </top>
      <bottom style="medium">
        <color rgb="FFE65100"/>
      </bottom>
      <diagonal/>
    </border>
    <border>
      <left/>
      <right style="medium">
        <color rgb="FFE65100"/>
      </right>
      <top style="medium">
        <color rgb="FFE65100"/>
      </top>
      <bottom style="medium">
        <color rgb="FFE65100"/>
      </bottom>
      <diagonal/>
    </border>
  </borders>
  <cellStyleXfs count="1">
    <xf numFmtId="0" fontId="0" fillId="0" borderId="6"/>
  </cellStyleXfs>
  <cellXfs count="109">
    <xf numFmtId="0" fontId="0" fillId="0" borderId="0" xfId="0" applyBorder="1"/>
    <xf numFmtId="0" fontId="1" fillId="0" borderId="0" xfId="0" applyFont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164" fontId="3" fillId="2" borderId="0" xfId="0" applyNumberFormat="1" applyFont="1" applyFill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4" fillId="0" borderId="1" xfId="0" quotePrefix="1" applyFont="1" applyBorder="1" applyAlignment="1">
      <alignment horizontal="center" vertical="center" wrapText="1"/>
    </xf>
    <xf numFmtId="0" fontId="4" fillId="0" borderId="2" xfId="0" quotePrefix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center" vertical="center"/>
    </xf>
    <xf numFmtId="164" fontId="3" fillId="3" borderId="0" xfId="0" applyNumberFormat="1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vertical="center" wrapText="1"/>
    </xf>
    <xf numFmtId="0" fontId="4" fillId="0" borderId="1" xfId="0" quotePrefix="1" applyFont="1" applyBorder="1" applyAlignment="1">
      <alignment vertical="center" wrapText="1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 vertical="center" wrapText="1"/>
    </xf>
    <xf numFmtId="164" fontId="3" fillId="3" borderId="0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Border="1" applyAlignment="1">
      <alignment horizontal="center" vertical="center"/>
    </xf>
    <xf numFmtId="0" fontId="4" fillId="0" borderId="2" xfId="0" quotePrefix="1" applyFont="1" applyBorder="1" applyAlignment="1">
      <alignment vertical="center" wrapText="1"/>
    </xf>
    <xf numFmtId="164" fontId="3" fillId="2" borderId="0" xfId="0" quotePrefix="1" applyNumberFormat="1" applyFont="1" applyFill="1" applyBorder="1" applyAlignment="1">
      <alignment horizontal="left" vertical="center"/>
    </xf>
    <xf numFmtId="0" fontId="4" fillId="0" borderId="3" xfId="0" quotePrefix="1" applyFont="1" applyBorder="1" applyAlignment="1">
      <alignment vertical="center" wrapText="1"/>
    </xf>
    <xf numFmtId="165" fontId="0" fillId="0" borderId="0" xfId="0" applyNumberFormat="1" applyBorder="1"/>
    <xf numFmtId="165" fontId="1" fillId="3" borderId="0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Border="1" applyAlignment="1">
      <alignment horizontal="center" vertical="center"/>
    </xf>
    <xf numFmtId="0" fontId="7" fillId="0" borderId="0" xfId="0" applyFont="1" applyBorder="1"/>
    <xf numFmtId="0" fontId="9" fillId="0" borderId="0" xfId="0" applyFont="1" applyBorder="1"/>
    <xf numFmtId="0" fontId="10" fillId="5" borderId="4" xfId="0" applyFont="1" applyFill="1" applyBorder="1" applyAlignment="1">
      <alignment horizontal="center"/>
    </xf>
    <xf numFmtId="0" fontId="11" fillId="6" borderId="4" xfId="0" applyFont="1" applyFill="1" applyBorder="1"/>
    <xf numFmtId="0" fontId="11" fillId="6" borderId="4" xfId="0" applyFont="1" applyFill="1" applyBorder="1" applyAlignment="1">
      <alignment horizontal="center"/>
    </xf>
    <xf numFmtId="166" fontId="8" fillId="7" borderId="4" xfId="0" applyNumberFormat="1" applyFont="1" applyFill="1" applyBorder="1"/>
    <xf numFmtId="166" fontId="0" fillId="7" borderId="4" xfId="0" applyNumberFormat="1" applyFill="1" applyBorder="1"/>
    <xf numFmtId="167" fontId="0" fillId="8" borderId="4" xfId="0" applyNumberFormat="1" applyFill="1" applyBorder="1"/>
    <xf numFmtId="0" fontId="0" fillId="0" borderId="0" xfId="0" applyBorder="1" applyAlignment="1">
      <alignment horizontal="left"/>
    </xf>
    <xf numFmtId="0" fontId="12" fillId="0" borderId="0" xfId="0" applyFont="1" applyBorder="1"/>
    <xf numFmtId="0" fontId="12" fillId="10" borderId="5" xfId="0" applyFont="1" applyFill="1" applyBorder="1"/>
    <xf numFmtId="0" fontId="0" fillId="10" borderId="5" xfId="0" applyFill="1" applyBorder="1"/>
    <xf numFmtId="0" fontId="14" fillId="0" borderId="6" xfId="0" applyFont="1"/>
    <xf numFmtId="166" fontId="14" fillId="0" borderId="6" xfId="0" applyNumberFormat="1" applyFont="1"/>
    <xf numFmtId="166" fontId="12" fillId="0" borderId="5" xfId="0" applyNumberFormat="1" applyFont="1" applyBorder="1"/>
    <xf numFmtId="167" fontId="14" fillId="0" borderId="6" xfId="0" applyNumberFormat="1" applyFont="1"/>
    <xf numFmtId="0" fontId="15" fillId="0" borderId="6" xfId="0" applyFont="1"/>
    <xf numFmtId="168" fontId="14" fillId="0" borderId="6" xfId="0" applyNumberFormat="1" applyFont="1"/>
    <xf numFmtId="0" fontId="16" fillId="11" borderId="6" xfId="0" applyFont="1" applyFill="1"/>
    <xf numFmtId="0" fontId="17" fillId="0" borderId="6" xfId="0" applyFont="1"/>
    <xf numFmtId="166" fontId="16" fillId="11" borderId="5" xfId="0" applyNumberFormat="1" applyFont="1" applyFill="1" applyBorder="1"/>
    <xf numFmtId="166" fontId="17" fillId="0" borderId="6" xfId="0" applyNumberFormat="1" applyFont="1"/>
    <xf numFmtId="0" fontId="18" fillId="0" borderId="0" xfId="0" applyFont="1" applyBorder="1"/>
    <xf numFmtId="0" fontId="0" fillId="13" borderId="5" xfId="0" applyFill="1" applyBorder="1"/>
    <xf numFmtId="0" fontId="7" fillId="0" borderId="6" xfId="0" applyFont="1"/>
    <xf numFmtId="0" fontId="17" fillId="14" borderId="6" xfId="0" applyFont="1" applyFill="1"/>
    <xf numFmtId="0" fontId="12" fillId="15" borderId="6" xfId="0" applyFont="1" applyFill="1"/>
    <xf numFmtId="0" fontId="14" fillId="15" borderId="6" xfId="0" applyFont="1" applyFill="1"/>
    <xf numFmtId="166" fontId="14" fillId="15" borderId="5" xfId="0" applyNumberFormat="1" applyFont="1" applyFill="1" applyBorder="1"/>
    <xf numFmtId="0" fontId="20" fillId="0" borderId="6" xfId="0" applyFont="1"/>
    <xf numFmtId="169" fontId="20" fillId="0" borderId="6" xfId="0" applyNumberFormat="1" applyFont="1"/>
    <xf numFmtId="0" fontId="19" fillId="16" borderId="7" xfId="0" applyFont="1" applyFill="1" applyBorder="1"/>
    <xf numFmtId="169" fontId="15" fillId="17" borderId="8" xfId="0" applyNumberFormat="1" applyFont="1" applyFill="1" applyBorder="1"/>
    <xf numFmtId="0" fontId="14" fillId="17" borderId="8" xfId="0" applyFont="1" applyFill="1" applyBorder="1"/>
    <xf numFmtId="166" fontId="19" fillId="16" borderId="9" xfId="0" applyNumberFormat="1" applyFont="1" applyFill="1" applyBorder="1"/>
    <xf numFmtId="0" fontId="19" fillId="18" borderId="7" xfId="0" applyFont="1" applyFill="1" applyBorder="1"/>
    <xf numFmtId="169" fontId="15" fillId="19" borderId="8" xfId="0" applyNumberFormat="1" applyFont="1" applyFill="1" applyBorder="1"/>
    <xf numFmtId="0" fontId="14" fillId="19" borderId="8" xfId="0" applyFont="1" applyFill="1" applyBorder="1"/>
    <xf numFmtId="166" fontId="19" fillId="18" borderId="9" xfId="0" applyNumberFormat="1" applyFont="1" applyFill="1" applyBorder="1"/>
    <xf numFmtId="0" fontId="19" fillId="20" borderId="7" xfId="0" applyFont="1" applyFill="1" applyBorder="1"/>
    <xf numFmtId="169" fontId="15" fillId="21" borderId="8" xfId="0" applyNumberFormat="1" applyFont="1" applyFill="1" applyBorder="1"/>
    <xf numFmtId="0" fontId="14" fillId="21" borderId="8" xfId="0" applyFont="1" applyFill="1" applyBorder="1"/>
    <xf numFmtId="168" fontId="19" fillId="20" borderId="9" xfId="0" applyNumberFormat="1" applyFont="1" applyFill="1" applyBorder="1"/>
    <xf numFmtId="0" fontId="21" fillId="0" borderId="0" xfId="0" applyFont="1" applyBorder="1"/>
    <xf numFmtId="166" fontId="22" fillId="12" borderId="5" xfId="0" applyNumberFormat="1" applyFont="1" applyFill="1" applyBorder="1"/>
    <xf numFmtId="49" fontId="8" fillId="4" borderId="0" xfId="0" applyNumberFormat="1" applyFont="1" applyFill="1" applyBorder="1" applyProtection="1">
      <protection locked="0"/>
    </xf>
    <xf numFmtId="0" fontId="11" fillId="6" borderId="4" xfId="0" applyFont="1" applyFill="1" applyBorder="1" applyProtection="1">
      <protection locked="0"/>
    </xf>
    <xf numFmtId="0" fontId="11" fillId="6" borderId="4" xfId="0" applyFont="1" applyFill="1" applyBorder="1" applyAlignment="1" applyProtection="1">
      <alignment horizontal="center"/>
      <protection locked="0"/>
    </xf>
    <xf numFmtId="2" fontId="13" fillId="9" borderId="5" xfId="0" applyNumberFormat="1" applyFont="1" applyFill="1" applyBorder="1" applyProtection="1">
      <protection locked="0"/>
    </xf>
    <xf numFmtId="0" fontId="28" fillId="22" borderId="10" xfId="0" applyFont="1" applyFill="1" applyBorder="1" applyAlignment="1">
      <alignment horizontal="center" vertical="center" wrapText="1"/>
    </xf>
    <xf numFmtId="0" fontId="29" fillId="24" borderId="10" xfId="0" applyFont="1" applyFill="1" applyBorder="1" applyAlignment="1">
      <alignment horizontal="left" vertical="center" wrapText="1"/>
    </xf>
    <xf numFmtId="0" fontId="27" fillId="24" borderId="10" xfId="0" applyFont="1" applyFill="1" applyBorder="1" applyAlignment="1">
      <alignment horizontal="left" vertical="center" wrapText="1"/>
    </xf>
    <xf numFmtId="0" fontId="29" fillId="0" borderId="10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 wrapText="1"/>
    </xf>
    <xf numFmtId="0" fontId="32" fillId="0" borderId="6" xfId="0" applyFont="1" applyAlignment="1">
      <alignment horizontal="center" vertical="center" wrapText="1"/>
    </xf>
    <xf numFmtId="0" fontId="0" fillId="0" borderId="6" xfId="0"/>
    <xf numFmtId="0" fontId="27" fillId="0" borderId="0" xfId="0" applyFont="1" applyBorder="1" applyAlignment="1">
      <alignment horizontal="left" vertical="center" wrapText="1"/>
    </xf>
    <xf numFmtId="0" fontId="0" fillId="0" borderId="0" xfId="0" applyBorder="1"/>
    <xf numFmtId="0" fontId="26" fillId="23" borderId="0" xfId="0" applyFont="1" applyFill="1" applyBorder="1" applyAlignment="1">
      <alignment horizontal="left" vertical="center" wrapText="1"/>
    </xf>
    <xf numFmtId="0" fontId="25" fillId="22" borderId="0" xfId="0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34" fillId="26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27" fillId="26" borderId="11" xfId="0" applyFont="1" applyFill="1" applyBorder="1" applyAlignment="1">
      <alignment horizontal="left" vertical="center" wrapText="1"/>
    </xf>
    <xf numFmtId="0" fontId="24" fillId="0" borderId="0" xfId="0" applyFont="1" applyBorder="1" applyAlignment="1">
      <alignment horizontal="center" vertical="center" wrapText="1"/>
    </xf>
    <xf numFmtId="0" fontId="35" fillId="26" borderId="11" xfId="0" applyFont="1" applyFill="1" applyBorder="1" applyAlignment="1">
      <alignment horizontal="left" vertical="center" wrapText="1"/>
    </xf>
    <xf numFmtId="0" fontId="33" fillId="0" borderId="0" xfId="0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 wrapText="1"/>
    </xf>
    <xf numFmtId="0" fontId="31" fillId="0" borderId="0" xfId="0" applyFont="1" applyBorder="1" applyAlignment="1">
      <alignment horizontal="center" vertical="center" wrapText="1"/>
    </xf>
    <xf numFmtId="0" fontId="30" fillId="25" borderId="0" xfId="0" applyFont="1" applyFill="1" applyBorder="1" applyAlignment="1">
      <alignment horizontal="left" vertical="center" wrapText="1"/>
    </xf>
    <xf numFmtId="0" fontId="6" fillId="0" borderId="6" xfId="0" applyFont="1"/>
    <xf numFmtId="0" fontId="7" fillId="0" borderId="6" xfId="0" applyFont="1" applyBorder="1"/>
    <xf numFmtId="0" fontId="0" fillId="0" borderId="6" xfId="0" applyBorder="1"/>
  </cellXfs>
  <cellStyles count="1">
    <cellStyle name="Normal" xfId="0" builtinId="0"/>
  </cellStyles>
  <dxfs count="58">
    <dxf>
      <fill>
        <patternFill patternType="solid">
          <fgColor rgb="FFCCCCCC"/>
          <bgColor rgb="FFCCCCCC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CCCCCC"/>
          <bgColor rgb="FFCCCCCC"/>
        </patternFill>
      </fill>
    </dxf>
    <dxf>
      <font>
        <strike val="0"/>
        <condense val="0"/>
        <extend val="0"/>
        <outline val="0"/>
        <shadow val="0"/>
        <vertAlign val="baseline"/>
        <sz val="16"/>
        <color theme="1"/>
        <name val="Montserrat"/>
        <family val="3"/>
      </font>
      <numFmt numFmtId="164" formatCode="#,##0\ &quot;€&quot;"/>
      <fill>
        <patternFill patternType="solid">
          <fgColor indexed="64"/>
          <bgColor rgb="FFE8E8EA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6"/>
        <color theme="1"/>
        <name val="Montserrat"/>
        <family val="3"/>
      </font>
      <numFmt numFmtId="164" formatCode="#,##0\ &quot;€&quot;"/>
      <fill>
        <patternFill patternType="solid">
          <fgColor indexed="64"/>
          <bgColor rgb="FFE8E8EA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6"/>
        <color theme="1"/>
        <name val="Montserrat"/>
        <family val="3"/>
      </font>
      <numFmt numFmtId="164" formatCode="#,##0\ &quot;€&quot;"/>
      <fill>
        <patternFill patternType="solid">
          <fgColor indexed="64"/>
          <bgColor rgb="FFE8E8EA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6"/>
        <color theme="1"/>
        <name val="Montserrat"/>
        <family val="3"/>
      </font>
      <numFmt numFmtId="164" formatCode="#,##0\ &quot;€&quot;"/>
      <fill>
        <patternFill patternType="solid">
          <fgColor indexed="64"/>
          <bgColor rgb="FFE8E8EA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6"/>
        <color theme="1"/>
        <name val="Montserrat"/>
        <family val="3"/>
      </font>
      <numFmt numFmtId="164" formatCode="#,##0\ &quot;€&quot;"/>
      <fill>
        <patternFill patternType="solid">
          <fgColor indexed="64"/>
          <bgColor rgb="FFE8E8EA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6"/>
        <color theme="1"/>
        <name val="Montserrat"/>
        <family val="3"/>
      </font>
      <numFmt numFmtId="164" formatCode="#,##0\ &quot;€&quot;"/>
      <fill>
        <patternFill patternType="solid">
          <fgColor indexed="64"/>
          <bgColor rgb="FFE8E8EA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 Light"/>
        <family val="3"/>
      </font>
      <alignment horizontal="center" vertical="center"/>
    </dxf>
    <dxf>
      <alignment horizontal="center" vertical="bottom"/>
    </dxf>
    <dxf>
      <numFmt numFmtId="165" formatCode="0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 Light"/>
        <family val="3"/>
      </font>
      <alignment horizontal="center" vertical="center"/>
    </dxf>
    <dxf>
      <numFmt numFmtId="164" formatCode="#,##0\ &quot;€&quot;"/>
      <alignment horizontal="center" vertical="center"/>
    </dxf>
    <dxf>
      <numFmt numFmtId="164" formatCode="#,##0\ &quot;€&quot;"/>
      <alignment horizontal="center" vertical="center"/>
    </dxf>
    <dxf>
      <font>
        <sz val="14"/>
        <color rgb="FF4E4E4E"/>
        <name val="Montserrat"/>
        <family val="3"/>
      </font>
      <numFmt numFmtId="164" formatCode="#,##0\ &quot;€&quot;"/>
      <fill>
        <patternFill patternType="solid">
          <fgColor indexed="64"/>
          <bgColor rgb="FFE8E8EA"/>
        </patternFill>
      </fill>
      <alignment horizontal="center" vertical="center"/>
      <border>
        <left/>
        <right style="thin">
          <color auto="1"/>
        </right>
        <top/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Calibri"/>
        <family val="2"/>
      </font>
      <fill>
        <patternFill>
          <fgColor indexed="64"/>
          <bgColor indexed="65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Calibri"/>
        <family val="2"/>
      </font>
      <fill>
        <patternFill>
          <fgColor indexed="64"/>
          <bgColor indexed="65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Calibri"/>
        <family val="2"/>
      </font>
      <fill>
        <patternFill>
          <fgColor indexed="64"/>
          <bgColor indexed="65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alignment horizontal="center" vertical="center"/>
    </dxf>
    <dxf>
      <font>
        <strike val="0"/>
        <outline val="0"/>
        <shadow val="0"/>
        <vertAlign val="baseline"/>
        <sz val="14"/>
        <color theme="1"/>
        <name val="Montserrat Light"/>
        <family val="3"/>
      </font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rgb="FFE8E8EA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rgb="FFE8E8EA"/>
        </patternFill>
      </fill>
      <alignment horizontal="center" vertical="center"/>
    </dxf>
    <dxf>
      <alignment horizontal="center"/>
    </dxf>
    <dxf>
      <alignment horizontal="center"/>
    </dxf>
    <dxf>
      <border outline="0">
        <top style="thin">
          <color theme="4" tint="0.39997558519241921"/>
        </top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rgb="FFE8E8EA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Montserrat"/>
        <family val="3"/>
      </font>
      <fill>
        <patternFill patternType="solid">
          <fgColor indexed="64"/>
          <bgColor theme="0"/>
        </patternFill>
      </fill>
      <alignment horizontal="center" vertical="center"/>
    </dxf>
    <dxf>
      <border outline="0"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center" vertical="center"/>
      <border>
        <left style="thin">
          <color auto="1"/>
        </left>
        <right/>
        <top/>
        <bottom/>
        <vertical style="thin">
          <color auto="1"/>
        </vertical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center" vertical="center"/>
      <border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center" vertical="center"/>
      <border outline="0">
        <left/>
        <right style="thin">
          <color auto="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"/>
        <family val="3"/>
      </font>
      <fill>
        <patternFill>
          <fgColor indexed="64"/>
          <bgColor indexed="65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ontserrat Light"/>
        <family val="3"/>
      </font>
      <fill>
        <patternFill>
          <fgColor indexed="64"/>
          <bgColor indexed="65"/>
        </patternFill>
      </fill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533400</xdr:colOff>
      <xdr:row>0</xdr:row>
      <xdr:rowOff>0</xdr:rowOff>
    </xdr:from>
    <xdr:ext cx="1524000" cy="885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390775" y="0"/>
          <a:ext cx="1524000" cy="8858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1:I2988" totalsRowShown="0" headerRowDxfId="57" dataDxfId="56">
  <autoFilter ref="A1:I2988" xr:uid="{00000000-0009-0000-0100-000001000000}"/>
  <tableColumns count="9">
    <tableColumn id="1" xr3:uid="{00000000-0010-0000-0000-000001000000}" name="Ligne " dataDxfId="55"/>
    <tableColumn id="2" xr3:uid="{00000000-0010-0000-0000-000002000000}" name="Référence PHG-France" dataDxfId="54"/>
    <tableColumn id="3" xr3:uid="{00000000-0010-0000-0000-000003000000}" name="I/C" dataDxfId="53"/>
    <tableColumn id="4" xr3:uid="{00000000-0010-0000-0000-000004000000}" name="Code granit" dataDxfId="52"/>
    <tableColumn id="5" xr3:uid="{00000000-0010-0000-0000-000005000000}" name="Granit" dataDxfId="51"/>
    <tableColumn id="6" xr3:uid="{00000000-0010-0000-0000-000006000000}" name="Prix € HT" dataDxfId="50"/>
    <tableColumn id="7" xr3:uid="{00000000-0010-0000-0000-000007000000}" name="Avec semelle _x000a_130x230" dataDxfId="49"/>
    <tableColumn id="8" xr3:uid="{00000000-0010-0000-0000-000008000000}" name="Avec semelle _x000a_140x240" dataDxfId="48"/>
    <tableColumn id="9" xr3:uid="{00000000-0010-0000-0000-000009000000}" name="Avec semelle _x000a_150x250" dataDxfId="4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35" displayName="Tableau35" ref="A1:F145" totalsRowShown="0" headerRowBorderDxfId="46" tableBorderDxfId="45">
  <autoFilter ref="A1:F145" xr:uid="{00000000-0009-0000-0100-000002000000}"/>
  <tableColumns count="6">
    <tableColumn id="1" xr3:uid="{00000000-0010-0000-0100-000001000000}" name="Ligne " dataDxfId="44"/>
    <tableColumn id="2" xr3:uid="{00000000-0010-0000-0100-000002000000}" name="Référence PHG-France"/>
    <tableColumn id="3" xr3:uid="{00000000-0010-0000-0100-000003000000}" name="I/C" dataDxfId="43"/>
    <tableColumn id="4" xr3:uid="{00000000-0010-0000-0100-000004000000}" name="Code" dataDxfId="42"/>
    <tableColumn id="5" xr3:uid="{00000000-0010-0000-0100-000005000000}" name="Granit" dataDxfId="41"/>
    <tableColumn id="6" xr3:uid="{00000000-0010-0000-0100-000006000000}" name="Prix adhérent € H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au3" displayName="Tableau3" ref="A1:G385" totalsRowShown="0" headerRowBorderDxfId="40" tableBorderDxfId="39">
  <autoFilter ref="A1:G385" xr:uid="{00000000-0009-0000-0100-000003000000}"/>
  <tableColumns count="7">
    <tableColumn id="1" xr3:uid="{00000000-0010-0000-0200-000001000000}" name="Ligne " dataDxfId="38"/>
    <tableColumn id="7" xr3:uid="{00000000-0010-0000-0200-000007000000}" name="Type" dataDxfId="37"/>
    <tableColumn id="2" xr3:uid="{00000000-0010-0000-0200-000002000000}" name="Référence PHG-France"/>
    <tableColumn id="3" xr3:uid="{00000000-0010-0000-0200-000003000000}" name="I/C" dataDxfId="36"/>
    <tableColumn id="4" xr3:uid="{00000000-0010-0000-0200-000004000000}" name="Code" dataDxfId="35"/>
    <tableColumn id="5" xr3:uid="{00000000-0010-0000-0200-000005000000}" name="Granit" dataDxfId="34"/>
    <tableColumn id="6" xr3:uid="{00000000-0010-0000-0200-000006000000}" name="Prix adhérent € HT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au9" displayName="Tableau9" ref="A1:C3" totalsRowShown="0" tableBorderDxfId="33">
  <autoFilter ref="A1:C3" xr:uid="{00000000-0009-0000-0100-000004000000}"/>
  <tableColumns count="3">
    <tableColumn id="1" xr3:uid="{00000000-0010-0000-0300-000001000000}" name="Ligne "/>
    <tableColumn id="2" xr3:uid="{00000000-0010-0000-0300-000002000000}" name="Référence PHG-France"/>
    <tableColumn id="3" xr3:uid="{00000000-0010-0000-0300-000003000000}" name="PU caractère _x000a_adhérent € HT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au10" displayName="Tableau10" ref="A1:C49" totalsRowShown="0" headerRowDxfId="32" dataDxfId="31">
  <autoFilter ref="A1:C49" xr:uid="{00000000-0009-0000-0100-000006000000}"/>
  <tableColumns count="3">
    <tableColumn id="1" xr3:uid="{00000000-0010-0000-0500-000001000000}" name="Code granit" dataDxfId="30"/>
    <tableColumn id="2" xr3:uid="{00000000-0010-0000-0500-000002000000}" name="Granit" dataDxfId="29"/>
    <tableColumn id="3" xr3:uid="{00000000-0010-0000-0500-000003000000}" name="Origine" dataDxfId="2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au2" displayName="Tableau2" ref="A1:G49" totalsRowShown="0" headerRowDxfId="27" dataDxfId="26">
  <autoFilter ref="A1:G49" xr:uid="{00000000-0009-0000-0100-000007000000}"/>
  <tableColumns count="7">
    <tableColumn id="1" xr3:uid="{00000000-0010-0000-0600-000001000000}" name="Ligne " dataDxfId="25"/>
    <tableColumn id="3" xr3:uid="{00000000-0010-0000-0600-000003000000}" name="I/C" dataDxfId="24"/>
    <tableColumn id="4" xr3:uid="{00000000-0010-0000-0600-000004000000}" name="Code granit" dataDxfId="23"/>
    <tableColumn id="5" xr3:uid="{00000000-0010-0000-0600-000005000000}" name="Granit" dataDxfId="22"/>
    <tableColumn id="6" xr3:uid="{00000000-0010-0000-0600-000006000000}" name="130 x 230 x 5" dataDxfId="21"/>
    <tableColumn id="7" xr3:uid="{00000000-0010-0000-0600-000007000000}" name="140 x 240 x 5" dataDxfId="20"/>
    <tableColumn id="8" xr3:uid="{00000000-0010-0000-0600-000008000000}" name="150 x 250 x 5" dataDxfId="19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au5" displayName="Tableau5" ref="A1:F30" totalsRowShown="0" headerRowDxfId="18" dataDxfId="17">
  <autoFilter ref="A1:F30" xr:uid="{00000000-0009-0000-0100-000008000000}"/>
  <tableColumns count="6">
    <tableColumn id="1" xr3:uid="{00000000-0010-0000-0700-000001000000}" name="Zone 1" dataDxfId="16"/>
    <tableColumn id="2" xr3:uid="{00000000-0010-0000-0700-000002000000}" name="Zone 2" dataDxfId="15"/>
    <tableColumn id="3" xr3:uid="{00000000-0010-0000-0700-000003000000}" name="Zone 3" dataDxfId="14"/>
    <tableColumn id="4" xr3:uid="{00000000-0010-0000-0700-000004000000}" name="Zone 4" dataDxfId="13"/>
    <tableColumn id="5" xr3:uid="{00000000-0010-0000-0700-000005000000}" name="Zone 5" dataDxfId="12"/>
    <tableColumn id="6" xr3:uid="{00000000-0010-0000-0700-000006000000}" name="Zone 6" dataDxfId="1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au6" displayName="Tableau6" ref="A1:G7" totalsRowShown="0" headerRowDxfId="10">
  <autoFilter ref="A1:G7" xr:uid="{00000000-0009-0000-0100-000009000000}"/>
  <tableColumns count="7">
    <tableColumn id="1" xr3:uid="{00000000-0010-0000-0800-000001000000}" name="Zone"/>
    <tableColumn id="2" xr3:uid="{00000000-0010-0000-0800-000002000000}" name="Prix € HT kilo _x000a_De 0 et inférieur à 3T" dataDxfId="9"/>
    <tableColumn id="3" xr3:uid="{00000000-0010-0000-0800-000003000000}" name="Prix € HT kilo _x000a_De 3T et inférieur à 5T" dataDxfId="8"/>
    <tableColumn id="4" xr3:uid="{00000000-0010-0000-0800-000004000000}" name="Prix € HT kilo _x000a_De 5T et inférieur à 8T" dataDxfId="7"/>
    <tableColumn id="5" xr3:uid="{00000000-0010-0000-0800-000005000000}" name="Prix € HT kilo _x000a_De 8T et inférieur à 10T " dataDxfId="6"/>
    <tableColumn id="6" xr3:uid="{00000000-0010-0000-0800-000006000000}" name="Prix € HT kilo _x000a_De 10T et inférieur à 15T " dataDxfId="5"/>
    <tableColumn id="7" xr3:uid="{00000000-0010-0000-0800-000007000000}" name="Minimum de perception 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B1:C63"/>
  <sheetViews>
    <sheetView showGridLines="0" workbookViewId="0">
      <selection activeCell="F12" sqref="F12"/>
    </sheetView>
  </sheetViews>
  <sheetFormatPr baseColWidth="10" defaultColWidth="9.06640625" defaultRowHeight="14.25"/>
  <cols>
    <col min="1" max="1" width="4" customWidth="1"/>
    <col min="2" max="2" width="22" customWidth="1"/>
    <col min="3" max="3" width="58" customWidth="1"/>
  </cols>
  <sheetData>
    <row r="1" spans="2:3" ht="25.05" customHeight="1"/>
    <row r="2" spans="2:3" ht="25.05" customHeight="1"/>
    <row r="3" spans="2:3" ht="25.05" customHeight="1"/>
    <row r="4" spans="2:3" ht="10.050000000000001" customHeight="1"/>
    <row r="5" spans="2:3" ht="30" customHeight="1">
      <c r="B5" s="96" t="s">
        <v>0</v>
      </c>
      <c r="C5" s="93"/>
    </row>
    <row r="6" spans="2:3" ht="22.05" customHeight="1">
      <c r="B6" s="100" t="s">
        <v>1</v>
      </c>
      <c r="C6" s="93"/>
    </row>
    <row r="8" spans="2:3" ht="24" customHeight="1">
      <c r="B8" s="97" t="s">
        <v>2</v>
      </c>
      <c r="C8" s="98"/>
    </row>
    <row r="9" spans="2:3" ht="20" customHeight="1">
      <c r="B9" s="99" t="s">
        <v>3</v>
      </c>
      <c r="C9" s="98"/>
    </row>
    <row r="10" spans="2:3" ht="20" customHeight="1">
      <c r="B10" s="99" t="s">
        <v>4</v>
      </c>
      <c r="C10" s="98"/>
    </row>
    <row r="11" spans="2:3" ht="22.05" customHeight="1">
      <c r="B11" s="101" t="s">
        <v>5</v>
      </c>
      <c r="C11" s="98"/>
    </row>
    <row r="12" spans="2:3" ht="34.15" customHeight="1">
      <c r="B12" s="99" t="s">
        <v>6</v>
      </c>
      <c r="C12" s="98"/>
    </row>
    <row r="14" spans="2:3" ht="26" customHeight="1">
      <c r="B14" s="95" t="s">
        <v>7</v>
      </c>
      <c r="C14" s="93"/>
    </row>
    <row r="16" spans="2:3" ht="22.05" customHeight="1">
      <c r="B16" s="94" t="s">
        <v>8</v>
      </c>
      <c r="C16" s="93"/>
    </row>
    <row r="17" spans="2:3" ht="18" customHeight="1">
      <c r="B17" s="92" t="s">
        <v>9</v>
      </c>
      <c r="C17" s="93"/>
    </row>
    <row r="18" spans="2:3" ht="18" customHeight="1">
      <c r="B18" s="92" t="s">
        <v>10</v>
      </c>
      <c r="C18" s="93"/>
    </row>
    <row r="19" spans="2:3" ht="18" customHeight="1">
      <c r="B19" s="92" t="s">
        <v>11</v>
      </c>
      <c r="C19" s="93"/>
    </row>
    <row r="21" spans="2:3" ht="22.05" customHeight="1">
      <c r="B21" s="94" t="s">
        <v>12</v>
      </c>
      <c r="C21" s="93"/>
    </row>
    <row r="22" spans="2:3" ht="22.05" customHeight="1">
      <c r="B22" s="85" t="s">
        <v>13</v>
      </c>
      <c r="C22" s="85" t="s">
        <v>14</v>
      </c>
    </row>
    <row r="23" spans="2:3" ht="20" customHeight="1">
      <c r="B23" s="86" t="s">
        <v>15</v>
      </c>
      <c r="C23" s="87" t="s">
        <v>16</v>
      </c>
    </row>
    <row r="24" spans="2:3" ht="20" customHeight="1">
      <c r="B24" s="88" t="s">
        <v>17</v>
      </c>
      <c r="C24" s="89" t="s">
        <v>18</v>
      </c>
    </row>
    <row r="25" spans="2:3" ht="20" customHeight="1">
      <c r="B25" s="86" t="s">
        <v>19</v>
      </c>
      <c r="C25" s="87" t="s">
        <v>20</v>
      </c>
    </row>
    <row r="26" spans="2:3" ht="20" customHeight="1">
      <c r="B26" s="88" t="s">
        <v>21</v>
      </c>
      <c r="C26" s="89" t="s">
        <v>22</v>
      </c>
    </row>
    <row r="27" spans="2:3" ht="20" customHeight="1">
      <c r="B27" s="86" t="s">
        <v>23</v>
      </c>
      <c r="C27" s="87" t="s">
        <v>24</v>
      </c>
    </row>
    <row r="28" spans="2:3" ht="20" customHeight="1">
      <c r="B28" s="88" t="s">
        <v>25</v>
      </c>
      <c r="C28" s="89" t="s">
        <v>26</v>
      </c>
    </row>
    <row r="30" spans="2:3" ht="22.05" customHeight="1">
      <c r="B30" s="94" t="s">
        <v>27</v>
      </c>
      <c r="C30" s="93"/>
    </row>
    <row r="31" spans="2:3" ht="18" customHeight="1">
      <c r="B31" s="92" t="s">
        <v>28</v>
      </c>
      <c r="C31" s="93"/>
    </row>
    <row r="33" spans="2:3" ht="26" customHeight="1">
      <c r="B33" s="95" t="s">
        <v>29</v>
      </c>
      <c r="C33" s="93"/>
    </row>
    <row r="35" spans="2:3" ht="22.05" customHeight="1">
      <c r="B35" s="85" t="s">
        <v>30</v>
      </c>
      <c r="C35" s="85" t="s">
        <v>31</v>
      </c>
    </row>
    <row r="36" spans="2:3" ht="20" customHeight="1">
      <c r="B36" s="86" t="s">
        <v>32</v>
      </c>
      <c r="C36" s="87" t="s">
        <v>33</v>
      </c>
    </row>
    <row r="37" spans="2:3" ht="20" customHeight="1">
      <c r="B37" s="88" t="s">
        <v>34</v>
      </c>
      <c r="C37" s="89" t="s">
        <v>35</v>
      </c>
    </row>
    <row r="38" spans="2:3" ht="20" customHeight="1">
      <c r="B38" s="86" t="s">
        <v>36</v>
      </c>
      <c r="C38" s="87" t="s">
        <v>37</v>
      </c>
    </row>
    <row r="39" spans="2:3" ht="20" customHeight="1">
      <c r="B39" s="88" t="s">
        <v>38</v>
      </c>
      <c r="C39" s="89" t="s">
        <v>39</v>
      </c>
    </row>
    <row r="40" spans="2:3" ht="20" customHeight="1">
      <c r="B40" s="86" t="s">
        <v>40</v>
      </c>
      <c r="C40" s="87" t="s">
        <v>41</v>
      </c>
    </row>
    <row r="41" spans="2:3" ht="20" customHeight="1">
      <c r="B41" s="88" t="s">
        <v>42</v>
      </c>
      <c r="C41" s="89" t="s">
        <v>43</v>
      </c>
    </row>
    <row r="43" spans="2:3" ht="26" customHeight="1">
      <c r="B43" s="95" t="s">
        <v>44</v>
      </c>
      <c r="C43" s="93"/>
    </row>
    <row r="45" spans="2:3" ht="18" customHeight="1">
      <c r="B45" s="92" t="s">
        <v>45</v>
      </c>
      <c r="C45" s="93"/>
    </row>
    <row r="46" spans="2:3" ht="18" customHeight="1">
      <c r="B46" s="92" t="s">
        <v>46</v>
      </c>
      <c r="C46" s="93"/>
    </row>
    <row r="47" spans="2:3" ht="18" customHeight="1">
      <c r="B47" s="92" t="s">
        <v>47</v>
      </c>
      <c r="C47" s="93"/>
    </row>
    <row r="48" spans="2:3" ht="22.05" customHeight="1">
      <c r="B48" s="105" t="s">
        <v>48</v>
      </c>
      <c r="C48" s="93"/>
    </row>
    <row r="50" spans="2:3" ht="26" customHeight="1">
      <c r="B50" s="95" t="s">
        <v>49</v>
      </c>
      <c r="C50" s="93"/>
    </row>
    <row r="52" spans="2:3" ht="22.05" customHeight="1">
      <c r="B52" s="85" t="s">
        <v>50</v>
      </c>
      <c r="C52" s="85" t="s">
        <v>51</v>
      </c>
    </row>
    <row r="53" spans="2:3" ht="40.5" customHeight="1">
      <c r="B53" s="86" t="s">
        <v>52</v>
      </c>
      <c r="C53" s="87" t="s">
        <v>53</v>
      </c>
    </row>
    <row r="54" spans="2:3" ht="20" customHeight="1">
      <c r="B54" s="88" t="s">
        <v>54</v>
      </c>
      <c r="C54" s="89" t="s">
        <v>55</v>
      </c>
    </row>
    <row r="55" spans="2:3" ht="35.25" customHeight="1">
      <c r="B55" s="86" t="s">
        <v>56</v>
      </c>
      <c r="C55" s="87" t="s">
        <v>57</v>
      </c>
    </row>
    <row r="56" spans="2:3" ht="20" customHeight="1">
      <c r="B56" s="88" t="s">
        <v>58</v>
      </c>
      <c r="C56" s="89" t="s">
        <v>59</v>
      </c>
    </row>
    <row r="57" spans="2:3" ht="20" customHeight="1">
      <c r="B57" s="86" t="s">
        <v>60</v>
      </c>
      <c r="C57" s="87" t="s">
        <v>61</v>
      </c>
    </row>
    <row r="60" spans="2:3" ht="22.05" customHeight="1">
      <c r="B60" s="104" t="s">
        <v>62</v>
      </c>
      <c r="C60" s="93"/>
    </row>
    <row r="61" spans="2:3" ht="36.4" customHeight="1">
      <c r="B61" s="103" t="s">
        <v>376</v>
      </c>
      <c r="C61" s="93"/>
    </row>
    <row r="62" spans="2:3" s="91" customFormat="1" ht="18.399999999999999">
      <c r="B62" s="90"/>
    </row>
    <row r="63" spans="2:3" ht="38.25" customHeight="1">
      <c r="B63" s="102" t="s">
        <v>375</v>
      </c>
      <c r="C63" s="93"/>
    </row>
  </sheetData>
  <sheetProtection sheet="1"/>
  <mergeCells count="25">
    <mergeCell ref="B63:C63"/>
    <mergeCell ref="B46:C46"/>
    <mergeCell ref="B31:C31"/>
    <mergeCell ref="B18:C18"/>
    <mergeCell ref="B43:C43"/>
    <mergeCell ref="B61:C61"/>
    <mergeCell ref="B60:C60"/>
    <mergeCell ref="B50:C50"/>
    <mergeCell ref="B48:C48"/>
    <mergeCell ref="B17:C17"/>
    <mergeCell ref="B30:C30"/>
    <mergeCell ref="B33:C33"/>
    <mergeCell ref="B47:C47"/>
    <mergeCell ref="B5:C5"/>
    <mergeCell ref="B45:C45"/>
    <mergeCell ref="B8:C8"/>
    <mergeCell ref="B19:C19"/>
    <mergeCell ref="B10:C10"/>
    <mergeCell ref="B9:C9"/>
    <mergeCell ref="B6:C6"/>
    <mergeCell ref="B12:C12"/>
    <mergeCell ref="B21:C21"/>
    <mergeCell ref="B11:C11"/>
    <mergeCell ref="B14:C14"/>
    <mergeCell ref="B16:C1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Z41"/>
  <sheetViews>
    <sheetView workbookViewId="0">
      <pane ySplit="6" topLeftCell="A7" activePane="bottomLeft" state="frozen"/>
      <selection pane="bottomLeft" activeCell="K15" sqref="K15"/>
    </sheetView>
  </sheetViews>
  <sheetFormatPr baseColWidth="10" defaultColWidth="9.06640625" defaultRowHeight="14.25"/>
  <cols>
    <col min="1" max="1" width="22.1328125" bestFit="1" customWidth="1"/>
    <col min="2" max="2" width="14" customWidth="1"/>
    <col min="3" max="3" width="18" customWidth="1"/>
    <col min="4" max="4" width="22" customWidth="1"/>
    <col min="5" max="5" width="6" customWidth="1"/>
    <col min="6" max="6" width="12" customWidth="1"/>
    <col min="7" max="7" width="14" customWidth="1"/>
    <col min="8" max="8" width="10" customWidth="1"/>
    <col min="9" max="9" width="8" customWidth="1"/>
    <col min="26" max="26" width="13" hidden="1" customWidth="1"/>
  </cols>
  <sheetData>
    <row r="1" spans="1:26" ht="18" customHeight="1">
      <c r="A1" s="106" t="s">
        <v>63</v>
      </c>
      <c r="B1" s="93"/>
      <c r="C1" s="93"/>
      <c r="D1" s="93"/>
      <c r="E1" s="93"/>
      <c r="F1" s="93"/>
      <c r="G1" s="93"/>
      <c r="H1" s="93"/>
      <c r="I1" s="93"/>
      <c r="Z1" t="str">
        <f>IFERROR(VLOOKUP(B3,LISTES!A:B,2,FALSE),"")</f>
        <v/>
      </c>
    </row>
    <row r="3" spans="1:26">
      <c r="A3" s="45" t="s">
        <v>64</v>
      </c>
      <c r="B3" s="81"/>
      <c r="G3" s="52"/>
      <c r="H3" s="52"/>
      <c r="Z3" t="str">
        <f>IFERROR(VLOOKUP(B3,LISTES!$A:$B,2,FALSE),"")</f>
        <v/>
      </c>
    </row>
    <row r="4" spans="1:26">
      <c r="A4" s="37"/>
      <c r="Z4">
        <f>SUM(H7:H26)</f>
        <v>0</v>
      </c>
    </row>
    <row r="6" spans="1:26">
      <c r="A6" s="38" t="s">
        <v>66</v>
      </c>
      <c r="B6" s="38" t="s">
        <v>67</v>
      </c>
      <c r="C6" s="38" t="s">
        <v>68</v>
      </c>
      <c r="D6" s="38" t="s">
        <v>69</v>
      </c>
      <c r="E6" s="38" t="s">
        <v>70</v>
      </c>
      <c r="F6" s="38" t="s">
        <v>71</v>
      </c>
      <c r="G6" s="38" t="s">
        <v>72</v>
      </c>
      <c r="H6" s="38" t="s">
        <v>73</v>
      </c>
      <c r="I6" s="38" t="s">
        <v>74</v>
      </c>
    </row>
    <row r="7" spans="1:26">
      <c r="A7" s="82"/>
      <c r="B7" s="82"/>
      <c r="C7" s="82"/>
      <c r="D7" s="82"/>
      <c r="E7" s="83">
        <v>1</v>
      </c>
      <c r="F7" s="41">
        <f>IFERROR(
IF(A7="Monument",SUMIFS('Monument.PrixAdh.€HT'!$F:$F,'Monument.PrixAdh.€HT'!$B:$B,C7,'Monument.PrixAdh.€HT'!$E:$E,D7),
IF(A7="Semelle",IF(C7="130 x 230 x 5",SUMIFS('(Semelles.Monument.€HT)'!$E:$E,'(Semelles.Monument.€HT)'!$D:$D,D7),IF(C7="140 x 240 x 5",SUMIFS('(Semelles.Monument.€HT)'!$F:$F,'(Semelles.Monument.€HT)'!$D:$D,D7),IF(C7="150 x 250 x 5",SUMIFS('(Semelles.Monument.€HT)'!$G:$G,'(Semelles.Monument.€HT)'!$D:$D,D7),0))),
IF(A7="Accessoire",SUMIFS('Accessoires.PrixAdh.€HT'!$G:$G,'Accessoires.PrixAdh.€HT'!$C:$C,C7,'Accessoires.PrixAdh.€HT'!$F:$F,D7),
IF(A7="Urne",SUMIFS(#REF!,#REF!,C7,#REF!,D7),
IF(A7="Gravure",VLOOKUP(C7,'Gravure.PrixAdh.€HT'!$B:$C,2,FALSE),
IF(A7="Litho",VLOOKUP(C7,#REF!,2,FALSE),0)))))),0)</f>
        <v>0</v>
      </c>
      <c r="G7" s="42">
        <f t="shared" ref="G7:G26" si="0">F7*E7</f>
        <v>0</v>
      </c>
      <c r="H7" s="43">
        <f>IFERROR(VLOOKUP(C7,Poids!$B:$C,2,FALSE)*E7,0)</f>
        <v>0</v>
      </c>
      <c r="I7" s="84">
        <v>2.5</v>
      </c>
    </row>
    <row r="8" spans="1:26">
      <c r="A8" s="82"/>
      <c r="B8" s="82"/>
      <c r="C8" s="82"/>
      <c r="D8" s="82"/>
      <c r="E8" s="83">
        <v>1</v>
      </c>
      <c r="F8" s="41">
        <f>IFERROR(
IF(A8="Monument",SUMIFS('Monument.PrixAdh.€HT'!$F:$F,'Monument.PrixAdh.€HT'!$B:$B,C8,'Monument.PrixAdh.€HT'!$E:$E,D8),
IF(A8="Semelle",IF(C8="130 x 230 x 5",SUMIFS('(Semelles.Monument.€HT)'!$E:$E,'(Semelles.Monument.€HT)'!$D:$D,D8),IF(C8="140 x 240 x 5",SUMIFS('(Semelles.Monument.€HT)'!$F:$F,'(Semelles.Monument.€HT)'!$D:$D,D8),IF(C8="150 x 250 x 5",SUMIFS('(Semelles.Monument.€HT)'!$G:$G,'(Semelles.Monument.€HT)'!$D:$D,D8),0))),
IF(A8="Accessoire",SUMIFS('Accessoires.PrixAdh.€HT'!$G:$G,'Accessoires.PrixAdh.€HT'!$C:$C,C8,'Accessoires.PrixAdh.€HT'!$F:$F,D8),
IF(A8="Urne",SUMIFS(#REF!,#REF!,C8,#REF!,D8),
IF(A8="Gravure",VLOOKUP(C8,'Gravure.PrixAdh.€HT'!$B:$C,2,FALSE),
IF(A8="Litho",VLOOKUP(C8,#REF!,2,FALSE),0)))))),0)</f>
        <v>0</v>
      </c>
      <c r="G8" s="42">
        <f t="shared" si="0"/>
        <v>0</v>
      </c>
      <c r="H8" s="43">
        <f>IFERROR(VLOOKUP(C8,Poids!$B:$C,2,FALSE)*E8,0)</f>
        <v>0</v>
      </c>
      <c r="I8" s="84">
        <v>2.5</v>
      </c>
    </row>
    <row r="9" spans="1:26">
      <c r="A9" s="82"/>
      <c r="B9" s="82"/>
      <c r="C9" s="82"/>
      <c r="D9" s="82"/>
      <c r="E9" s="83">
        <v>1</v>
      </c>
      <c r="F9" s="41">
        <f>IFERROR(
IF(A9="Monument",SUMIFS('Monument.PrixAdh.€HT'!$F:$F,'Monument.PrixAdh.€HT'!$B:$B,C9,'Monument.PrixAdh.€HT'!$E:$E,D9),
IF(A9="Semelle",IF(C9="130 x 230 x 5",SUMIFS('(Semelles.Monument.€HT)'!$E:$E,'(Semelles.Monument.€HT)'!$D:$D,D9),IF(C9="140 x 240 x 5",SUMIFS('(Semelles.Monument.€HT)'!$F:$F,'(Semelles.Monument.€HT)'!$D:$D,D9),IF(C9="150 x 250 x 5",SUMIFS('(Semelles.Monument.€HT)'!$G:$G,'(Semelles.Monument.€HT)'!$D:$D,D9),0))),
IF(A9="Accessoire",SUMIFS('Accessoires.PrixAdh.€HT'!$G:$G,'Accessoires.PrixAdh.€HT'!$C:$C,C9,'Accessoires.PrixAdh.€HT'!$F:$F,D9),
IF(A9="Urne",SUMIFS(#REF!,#REF!,C9,#REF!,D9),
IF(A9="Gravure",VLOOKUP(C9,'Gravure.PrixAdh.€HT'!$B:$C,2,FALSE),
IF(A9="Litho",VLOOKUP(C9,#REF!,2,FALSE),0)))))),0)</f>
        <v>0</v>
      </c>
      <c r="G9" s="42">
        <f t="shared" si="0"/>
        <v>0</v>
      </c>
      <c r="H9" s="43">
        <f>IFERROR(VLOOKUP(C9,Poids!$B:$C,2,FALSE)*E9,0)</f>
        <v>0</v>
      </c>
      <c r="I9" s="84">
        <v>2.5</v>
      </c>
    </row>
    <row r="10" spans="1:26">
      <c r="A10" s="82"/>
      <c r="B10" s="82"/>
      <c r="C10" s="82"/>
      <c r="D10" s="82"/>
      <c r="E10" s="83">
        <v>1</v>
      </c>
      <c r="F10" s="41">
        <f>IFERROR(
IF(A10="Monument",SUMIFS('Monument.PrixAdh.€HT'!$F:$F,'Monument.PrixAdh.€HT'!$B:$B,C10,'Monument.PrixAdh.€HT'!$E:$E,D10),
IF(A10="Semelle",IF(C10="130 x 230 x 5",SUMIFS('(Semelles.Monument.€HT)'!$E:$E,'(Semelles.Monument.€HT)'!$D:$D,D10),IF(C10="140 x 240 x 5",SUMIFS('(Semelles.Monument.€HT)'!$F:$F,'(Semelles.Monument.€HT)'!$D:$D,D10),IF(C10="150 x 250 x 5",SUMIFS('(Semelles.Monument.€HT)'!$G:$G,'(Semelles.Monument.€HT)'!$D:$D,D10),0))),
IF(A10="Accessoire",SUMIFS('Accessoires.PrixAdh.€HT'!$G:$G,'Accessoires.PrixAdh.€HT'!$C:$C,C10,'Accessoires.PrixAdh.€HT'!$F:$F,D10),
IF(A10="Urne",SUMIFS(#REF!,#REF!,C10,#REF!,D10),
IF(A10="Gravure",VLOOKUP(C10,'Gravure.PrixAdh.€HT'!$B:$C,2,FALSE),
IF(A10="Litho",VLOOKUP(C10,#REF!,2,FALSE),0)))))),0)</f>
        <v>0</v>
      </c>
      <c r="G10" s="42">
        <f t="shared" si="0"/>
        <v>0</v>
      </c>
      <c r="H10" s="43">
        <f>IFERROR(VLOOKUP(C10,Poids!$B:$C,2,FALSE)*E10,0)</f>
        <v>0</v>
      </c>
      <c r="I10" s="84">
        <v>2.5</v>
      </c>
    </row>
    <row r="11" spans="1:26">
      <c r="A11" s="82"/>
      <c r="B11" s="82"/>
      <c r="C11" s="82"/>
      <c r="D11" s="82"/>
      <c r="E11" s="83">
        <v>1</v>
      </c>
      <c r="F11" s="41">
        <f>IFERROR(
IF(A11="Monument",SUMIFS('Monument.PrixAdh.€HT'!$F:$F,'Monument.PrixAdh.€HT'!$B:$B,C11,'Monument.PrixAdh.€HT'!$E:$E,D11),
IF(A11="Semelle",IF(C11="130 x 230 x 5",SUMIFS('(Semelles.Monument.€HT)'!$E:$E,'(Semelles.Monument.€HT)'!$D:$D,D11),IF(C11="140 x 240 x 5",SUMIFS('(Semelles.Monument.€HT)'!$F:$F,'(Semelles.Monument.€HT)'!$D:$D,D11),IF(C11="150 x 250 x 5",SUMIFS('(Semelles.Monument.€HT)'!$G:$G,'(Semelles.Monument.€HT)'!$D:$D,D11),0))),
IF(A11="Accessoire",SUMIFS('Accessoires.PrixAdh.€HT'!$G:$G,'Accessoires.PrixAdh.€HT'!$C:$C,C11,'Accessoires.PrixAdh.€HT'!$F:$F,D11),
IF(A11="Urne",SUMIFS(#REF!,#REF!,C11,#REF!,D11),
IF(A11="Gravure",VLOOKUP(C11,'Gravure.PrixAdh.€HT'!$B:$C,2,FALSE),
IF(A11="Litho",VLOOKUP(C11,#REF!,2,FALSE),0)))))),0)</f>
        <v>0</v>
      </c>
      <c r="G11" s="42">
        <f t="shared" si="0"/>
        <v>0</v>
      </c>
      <c r="H11" s="43">
        <f>IFERROR(VLOOKUP(C11,Poids!$B:$C,2,FALSE)*E11,0)</f>
        <v>0</v>
      </c>
      <c r="I11" s="84">
        <v>2.5</v>
      </c>
    </row>
    <row r="12" spans="1:26">
      <c r="A12" s="82"/>
      <c r="B12" s="82"/>
      <c r="C12" s="82"/>
      <c r="D12" s="82"/>
      <c r="E12" s="83">
        <v>1</v>
      </c>
      <c r="F12" s="41">
        <f>IFERROR(
IF(A12="Monument",SUMIFS('Monument.PrixAdh.€HT'!$F:$F,'Monument.PrixAdh.€HT'!$B:$B,C12,'Monument.PrixAdh.€HT'!$E:$E,D12),
IF(A12="Semelle",IF(C12="130 x 230 x 5",SUMIFS('(Semelles.Monument.€HT)'!$E:$E,'(Semelles.Monument.€HT)'!$D:$D,D12),IF(C12="140 x 240 x 5",SUMIFS('(Semelles.Monument.€HT)'!$F:$F,'(Semelles.Monument.€HT)'!$D:$D,D12),IF(C12="150 x 250 x 5",SUMIFS('(Semelles.Monument.€HT)'!$G:$G,'(Semelles.Monument.€HT)'!$D:$D,D12),0))),
IF(A12="Accessoire",SUMIFS('Accessoires.PrixAdh.€HT'!$G:$G,'Accessoires.PrixAdh.€HT'!$C:$C,C12,'Accessoires.PrixAdh.€HT'!$F:$F,D12),
IF(A12="Urne",SUMIFS(#REF!,#REF!,C12,#REF!,D12),
IF(A12="Gravure",VLOOKUP(C12,'Gravure.PrixAdh.€HT'!$B:$C,2,FALSE),
IF(A12="Litho",VLOOKUP(C12,#REF!,2,FALSE),0)))))),0)</f>
        <v>0</v>
      </c>
      <c r="G12" s="42">
        <f t="shared" si="0"/>
        <v>0</v>
      </c>
      <c r="H12" s="43">
        <f>IFERROR(VLOOKUP(C12,Poids!$B:$C,2,FALSE)*E12,0)</f>
        <v>0</v>
      </c>
      <c r="I12" s="84">
        <v>2.5</v>
      </c>
    </row>
    <row r="13" spans="1:26">
      <c r="A13" s="82"/>
      <c r="B13" s="82"/>
      <c r="C13" s="82"/>
      <c r="D13" s="82"/>
      <c r="E13" s="83">
        <v>1</v>
      </c>
      <c r="F13" s="41">
        <f>IFERROR(
IF(A13="Monument",SUMIFS('Monument.PrixAdh.€HT'!$F:$F,'Monument.PrixAdh.€HT'!$B:$B,C13,'Monument.PrixAdh.€HT'!$E:$E,D13),
IF(A13="Semelle",IF(C13="130 x 230 x 5",SUMIFS('(Semelles.Monument.€HT)'!$E:$E,'(Semelles.Monument.€HT)'!$D:$D,D13),IF(C13="140 x 240 x 5",SUMIFS('(Semelles.Monument.€HT)'!$F:$F,'(Semelles.Monument.€HT)'!$D:$D,D13),IF(C13="150 x 250 x 5",SUMIFS('(Semelles.Monument.€HT)'!$G:$G,'(Semelles.Monument.€HT)'!$D:$D,D13),0))),
IF(A13="Accessoire",SUMIFS('Accessoires.PrixAdh.€HT'!$G:$G,'Accessoires.PrixAdh.€HT'!$C:$C,C13,'Accessoires.PrixAdh.€HT'!$F:$F,D13),
IF(A13="Urne",SUMIFS(#REF!,#REF!,C13,#REF!,D13),
IF(A13="Gravure",VLOOKUP(C13,'Gravure.PrixAdh.€HT'!$B:$C,2,FALSE),
IF(A13="Litho",VLOOKUP(C13,#REF!,2,FALSE),0)))))),0)</f>
        <v>0</v>
      </c>
      <c r="G13" s="42">
        <f t="shared" si="0"/>
        <v>0</v>
      </c>
      <c r="H13" s="43">
        <f>IFERROR(VLOOKUP(C13,Poids!$B:$C,2,FALSE)*E13,0)</f>
        <v>0</v>
      </c>
      <c r="I13" s="84">
        <v>2.5</v>
      </c>
    </row>
    <row r="14" spans="1:26">
      <c r="A14" s="82"/>
      <c r="B14" s="82"/>
      <c r="C14" s="82"/>
      <c r="D14" s="82"/>
      <c r="E14" s="83">
        <v>1</v>
      </c>
      <c r="F14" s="41">
        <f>IFERROR(
IF(A14="Monument",SUMIFS('Monument.PrixAdh.€HT'!$F:$F,'Monument.PrixAdh.€HT'!$B:$B,C14,'Monument.PrixAdh.€HT'!$E:$E,D14),
IF(A14="Semelle",IF(C14="130 x 230 x 5",SUMIFS('(Semelles.Monument.€HT)'!$E:$E,'(Semelles.Monument.€HT)'!$D:$D,D14),IF(C14="140 x 240 x 5",SUMIFS('(Semelles.Monument.€HT)'!$F:$F,'(Semelles.Monument.€HT)'!$D:$D,D14),IF(C14="150 x 250 x 5",SUMIFS('(Semelles.Monument.€HT)'!$G:$G,'(Semelles.Monument.€HT)'!$D:$D,D14),0))),
IF(A14="Accessoire",SUMIFS('Accessoires.PrixAdh.€HT'!$G:$G,'Accessoires.PrixAdh.€HT'!$C:$C,C14,'Accessoires.PrixAdh.€HT'!$F:$F,D14),
IF(A14="Urne",SUMIFS(#REF!,#REF!,C14,#REF!,D14),
IF(A14="Gravure",VLOOKUP(C14,'Gravure.PrixAdh.€HT'!$B:$C,2,FALSE),
IF(A14="Litho",VLOOKUP(C14,#REF!,2,FALSE),0)))))),0)</f>
        <v>0</v>
      </c>
      <c r="G14" s="42">
        <f t="shared" si="0"/>
        <v>0</v>
      </c>
      <c r="H14" s="43">
        <f>IFERROR(VLOOKUP(C14,Poids!$B:$C,2,FALSE)*E14,0)</f>
        <v>0</v>
      </c>
      <c r="I14" s="84">
        <v>2.5</v>
      </c>
    </row>
    <row r="15" spans="1:26">
      <c r="A15" s="82"/>
      <c r="B15" s="82"/>
      <c r="C15" s="82"/>
      <c r="D15" s="82"/>
      <c r="E15" s="83">
        <v>1</v>
      </c>
      <c r="F15" s="41">
        <f>IFERROR(
IF(A15="Monument",SUMIFS('Monument.PrixAdh.€HT'!$F:$F,'Monument.PrixAdh.€HT'!$B:$B,C15,'Monument.PrixAdh.€HT'!$E:$E,D15),
IF(A15="Semelle",IF(C15="130 x 230 x 5",SUMIFS('(Semelles.Monument.€HT)'!$E:$E,'(Semelles.Monument.€HT)'!$D:$D,D15),IF(C15="140 x 240 x 5",SUMIFS('(Semelles.Monument.€HT)'!$F:$F,'(Semelles.Monument.€HT)'!$D:$D,D15),IF(C15="150 x 250 x 5",SUMIFS('(Semelles.Monument.€HT)'!$G:$G,'(Semelles.Monument.€HT)'!$D:$D,D15),0))),
IF(A15="Accessoire",SUMIFS('Accessoires.PrixAdh.€HT'!$G:$G,'Accessoires.PrixAdh.€HT'!$C:$C,C15,'Accessoires.PrixAdh.€HT'!$F:$F,D15),
IF(A15="Urne",SUMIFS(#REF!,#REF!,C15,#REF!,D15),
IF(A15="Gravure",VLOOKUP(C15,'Gravure.PrixAdh.€HT'!$B:$C,2,FALSE),
IF(A15="Litho",VLOOKUP(C15,#REF!,2,FALSE),0)))))),0)</f>
        <v>0</v>
      </c>
      <c r="G15" s="42">
        <f t="shared" si="0"/>
        <v>0</v>
      </c>
      <c r="H15" s="43">
        <f>IFERROR(VLOOKUP(C15,Poids!$B:$C,2,FALSE)*E15,0)</f>
        <v>0</v>
      </c>
      <c r="I15" s="84">
        <v>2.5</v>
      </c>
    </row>
    <row r="16" spans="1:26">
      <c r="A16" s="82"/>
      <c r="B16" s="82"/>
      <c r="C16" s="82"/>
      <c r="D16" s="82"/>
      <c r="E16" s="83">
        <v>1</v>
      </c>
      <c r="F16" s="41">
        <f>IFERROR(
IF(A16="Monument",SUMIFS('Monument.PrixAdh.€HT'!$F:$F,'Monument.PrixAdh.€HT'!$B:$B,C16,'Monument.PrixAdh.€HT'!$E:$E,D16),
IF(A16="Semelle",IF(C16="130 x 230 x 5",SUMIFS('(Semelles.Monument.€HT)'!$E:$E,'(Semelles.Monument.€HT)'!$D:$D,D16),IF(C16="140 x 240 x 5",SUMIFS('(Semelles.Monument.€HT)'!$F:$F,'(Semelles.Monument.€HT)'!$D:$D,D16),IF(C16="150 x 250 x 5",SUMIFS('(Semelles.Monument.€HT)'!$G:$G,'(Semelles.Monument.€HT)'!$D:$D,D16),0))),
IF(A16="Accessoire",SUMIFS('Accessoires.PrixAdh.€HT'!$G:$G,'Accessoires.PrixAdh.€HT'!$C:$C,C16,'Accessoires.PrixAdh.€HT'!$F:$F,D16),
IF(A16="Urne",SUMIFS(#REF!,#REF!,C16,#REF!,D16),
IF(A16="Gravure",VLOOKUP(C16,'Gravure.PrixAdh.€HT'!$B:$C,2,FALSE),
IF(A16="Litho",VLOOKUP(C16,#REF!,2,FALSE),0)))))),0)</f>
        <v>0</v>
      </c>
      <c r="G16" s="42">
        <f t="shared" si="0"/>
        <v>0</v>
      </c>
      <c r="H16" s="43">
        <f>IFERROR(VLOOKUP(C16,Poids!$B:$C,2,FALSE)*E16,0)</f>
        <v>0</v>
      </c>
      <c r="I16" s="84">
        <v>2.5</v>
      </c>
    </row>
    <row r="17" spans="1:11">
      <c r="A17" s="82"/>
      <c r="B17" s="82"/>
      <c r="C17" s="82"/>
      <c r="D17" s="82"/>
      <c r="E17" s="83">
        <v>1</v>
      </c>
      <c r="F17" s="41">
        <f>IFERROR(
IF(A17="Monument",SUMIFS('Monument.PrixAdh.€HT'!$F:$F,'Monument.PrixAdh.€HT'!$B:$B,C17,'Monument.PrixAdh.€HT'!$E:$E,D17),
IF(A17="Semelle",IF(C17="130 x 230 x 5",SUMIFS('(Semelles.Monument.€HT)'!$E:$E,'(Semelles.Monument.€HT)'!$D:$D,D17),IF(C17="140 x 240 x 5",SUMIFS('(Semelles.Monument.€HT)'!$F:$F,'(Semelles.Monument.€HT)'!$D:$D,D17),IF(C17="150 x 250 x 5",SUMIFS('(Semelles.Monument.€HT)'!$G:$G,'(Semelles.Monument.€HT)'!$D:$D,D17),0))),
IF(A17="Accessoire",SUMIFS('Accessoires.PrixAdh.€HT'!$G:$G,'Accessoires.PrixAdh.€HT'!$C:$C,C17,'Accessoires.PrixAdh.€HT'!$F:$F,D17),
IF(A17="Urne",SUMIFS(#REF!,#REF!,C17,#REF!,D17),
IF(A17="Gravure",VLOOKUP(C17,'Gravure.PrixAdh.€HT'!$B:$C,2,FALSE),
IF(A17="Litho",VLOOKUP(C17,#REF!,2,FALSE),0)))))),0)</f>
        <v>0</v>
      </c>
      <c r="G17" s="42">
        <f t="shared" si="0"/>
        <v>0</v>
      </c>
      <c r="H17" s="43">
        <f>IFERROR(VLOOKUP(C17,Poids!$B:$C,2,FALSE)*E17,0)</f>
        <v>0</v>
      </c>
      <c r="I17" s="84">
        <v>2.5</v>
      </c>
    </row>
    <row r="18" spans="1:11">
      <c r="A18" s="82"/>
      <c r="B18" s="82"/>
      <c r="C18" s="82"/>
      <c r="D18" s="82"/>
      <c r="E18" s="83">
        <v>1</v>
      </c>
      <c r="F18" s="41">
        <f>IFERROR(
IF(A18="Monument",SUMIFS('Monument.PrixAdh.€HT'!$F:$F,'Monument.PrixAdh.€HT'!$B:$B,C18,'Monument.PrixAdh.€HT'!$E:$E,D18),
IF(A18="Semelle",IF(C18="130 x 230 x 5",SUMIFS('(Semelles.Monument.€HT)'!$E:$E,'(Semelles.Monument.€HT)'!$D:$D,D18),IF(C18="140 x 240 x 5",SUMIFS('(Semelles.Monument.€HT)'!$F:$F,'(Semelles.Monument.€HT)'!$D:$D,D18),IF(C18="150 x 250 x 5",SUMIFS('(Semelles.Monument.€HT)'!$G:$G,'(Semelles.Monument.€HT)'!$D:$D,D18),0))),
IF(A18="Accessoire",SUMIFS('Accessoires.PrixAdh.€HT'!$G:$G,'Accessoires.PrixAdh.€HT'!$C:$C,C18,'Accessoires.PrixAdh.€HT'!$F:$F,D18),
IF(A18="Urne",SUMIFS(#REF!,#REF!,C18,#REF!,D18),
IF(A18="Gravure",VLOOKUP(C18,'Gravure.PrixAdh.€HT'!$B:$C,2,FALSE),
IF(A18="Litho",VLOOKUP(C18,#REF!,2,FALSE),0)))))),0)</f>
        <v>0</v>
      </c>
      <c r="G18" s="42">
        <f t="shared" si="0"/>
        <v>0</v>
      </c>
      <c r="H18" s="43">
        <f>IFERROR(VLOOKUP(C18,Poids!$B:$C,2,FALSE)*E18,0)</f>
        <v>0</v>
      </c>
      <c r="I18" s="84">
        <v>2.5</v>
      </c>
    </row>
    <row r="19" spans="1:11">
      <c r="A19" s="82"/>
      <c r="B19" s="82"/>
      <c r="C19" s="82"/>
      <c r="D19" s="82"/>
      <c r="E19" s="83">
        <v>1</v>
      </c>
      <c r="F19" s="41">
        <f>IFERROR(
IF(A19="Monument",SUMIFS('Monument.PrixAdh.€HT'!$F:$F,'Monument.PrixAdh.€HT'!$B:$B,C19,'Monument.PrixAdh.€HT'!$E:$E,D19),
IF(A19="Semelle",IF(C19="130 x 230 x 5",SUMIFS('(Semelles.Monument.€HT)'!$E:$E,'(Semelles.Monument.€HT)'!$D:$D,D19),IF(C19="140 x 240 x 5",SUMIFS('(Semelles.Monument.€HT)'!$F:$F,'(Semelles.Monument.€HT)'!$D:$D,D19),IF(C19="150 x 250 x 5",SUMIFS('(Semelles.Monument.€HT)'!$G:$G,'(Semelles.Monument.€HT)'!$D:$D,D19),0))),
IF(A19="Accessoire",SUMIFS('Accessoires.PrixAdh.€HT'!$G:$G,'Accessoires.PrixAdh.€HT'!$C:$C,C19,'Accessoires.PrixAdh.€HT'!$F:$F,D19),
IF(A19="Urne",SUMIFS(#REF!,#REF!,C19,#REF!,D19),
IF(A19="Gravure",VLOOKUP(C19,'Gravure.PrixAdh.€HT'!$B:$C,2,FALSE),
IF(A19="Litho",VLOOKUP(C19,#REF!,2,FALSE),0)))))),0)</f>
        <v>0</v>
      </c>
      <c r="G19" s="42">
        <f t="shared" si="0"/>
        <v>0</v>
      </c>
      <c r="H19" s="43">
        <f>IFERROR(VLOOKUP(C19,Poids!$B:$C,2,FALSE)*E19,0)</f>
        <v>0</v>
      </c>
      <c r="I19" s="84">
        <v>2.5</v>
      </c>
    </row>
    <row r="20" spans="1:11">
      <c r="A20" s="82"/>
      <c r="B20" s="82"/>
      <c r="C20" s="82"/>
      <c r="D20" s="82"/>
      <c r="E20" s="83">
        <v>1</v>
      </c>
      <c r="F20" s="41">
        <f>IFERROR(
IF(A20="Monument",SUMIFS('Monument.PrixAdh.€HT'!$F:$F,'Monument.PrixAdh.€HT'!$B:$B,C20,'Monument.PrixAdh.€HT'!$E:$E,D20),
IF(A20="Semelle",IF(C20="130 x 230 x 5",SUMIFS('(Semelles.Monument.€HT)'!$E:$E,'(Semelles.Monument.€HT)'!$D:$D,D20),IF(C20="140 x 240 x 5",SUMIFS('(Semelles.Monument.€HT)'!$F:$F,'(Semelles.Monument.€HT)'!$D:$D,D20),IF(C20="150 x 250 x 5",SUMIFS('(Semelles.Monument.€HT)'!$G:$G,'(Semelles.Monument.€HT)'!$D:$D,D20),0))),
IF(A20="Accessoire",SUMIFS('Accessoires.PrixAdh.€HT'!$G:$G,'Accessoires.PrixAdh.€HT'!$C:$C,C20,'Accessoires.PrixAdh.€HT'!$F:$F,D20),
IF(A20="Urne",SUMIFS(#REF!,#REF!,C20,#REF!,D20),
IF(A20="Gravure",VLOOKUP(C20,'Gravure.PrixAdh.€HT'!$B:$C,2,FALSE),
IF(A20="Litho",VLOOKUP(C20,#REF!,2,FALSE),0)))))),0)</f>
        <v>0</v>
      </c>
      <c r="G20" s="42">
        <f t="shared" si="0"/>
        <v>0</v>
      </c>
      <c r="H20" s="43">
        <f>IFERROR(VLOOKUP(C20,Poids!$B:$C,2,FALSE)*E20,0)</f>
        <v>0</v>
      </c>
      <c r="I20" s="84">
        <v>2.5</v>
      </c>
    </row>
    <row r="21" spans="1:11">
      <c r="A21" s="82"/>
      <c r="B21" s="82"/>
      <c r="C21" s="82"/>
      <c r="D21" s="82"/>
      <c r="E21" s="83">
        <v>1</v>
      </c>
      <c r="F21" s="41">
        <f>IFERROR(
IF(A21="Monument",SUMIFS('Monument.PrixAdh.€HT'!$F:$F,'Monument.PrixAdh.€HT'!$B:$B,C21,'Monument.PrixAdh.€HT'!$E:$E,D21),
IF(A21="Semelle",IF(C21="130 x 230 x 5",SUMIFS('(Semelles.Monument.€HT)'!$E:$E,'(Semelles.Monument.€HT)'!$D:$D,D21),IF(C21="140 x 240 x 5",SUMIFS('(Semelles.Monument.€HT)'!$F:$F,'(Semelles.Monument.€HT)'!$D:$D,D21),IF(C21="150 x 250 x 5",SUMIFS('(Semelles.Monument.€HT)'!$G:$G,'(Semelles.Monument.€HT)'!$D:$D,D21),0))),
IF(A21="Accessoire",SUMIFS('Accessoires.PrixAdh.€HT'!$G:$G,'Accessoires.PrixAdh.€HT'!$C:$C,C21,'Accessoires.PrixAdh.€HT'!$F:$F,D21),
IF(A21="Urne",SUMIFS(#REF!,#REF!,C21,#REF!,D21),
IF(A21="Gravure",VLOOKUP(C21,'Gravure.PrixAdh.€HT'!$B:$C,2,FALSE),
IF(A21="Litho",VLOOKUP(C21,#REF!,2,FALSE),0)))))),0)</f>
        <v>0</v>
      </c>
      <c r="G21" s="42">
        <f t="shared" si="0"/>
        <v>0</v>
      </c>
      <c r="H21" s="43">
        <f>IFERROR(VLOOKUP(C21,Poids!$B:$C,2,FALSE)*E21,0)</f>
        <v>0</v>
      </c>
      <c r="I21" s="84">
        <v>2.5</v>
      </c>
    </row>
    <row r="22" spans="1:11">
      <c r="A22" s="82"/>
      <c r="B22" s="82"/>
      <c r="C22" s="82"/>
      <c r="D22" s="82"/>
      <c r="E22" s="83">
        <v>1</v>
      </c>
      <c r="F22" s="41">
        <f>IFERROR(
IF(A22="Monument",SUMIFS('Monument.PrixAdh.€HT'!$F:$F,'Monument.PrixAdh.€HT'!$B:$B,C22,'Monument.PrixAdh.€HT'!$E:$E,D22),
IF(A22="Semelle",IF(C22="130 x 230 x 5",SUMIFS('(Semelles.Monument.€HT)'!$E:$E,'(Semelles.Monument.€HT)'!$D:$D,D22),IF(C22="140 x 240 x 5",SUMIFS('(Semelles.Monument.€HT)'!$F:$F,'(Semelles.Monument.€HT)'!$D:$D,D22),IF(C22="150 x 250 x 5",SUMIFS('(Semelles.Monument.€HT)'!$G:$G,'(Semelles.Monument.€HT)'!$D:$D,D22),0))),
IF(A22="Accessoire",SUMIFS('Accessoires.PrixAdh.€HT'!$G:$G,'Accessoires.PrixAdh.€HT'!$C:$C,C22,'Accessoires.PrixAdh.€HT'!$F:$F,D22),
IF(A22="Urne",SUMIFS(#REF!,#REF!,C22,#REF!,D22),
IF(A22="Gravure",VLOOKUP(C22,'Gravure.PrixAdh.€HT'!$B:$C,2,FALSE),
IF(A22="Litho",VLOOKUP(C22,#REF!,2,FALSE),0)))))),0)</f>
        <v>0</v>
      </c>
      <c r="G22" s="42">
        <f t="shared" si="0"/>
        <v>0</v>
      </c>
      <c r="H22" s="43">
        <f>IFERROR(VLOOKUP(C22,Poids!$B:$C,2,FALSE)*E22,0)</f>
        <v>0</v>
      </c>
      <c r="I22" s="84">
        <v>2.5</v>
      </c>
    </row>
    <row r="23" spans="1:11">
      <c r="A23" s="82"/>
      <c r="B23" s="82"/>
      <c r="C23" s="82"/>
      <c r="D23" s="82"/>
      <c r="E23" s="83">
        <v>1</v>
      </c>
      <c r="F23" s="41">
        <f>IFERROR(
IF(A23="Monument",SUMIFS('Monument.PrixAdh.€HT'!$F:$F,'Monument.PrixAdh.€HT'!$B:$B,C23,'Monument.PrixAdh.€HT'!$E:$E,D23),
IF(A23="Semelle",IF(C23="130 x 230 x 5",SUMIFS('(Semelles.Monument.€HT)'!$E:$E,'(Semelles.Monument.€HT)'!$D:$D,D23),IF(C23="140 x 240 x 5",SUMIFS('(Semelles.Monument.€HT)'!$F:$F,'(Semelles.Monument.€HT)'!$D:$D,D23),IF(C23="150 x 250 x 5",SUMIFS('(Semelles.Monument.€HT)'!$G:$G,'(Semelles.Monument.€HT)'!$D:$D,D23),0))),
IF(A23="Accessoire",SUMIFS('Accessoires.PrixAdh.€HT'!$G:$G,'Accessoires.PrixAdh.€HT'!$C:$C,C23,'Accessoires.PrixAdh.€HT'!$F:$F,D23),
IF(A23="Urne",SUMIFS(#REF!,#REF!,C23,#REF!,D23),
IF(A23="Gravure",VLOOKUP(C23,'Gravure.PrixAdh.€HT'!$B:$C,2,FALSE),
IF(A23="Litho",VLOOKUP(C23,#REF!,2,FALSE),0)))))),0)</f>
        <v>0</v>
      </c>
      <c r="G23" s="42">
        <f t="shared" si="0"/>
        <v>0</v>
      </c>
      <c r="H23" s="43">
        <f>IFERROR(VLOOKUP(C23,Poids!$B:$C,2,FALSE)*E23,0)</f>
        <v>0</v>
      </c>
      <c r="I23" s="84">
        <v>2.5</v>
      </c>
    </row>
    <row r="24" spans="1:11">
      <c r="A24" s="82"/>
      <c r="B24" s="82"/>
      <c r="C24" s="82"/>
      <c r="D24" s="82"/>
      <c r="E24" s="83">
        <v>1</v>
      </c>
      <c r="F24" s="41">
        <f>IFERROR(
IF(A24="Monument",SUMIFS('Monument.PrixAdh.€HT'!$F:$F,'Monument.PrixAdh.€HT'!$B:$B,C24,'Monument.PrixAdh.€HT'!$E:$E,D24),
IF(A24="Semelle",IF(C24="130 x 230 x 5",SUMIFS('(Semelles.Monument.€HT)'!$E:$E,'(Semelles.Monument.€HT)'!$D:$D,D24),IF(C24="140 x 240 x 5",SUMIFS('(Semelles.Monument.€HT)'!$F:$F,'(Semelles.Monument.€HT)'!$D:$D,D24),IF(C24="150 x 250 x 5",SUMIFS('(Semelles.Monument.€HT)'!$G:$G,'(Semelles.Monument.€HT)'!$D:$D,D24),0))),
IF(A24="Accessoire",SUMIFS('Accessoires.PrixAdh.€HT'!$G:$G,'Accessoires.PrixAdh.€HT'!$C:$C,C24,'Accessoires.PrixAdh.€HT'!$F:$F,D24),
IF(A24="Urne",SUMIFS(#REF!,#REF!,C24,#REF!,D24),
IF(A24="Gravure",VLOOKUP(C24,'Gravure.PrixAdh.€HT'!$B:$C,2,FALSE),
IF(A24="Litho",VLOOKUP(C24,#REF!,2,FALSE),0)))))),0)</f>
        <v>0</v>
      </c>
      <c r="G24" s="42">
        <f t="shared" si="0"/>
        <v>0</v>
      </c>
      <c r="H24" s="43">
        <f>IFERROR(VLOOKUP(C24,Poids!$B:$C,2,FALSE)*E24,0)</f>
        <v>0</v>
      </c>
      <c r="I24" s="84">
        <v>2.5</v>
      </c>
    </row>
    <row r="25" spans="1:11">
      <c r="A25" s="82"/>
      <c r="B25" s="82"/>
      <c r="C25" s="82"/>
      <c r="D25" s="82"/>
      <c r="E25" s="83">
        <v>1</v>
      </c>
      <c r="F25" s="41">
        <f>IFERROR(
IF(A25="Monument",SUMIFS('Monument.PrixAdh.€HT'!$F:$F,'Monument.PrixAdh.€HT'!$B:$B,C25,'Monument.PrixAdh.€HT'!$E:$E,D25),
IF(A25="Semelle",IF(C25="130 x 230 x 5",SUMIFS('(Semelles.Monument.€HT)'!$E:$E,'(Semelles.Monument.€HT)'!$D:$D,D25),IF(C25="140 x 240 x 5",SUMIFS('(Semelles.Monument.€HT)'!$F:$F,'(Semelles.Monument.€HT)'!$D:$D,D25),IF(C25="150 x 250 x 5",SUMIFS('(Semelles.Monument.€HT)'!$G:$G,'(Semelles.Monument.€HT)'!$D:$D,D25),0))),
IF(A25="Accessoire",SUMIFS('Accessoires.PrixAdh.€HT'!$G:$G,'Accessoires.PrixAdh.€HT'!$C:$C,C25,'Accessoires.PrixAdh.€HT'!$F:$F,D25),
IF(A25="Urne",SUMIFS(#REF!,#REF!,C25,#REF!,D25),
IF(A25="Gravure",VLOOKUP(C25,'Gravure.PrixAdh.€HT'!$B:$C,2,FALSE),
IF(A25="Litho",VLOOKUP(C25,#REF!,2,FALSE),0)))))),0)</f>
        <v>0</v>
      </c>
      <c r="G25" s="42">
        <f t="shared" si="0"/>
        <v>0</v>
      </c>
      <c r="H25" s="43">
        <f>IFERROR(VLOOKUP(C25,Poids!$B:$C,2,FALSE)*E25,0)</f>
        <v>0</v>
      </c>
      <c r="I25" s="84">
        <v>2.5</v>
      </c>
    </row>
    <row r="26" spans="1:11">
      <c r="A26" s="82"/>
      <c r="B26" s="82"/>
      <c r="C26" s="82"/>
      <c r="D26" s="82"/>
      <c r="E26" s="83">
        <v>1</v>
      </c>
      <c r="F26" s="41">
        <f>IFERROR(
IF(A26="Monument",SUMIFS('Monument.PrixAdh.€HT'!$F:$F,'Monument.PrixAdh.€HT'!$B:$B,C26,'Monument.PrixAdh.€HT'!$E:$E,D26),
IF(A26="Semelle",IF(C26="130 x 230 x 5",SUMIFS('(Semelles.Monument.€HT)'!$E:$E,'(Semelles.Monument.€HT)'!$D:$D,D26),IF(C26="140 x 240 x 5",SUMIFS('(Semelles.Monument.€HT)'!$F:$F,'(Semelles.Monument.€HT)'!$D:$D,D26),IF(C26="150 x 250 x 5",SUMIFS('(Semelles.Monument.€HT)'!$G:$G,'(Semelles.Monument.€HT)'!$D:$D,D26),0))),
IF(A26="Accessoire",SUMIFS('Accessoires.PrixAdh.€HT'!$G:$G,'Accessoires.PrixAdh.€HT'!$C:$C,C26,'Accessoires.PrixAdh.€HT'!$F:$F,D26),
IF(A26="Urne",SUMIFS(#REF!,#REF!,C26,#REF!,D26),
IF(A26="Gravure",VLOOKUP(C26,'Gravure.PrixAdh.€HT'!$B:$C,2,FALSE),
IF(A26="Litho",VLOOKUP(C26,#REF!,2,FALSE),0)))))),0)</f>
        <v>0</v>
      </c>
      <c r="G26" s="42">
        <f t="shared" si="0"/>
        <v>0</v>
      </c>
      <c r="H26" s="43">
        <f>IFERROR(VLOOKUP(C26,Poids!$B:$C,2,FALSE)*E26,0)</f>
        <v>0</v>
      </c>
      <c r="I26" s="84">
        <v>2.5</v>
      </c>
    </row>
    <row r="27" spans="1:11">
      <c r="A27" s="46" t="s">
        <v>75</v>
      </c>
      <c r="B27" s="47"/>
      <c r="C27" s="47"/>
      <c r="D27" s="47"/>
      <c r="E27" s="47"/>
      <c r="F27" s="47"/>
      <c r="G27" s="80">
        <f>IFERROR(IF(OR(Z3="",Z4=0),0,MAX(84,Z4*VLOOKUP(Z3,'Tarif TFranco'!$A:$G,IF(Z4&lt;3,2,IF(Z4&lt;5,3,IF(Z4&lt;8,4,IF(Z4&lt;10,5,6)))),FALSE))+30),0)</f>
        <v>0</v>
      </c>
      <c r="H27" s="59">
        <f>Z4</f>
        <v>0</v>
      </c>
      <c r="I27" s="84">
        <v>1</v>
      </c>
    </row>
    <row r="28" spans="1:11">
      <c r="A28" s="48"/>
      <c r="B28" s="48"/>
      <c r="C28" s="48"/>
      <c r="D28" s="48"/>
      <c r="E28" s="48"/>
      <c r="F28" s="48"/>
      <c r="G28" s="49"/>
      <c r="H28" s="49"/>
      <c r="I28" s="48"/>
      <c r="J28" s="48"/>
      <c r="K28" s="48"/>
    </row>
    <row r="29" spans="1:11">
      <c r="A29" s="60" t="s">
        <v>76</v>
      </c>
      <c r="B29" s="48"/>
      <c r="C29" s="48"/>
      <c r="D29" s="48"/>
      <c r="E29" s="48"/>
      <c r="F29" s="48"/>
      <c r="G29" s="50">
        <f>SUM(G7:G26)</f>
        <v>0</v>
      </c>
      <c r="H29" s="51"/>
      <c r="I29" s="51"/>
      <c r="J29" s="48"/>
      <c r="K29" s="48"/>
    </row>
    <row r="30" spans="1:11">
      <c r="A30" s="60" t="s">
        <v>77</v>
      </c>
      <c r="B30" s="48"/>
      <c r="C30" s="48"/>
      <c r="D30" s="48"/>
      <c r="E30" s="48"/>
      <c r="F30" s="48"/>
      <c r="G30" s="50">
        <f>G27</f>
        <v>0</v>
      </c>
      <c r="H30" s="48"/>
      <c r="I30" s="48"/>
      <c r="J30" s="48"/>
      <c r="K30" s="48"/>
    </row>
    <row r="31" spans="1:11">
      <c r="A31" s="48"/>
      <c r="B31" s="48"/>
      <c r="C31" s="48"/>
      <c r="D31" s="48"/>
      <c r="E31" s="48"/>
      <c r="F31" s="48"/>
      <c r="G31" s="49"/>
      <c r="H31" s="49"/>
      <c r="I31" s="48"/>
      <c r="J31" s="48"/>
      <c r="K31" s="48"/>
    </row>
    <row r="32" spans="1:11" s="58" customFormat="1" ht="18" customHeight="1">
      <c r="A32" s="54" t="s">
        <v>78</v>
      </c>
      <c r="B32" s="61"/>
      <c r="C32" s="61"/>
      <c r="D32" s="61"/>
      <c r="E32" s="61"/>
      <c r="F32" s="61"/>
      <c r="G32" s="56">
        <f>G29+G30</f>
        <v>0</v>
      </c>
      <c r="H32" s="55"/>
      <c r="I32" s="55"/>
      <c r="J32" s="55"/>
      <c r="K32" s="55"/>
    </row>
    <row r="33" spans="1:11">
      <c r="A33" s="62" t="s">
        <v>79</v>
      </c>
      <c r="B33" s="63"/>
      <c r="C33" s="63"/>
      <c r="D33" s="63"/>
      <c r="E33" s="63"/>
      <c r="F33" s="63"/>
      <c r="G33" s="64">
        <f>G32*0.2</f>
        <v>0</v>
      </c>
      <c r="H33" s="49"/>
      <c r="I33" s="48"/>
      <c r="J33" s="48"/>
      <c r="K33" s="48"/>
    </row>
    <row r="34" spans="1:11" s="58" customFormat="1" ht="18" customHeight="1">
      <c r="A34" s="54" t="s">
        <v>80</v>
      </c>
      <c r="B34" s="61"/>
      <c r="C34" s="61"/>
      <c r="D34" s="61"/>
      <c r="E34" s="61"/>
      <c r="F34" s="61"/>
      <c r="G34" s="56">
        <f>G32+G33</f>
        <v>0</v>
      </c>
      <c r="H34" s="57"/>
      <c r="I34" s="55"/>
      <c r="J34" s="55"/>
      <c r="K34" s="55"/>
    </row>
    <row r="35" spans="1:11">
      <c r="A35" s="48"/>
      <c r="B35" s="48"/>
      <c r="C35" s="48"/>
      <c r="D35" s="48"/>
      <c r="E35" s="48"/>
      <c r="F35" s="48"/>
      <c r="G35" s="49"/>
      <c r="H35" s="49"/>
      <c r="I35" s="48"/>
      <c r="J35" s="48"/>
      <c r="K35" s="48"/>
    </row>
    <row r="36" spans="1:11">
      <c r="A36" s="67" t="s">
        <v>81</v>
      </c>
      <c r="B36" s="68"/>
      <c r="C36" s="69"/>
      <c r="D36" s="69"/>
      <c r="E36" s="69"/>
      <c r="F36" s="69"/>
      <c r="G36" s="70">
        <f>SUMPRODUCT(G7:G26,I7:I26)+G27*I27</f>
        <v>0</v>
      </c>
      <c r="H36" s="48"/>
      <c r="I36" s="48"/>
      <c r="J36" s="48"/>
      <c r="K36" s="48"/>
    </row>
    <row r="37" spans="1:11">
      <c r="A37" s="71" t="s">
        <v>82</v>
      </c>
      <c r="B37" s="72"/>
      <c r="C37" s="73"/>
      <c r="D37" s="73"/>
      <c r="E37" s="73"/>
      <c r="F37" s="73"/>
      <c r="G37" s="74">
        <f>G36-G32</f>
        <v>0</v>
      </c>
      <c r="H37" s="49"/>
      <c r="I37" s="48"/>
      <c r="J37" s="48"/>
      <c r="K37" s="48"/>
    </row>
    <row r="38" spans="1:11">
      <c r="A38" s="75" t="s">
        <v>83</v>
      </c>
      <c r="B38" s="76"/>
      <c r="C38" s="77"/>
      <c r="D38" s="77"/>
      <c r="E38" s="77"/>
      <c r="F38" s="77"/>
      <c r="G38" s="78">
        <f>IFERROR(G37/G32,0)</f>
        <v>0</v>
      </c>
      <c r="H38" s="49"/>
      <c r="I38" s="48"/>
      <c r="J38" s="48"/>
      <c r="K38" s="48"/>
    </row>
    <row r="39" spans="1:11">
      <c r="A39" s="48"/>
      <c r="B39" s="48"/>
      <c r="C39" s="48"/>
      <c r="D39" s="48"/>
      <c r="E39" s="48"/>
      <c r="F39" s="48"/>
      <c r="G39" s="53"/>
      <c r="H39" s="53"/>
      <c r="I39" s="48"/>
      <c r="J39" s="48"/>
      <c r="K39" s="48"/>
    </row>
    <row r="40" spans="1:11">
      <c r="A40" s="65"/>
      <c r="B40" s="66"/>
      <c r="C40" s="48"/>
      <c r="D40" s="48"/>
      <c r="E40" s="48"/>
      <c r="F40" s="48"/>
      <c r="G40" s="48"/>
      <c r="H40" s="48"/>
      <c r="I40" s="48"/>
      <c r="J40" s="48"/>
      <c r="K40" s="48"/>
    </row>
    <row r="41" spans="1:11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</row>
  </sheetData>
  <sheetProtection password="DFDA" sheet="1" formatCells="0" formatColumns="0" formatRows="0" insertColumns="0" insertRows="0" insertHyperlinks="0" deleteColumns="0" deleteRows="0" sort="0" autoFilter="0" pivotTables="0"/>
  <mergeCells count="1">
    <mergeCell ref="A1:I1"/>
  </mergeCells>
  <conditionalFormatting sqref="B7:B26">
    <cfRule type="expression" dxfId="3" priority="5">
      <formula>OR($A7="Semelle",$A7="Urne",$A7="Gravure",$A7="Litho")</formula>
    </cfRule>
  </conditionalFormatting>
  <conditionalFormatting sqref="D7:D26">
    <cfRule type="expression" dxfId="2" priority="6">
      <formula>OR($A7="Gravure",$A7="Litho")</formula>
    </cfRule>
  </conditionalFormatting>
  <dataValidations count="4">
    <dataValidation type="list" allowBlank="1" sqref="A7:A26" xr:uid="{00000000-0002-0000-0100-000000000000}">
      <formula1>Types</formula1>
    </dataValidation>
    <dataValidation type="list" allowBlank="1" sqref="B7:B26" xr:uid="{00000000-0002-0000-0100-000001000000}">
      <formula1>INDIRECT(IF(A7="Monument","Lignes_Monument",IF(A7="Accessoire","Lignes_Accessoire","")))</formula1>
    </dataValidation>
    <dataValidation type="list" allowBlank="1" sqref="C7:C26" xr:uid="{00000000-0002-0000-0100-000002000000}">
      <formula1>INDIRECT(IF(OR(A7="Monument",A7="Accessoire"),B7,A7))</formula1>
    </dataValidation>
    <dataValidation type="list" allowBlank="1" sqref="D7:D26" xr:uid="{00000000-0002-0000-0100-000003000000}">
      <formula1>Granits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Département invalide" error="Veuillez sélectionner un département dans la liste." promptTitle="Département" prompt="Sélectionnez le département de livraison." xr:uid="{00000000-0002-0000-0100-000004000000}">
          <x14:formula1>
            <xm:f>LISTES!$A$2:$A$95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35"/>
  <sheetViews>
    <sheetView workbookViewId="0">
      <selection activeCell="J14" sqref="J14"/>
    </sheetView>
  </sheetViews>
  <sheetFormatPr baseColWidth="10" defaultColWidth="9.06640625" defaultRowHeight="14.25"/>
  <cols>
    <col min="1" max="1" width="22.1328125" bestFit="1" customWidth="1"/>
    <col min="2" max="2" width="14" customWidth="1"/>
    <col min="3" max="3" width="18" customWidth="1"/>
    <col min="4" max="4" width="22" customWidth="1"/>
    <col min="5" max="5" width="6" customWidth="1"/>
    <col min="6" max="6" width="12" customWidth="1"/>
  </cols>
  <sheetData>
    <row r="1" spans="1:6" ht="18" customHeight="1">
      <c r="A1" s="79" t="s">
        <v>84</v>
      </c>
    </row>
    <row r="3" spans="1:6">
      <c r="A3" s="38" t="s">
        <v>66</v>
      </c>
      <c r="B3" s="38" t="s">
        <v>67</v>
      </c>
      <c r="C3" s="38" t="s">
        <v>68</v>
      </c>
      <c r="D3" s="38" t="s">
        <v>69</v>
      </c>
      <c r="E3" s="38" t="s">
        <v>70</v>
      </c>
      <c r="F3" s="38" t="s">
        <v>85</v>
      </c>
    </row>
    <row r="4" spans="1:6">
      <c r="A4" s="39" t="str">
        <f>IF('CALCUL PRIX ACHAT €'!A7="","",'CALCUL PRIX ACHAT €'!A7)</f>
        <v/>
      </c>
      <c r="B4" s="39" t="str">
        <f>IF('CALCUL PRIX ACHAT €'!B7="","",'CALCUL PRIX ACHAT €'!B7)</f>
        <v/>
      </c>
      <c r="C4" s="39" t="str">
        <f>IF('CALCUL PRIX ACHAT €'!C7="","",'CALCUL PRIX ACHAT €'!C7)</f>
        <v/>
      </c>
      <c r="D4" s="39" t="str">
        <f>IF('CALCUL PRIX ACHAT €'!D7="","",'CALCUL PRIX ACHAT €'!D7)</f>
        <v/>
      </c>
      <c r="E4" s="40" t="str">
        <f>IF('CALCUL PRIX ACHAT €'!A7="","",'CALCUL PRIX ACHAT €'!E7)</f>
        <v/>
      </c>
      <c r="F4" s="41" t="str">
        <f>IF('CALCUL PRIX ACHAT €'!G7=0,"",'CALCUL PRIX ACHAT €'!G7*'CALCUL PRIX ACHAT €'!I7)</f>
        <v/>
      </c>
    </row>
    <row r="5" spans="1:6">
      <c r="A5" s="39" t="str">
        <f>IF('CALCUL PRIX ACHAT €'!A8="","",'CALCUL PRIX ACHAT €'!A8)</f>
        <v/>
      </c>
      <c r="B5" s="39" t="str">
        <f>IF('CALCUL PRIX ACHAT €'!B8="","",'CALCUL PRIX ACHAT €'!B8)</f>
        <v/>
      </c>
      <c r="C5" s="39" t="str">
        <f>IF('CALCUL PRIX ACHAT €'!C8="","",'CALCUL PRIX ACHAT €'!C8)</f>
        <v/>
      </c>
      <c r="D5" s="39" t="str">
        <f>IF('CALCUL PRIX ACHAT €'!D8="","",'CALCUL PRIX ACHAT €'!D8)</f>
        <v/>
      </c>
      <c r="E5" s="40" t="str">
        <f>IF('CALCUL PRIX ACHAT €'!A8="","",'CALCUL PRIX ACHAT €'!E8)</f>
        <v/>
      </c>
      <c r="F5" s="41" t="str">
        <f>IF('CALCUL PRIX ACHAT €'!G8=0,"",'CALCUL PRIX ACHAT €'!G8*'CALCUL PRIX ACHAT €'!I8)</f>
        <v/>
      </c>
    </row>
    <row r="6" spans="1:6">
      <c r="A6" s="39" t="str">
        <f>IF('CALCUL PRIX ACHAT €'!A9="","",'CALCUL PRIX ACHAT €'!A9)</f>
        <v/>
      </c>
      <c r="B6" s="39" t="str">
        <f>IF('CALCUL PRIX ACHAT €'!B9="","",'CALCUL PRIX ACHAT €'!B9)</f>
        <v/>
      </c>
      <c r="C6" s="39" t="str">
        <f>IF('CALCUL PRIX ACHAT €'!C9="","",'CALCUL PRIX ACHAT €'!C9)</f>
        <v/>
      </c>
      <c r="D6" s="39" t="str">
        <f>IF('CALCUL PRIX ACHAT €'!D9="","",'CALCUL PRIX ACHAT €'!D9)</f>
        <v/>
      </c>
      <c r="E6" s="40" t="str">
        <f>IF('CALCUL PRIX ACHAT €'!A9="","",'CALCUL PRIX ACHAT €'!E9)</f>
        <v/>
      </c>
      <c r="F6" s="41" t="str">
        <f>IF('CALCUL PRIX ACHAT €'!G9=0,"",'CALCUL PRIX ACHAT €'!G9*'CALCUL PRIX ACHAT €'!I9)</f>
        <v/>
      </c>
    </row>
    <row r="7" spans="1:6">
      <c r="A7" s="39" t="str">
        <f>IF('CALCUL PRIX ACHAT €'!A10="","",'CALCUL PRIX ACHAT €'!A10)</f>
        <v/>
      </c>
      <c r="B7" s="39" t="str">
        <f>IF('CALCUL PRIX ACHAT €'!B10="","",'CALCUL PRIX ACHAT €'!B10)</f>
        <v/>
      </c>
      <c r="C7" s="39" t="str">
        <f>IF('CALCUL PRIX ACHAT €'!C10="","",'CALCUL PRIX ACHAT €'!C10)</f>
        <v/>
      </c>
      <c r="D7" s="39" t="str">
        <f>IF('CALCUL PRIX ACHAT €'!D10="","",'CALCUL PRIX ACHAT €'!D10)</f>
        <v/>
      </c>
      <c r="E7" s="40" t="str">
        <f>IF('CALCUL PRIX ACHAT €'!A10="","",'CALCUL PRIX ACHAT €'!E10)</f>
        <v/>
      </c>
      <c r="F7" s="41" t="str">
        <f>IF('CALCUL PRIX ACHAT €'!G10=0,"",'CALCUL PRIX ACHAT €'!G10*'CALCUL PRIX ACHAT €'!I10)</f>
        <v/>
      </c>
    </row>
    <row r="8" spans="1:6">
      <c r="A8" s="39" t="str">
        <f>IF('CALCUL PRIX ACHAT €'!A11="","",'CALCUL PRIX ACHAT €'!A11)</f>
        <v/>
      </c>
      <c r="B8" s="39" t="str">
        <f>IF('CALCUL PRIX ACHAT €'!B11="","",'CALCUL PRIX ACHAT €'!B11)</f>
        <v/>
      </c>
      <c r="C8" s="39" t="str">
        <f>IF('CALCUL PRIX ACHAT €'!C11="","",'CALCUL PRIX ACHAT €'!C11)</f>
        <v/>
      </c>
      <c r="D8" s="39" t="str">
        <f>IF('CALCUL PRIX ACHAT €'!D11="","",'CALCUL PRIX ACHAT €'!D11)</f>
        <v/>
      </c>
      <c r="E8" s="40" t="str">
        <f>IF('CALCUL PRIX ACHAT €'!A11="","",'CALCUL PRIX ACHAT €'!E11)</f>
        <v/>
      </c>
      <c r="F8" s="41" t="str">
        <f>IF('CALCUL PRIX ACHAT €'!G11=0,"",'CALCUL PRIX ACHAT €'!G11*'CALCUL PRIX ACHAT €'!I11)</f>
        <v/>
      </c>
    </row>
    <row r="9" spans="1:6">
      <c r="A9" s="39" t="str">
        <f>IF('CALCUL PRIX ACHAT €'!A12="","",'CALCUL PRIX ACHAT €'!A12)</f>
        <v/>
      </c>
      <c r="B9" s="39" t="str">
        <f>IF('CALCUL PRIX ACHAT €'!B12="","",'CALCUL PRIX ACHAT €'!B12)</f>
        <v/>
      </c>
      <c r="C9" s="39" t="str">
        <f>IF('CALCUL PRIX ACHAT €'!C12="","",'CALCUL PRIX ACHAT €'!C12)</f>
        <v/>
      </c>
      <c r="D9" s="39" t="str">
        <f>IF('CALCUL PRIX ACHAT €'!D12="","",'CALCUL PRIX ACHAT €'!D12)</f>
        <v/>
      </c>
      <c r="E9" s="40" t="str">
        <f>IF('CALCUL PRIX ACHAT €'!A12="","",'CALCUL PRIX ACHAT €'!E12)</f>
        <v/>
      </c>
      <c r="F9" s="41" t="str">
        <f>IF('CALCUL PRIX ACHAT €'!G12=0,"",'CALCUL PRIX ACHAT €'!G12*'CALCUL PRIX ACHAT €'!I12)</f>
        <v/>
      </c>
    </row>
    <row r="10" spans="1:6">
      <c r="A10" s="39" t="str">
        <f>IF('CALCUL PRIX ACHAT €'!A13="","",'CALCUL PRIX ACHAT €'!A13)</f>
        <v/>
      </c>
      <c r="B10" s="39" t="str">
        <f>IF('CALCUL PRIX ACHAT €'!B13="","",'CALCUL PRIX ACHAT €'!B13)</f>
        <v/>
      </c>
      <c r="C10" s="39" t="str">
        <f>IF('CALCUL PRIX ACHAT €'!C13="","",'CALCUL PRIX ACHAT €'!C13)</f>
        <v/>
      </c>
      <c r="D10" s="39" t="str">
        <f>IF('CALCUL PRIX ACHAT €'!D13="","",'CALCUL PRIX ACHAT €'!D13)</f>
        <v/>
      </c>
      <c r="E10" s="40" t="str">
        <f>IF('CALCUL PRIX ACHAT €'!A13="","",'CALCUL PRIX ACHAT €'!E13)</f>
        <v/>
      </c>
      <c r="F10" s="41" t="str">
        <f>IF('CALCUL PRIX ACHAT €'!G13=0,"",'CALCUL PRIX ACHAT €'!G13*'CALCUL PRIX ACHAT €'!I13)</f>
        <v/>
      </c>
    </row>
    <row r="11" spans="1:6">
      <c r="A11" s="39" t="str">
        <f>IF('CALCUL PRIX ACHAT €'!A14="","",'CALCUL PRIX ACHAT €'!A14)</f>
        <v/>
      </c>
      <c r="B11" s="39" t="str">
        <f>IF('CALCUL PRIX ACHAT €'!B14="","",'CALCUL PRIX ACHAT €'!B14)</f>
        <v/>
      </c>
      <c r="C11" s="39" t="str">
        <f>IF('CALCUL PRIX ACHAT €'!C14="","",'CALCUL PRIX ACHAT €'!C14)</f>
        <v/>
      </c>
      <c r="D11" s="39" t="str">
        <f>IF('CALCUL PRIX ACHAT €'!D14="","",'CALCUL PRIX ACHAT €'!D14)</f>
        <v/>
      </c>
      <c r="E11" s="40" t="str">
        <f>IF('CALCUL PRIX ACHAT €'!A14="","",'CALCUL PRIX ACHAT €'!E14)</f>
        <v/>
      </c>
      <c r="F11" s="41" t="str">
        <f>IF('CALCUL PRIX ACHAT €'!G14=0,"",'CALCUL PRIX ACHAT €'!G14*'CALCUL PRIX ACHAT €'!I14)</f>
        <v/>
      </c>
    </row>
    <row r="12" spans="1:6">
      <c r="A12" s="39" t="str">
        <f>IF('CALCUL PRIX ACHAT €'!A15="","",'CALCUL PRIX ACHAT €'!A15)</f>
        <v/>
      </c>
      <c r="B12" s="39" t="str">
        <f>IF('CALCUL PRIX ACHAT €'!B15="","",'CALCUL PRIX ACHAT €'!B15)</f>
        <v/>
      </c>
      <c r="C12" s="39" t="str">
        <f>IF('CALCUL PRIX ACHAT €'!C15="","",'CALCUL PRIX ACHAT €'!C15)</f>
        <v/>
      </c>
      <c r="D12" s="39" t="str">
        <f>IF('CALCUL PRIX ACHAT €'!D15="","",'CALCUL PRIX ACHAT €'!D15)</f>
        <v/>
      </c>
      <c r="E12" s="40" t="str">
        <f>IF('CALCUL PRIX ACHAT €'!A15="","",'CALCUL PRIX ACHAT €'!E15)</f>
        <v/>
      </c>
      <c r="F12" s="41" t="str">
        <f>IF('CALCUL PRIX ACHAT €'!G15=0,"",'CALCUL PRIX ACHAT €'!G15*'CALCUL PRIX ACHAT €'!I15)</f>
        <v/>
      </c>
    </row>
    <row r="13" spans="1:6">
      <c r="A13" s="39" t="str">
        <f>IF('CALCUL PRIX ACHAT €'!A16="","",'CALCUL PRIX ACHAT €'!A16)</f>
        <v/>
      </c>
      <c r="B13" s="39" t="str">
        <f>IF('CALCUL PRIX ACHAT €'!B16="","",'CALCUL PRIX ACHAT €'!B16)</f>
        <v/>
      </c>
      <c r="C13" s="39" t="str">
        <f>IF('CALCUL PRIX ACHAT €'!C16="","",'CALCUL PRIX ACHAT €'!C16)</f>
        <v/>
      </c>
      <c r="D13" s="39" t="str">
        <f>IF('CALCUL PRIX ACHAT €'!D16="","",'CALCUL PRIX ACHAT €'!D16)</f>
        <v/>
      </c>
      <c r="E13" s="40" t="str">
        <f>IF('CALCUL PRIX ACHAT €'!A16="","",'CALCUL PRIX ACHAT €'!E16)</f>
        <v/>
      </c>
      <c r="F13" s="41" t="str">
        <f>IF('CALCUL PRIX ACHAT €'!G16=0,"",'CALCUL PRIX ACHAT €'!G16*'CALCUL PRIX ACHAT €'!I16)</f>
        <v/>
      </c>
    </row>
    <row r="14" spans="1:6">
      <c r="A14" s="39" t="str">
        <f>IF('CALCUL PRIX ACHAT €'!A17="","",'CALCUL PRIX ACHAT €'!A17)</f>
        <v/>
      </c>
      <c r="B14" s="39" t="str">
        <f>IF('CALCUL PRIX ACHAT €'!B17="","",'CALCUL PRIX ACHAT €'!B17)</f>
        <v/>
      </c>
      <c r="C14" s="39" t="str">
        <f>IF('CALCUL PRIX ACHAT €'!C17="","",'CALCUL PRIX ACHAT €'!C17)</f>
        <v/>
      </c>
      <c r="D14" s="39" t="str">
        <f>IF('CALCUL PRIX ACHAT €'!D17="","",'CALCUL PRIX ACHAT €'!D17)</f>
        <v/>
      </c>
      <c r="E14" s="40" t="str">
        <f>IF('CALCUL PRIX ACHAT €'!A17="","",'CALCUL PRIX ACHAT €'!E17)</f>
        <v/>
      </c>
      <c r="F14" s="41" t="str">
        <f>IF('CALCUL PRIX ACHAT €'!G17=0,"",'CALCUL PRIX ACHAT €'!G17*'CALCUL PRIX ACHAT €'!I17)</f>
        <v/>
      </c>
    </row>
    <row r="15" spans="1:6">
      <c r="A15" s="39" t="str">
        <f>IF('CALCUL PRIX ACHAT €'!A18="","",'CALCUL PRIX ACHAT €'!A18)</f>
        <v/>
      </c>
      <c r="B15" s="39" t="str">
        <f>IF('CALCUL PRIX ACHAT €'!B18="","",'CALCUL PRIX ACHAT €'!B18)</f>
        <v/>
      </c>
      <c r="C15" s="39" t="str">
        <f>IF('CALCUL PRIX ACHAT €'!C18="","",'CALCUL PRIX ACHAT €'!C18)</f>
        <v/>
      </c>
      <c r="D15" s="39" t="str">
        <f>IF('CALCUL PRIX ACHAT €'!D18="","",'CALCUL PRIX ACHAT €'!D18)</f>
        <v/>
      </c>
      <c r="E15" s="40" t="str">
        <f>IF('CALCUL PRIX ACHAT €'!A18="","",'CALCUL PRIX ACHAT €'!E18)</f>
        <v/>
      </c>
      <c r="F15" s="41" t="str">
        <f>IF('CALCUL PRIX ACHAT €'!G18=0,"",'CALCUL PRIX ACHAT €'!G18*'CALCUL PRIX ACHAT €'!I18)</f>
        <v/>
      </c>
    </row>
    <row r="16" spans="1:6">
      <c r="A16" s="39" t="str">
        <f>IF('CALCUL PRIX ACHAT €'!A19="","",'CALCUL PRIX ACHAT €'!A19)</f>
        <v/>
      </c>
      <c r="B16" s="39" t="str">
        <f>IF('CALCUL PRIX ACHAT €'!B19="","",'CALCUL PRIX ACHAT €'!B19)</f>
        <v/>
      </c>
      <c r="C16" s="39" t="str">
        <f>IF('CALCUL PRIX ACHAT €'!C19="","",'CALCUL PRIX ACHAT €'!C19)</f>
        <v/>
      </c>
      <c r="D16" s="39" t="str">
        <f>IF('CALCUL PRIX ACHAT €'!D19="","",'CALCUL PRIX ACHAT €'!D19)</f>
        <v/>
      </c>
      <c r="E16" s="40" t="str">
        <f>IF('CALCUL PRIX ACHAT €'!A19="","",'CALCUL PRIX ACHAT €'!E19)</f>
        <v/>
      </c>
      <c r="F16" s="41" t="str">
        <f>IF('CALCUL PRIX ACHAT €'!G19=0,"",'CALCUL PRIX ACHAT €'!G19*'CALCUL PRIX ACHAT €'!I19)</f>
        <v/>
      </c>
    </row>
    <row r="17" spans="1:11">
      <c r="A17" s="39" t="str">
        <f>IF('CALCUL PRIX ACHAT €'!A20="","",'CALCUL PRIX ACHAT €'!A20)</f>
        <v/>
      </c>
      <c r="B17" s="39" t="str">
        <f>IF('CALCUL PRIX ACHAT €'!B20="","",'CALCUL PRIX ACHAT €'!B20)</f>
        <v/>
      </c>
      <c r="C17" s="39" t="str">
        <f>IF('CALCUL PRIX ACHAT €'!C20="","",'CALCUL PRIX ACHAT €'!C20)</f>
        <v/>
      </c>
      <c r="D17" s="39" t="str">
        <f>IF('CALCUL PRIX ACHAT €'!D20="","",'CALCUL PRIX ACHAT €'!D20)</f>
        <v/>
      </c>
      <c r="E17" s="40" t="str">
        <f>IF('CALCUL PRIX ACHAT €'!A20="","",'CALCUL PRIX ACHAT €'!E20)</f>
        <v/>
      </c>
      <c r="F17" s="41" t="str">
        <f>IF('CALCUL PRIX ACHAT €'!G20=0,"",'CALCUL PRIX ACHAT €'!G20*'CALCUL PRIX ACHAT €'!I20)</f>
        <v/>
      </c>
    </row>
    <row r="18" spans="1:11">
      <c r="A18" s="39" t="str">
        <f>IF('CALCUL PRIX ACHAT €'!A21="","",'CALCUL PRIX ACHAT €'!A21)</f>
        <v/>
      </c>
      <c r="B18" s="39" t="str">
        <f>IF('CALCUL PRIX ACHAT €'!B21="","",'CALCUL PRIX ACHAT €'!B21)</f>
        <v/>
      </c>
      <c r="C18" s="39" t="str">
        <f>IF('CALCUL PRIX ACHAT €'!C21="","",'CALCUL PRIX ACHAT €'!C21)</f>
        <v/>
      </c>
      <c r="D18" s="39" t="str">
        <f>IF('CALCUL PRIX ACHAT €'!D21="","",'CALCUL PRIX ACHAT €'!D21)</f>
        <v/>
      </c>
      <c r="E18" s="40" t="str">
        <f>IF('CALCUL PRIX ACHAT €'!A21="","",'CALCUL PRIX ACHAT €'!E21)</f>
        <v/>
      </c>
      <c r="F18" s="41" t="str">
        <f>IF('CALCUL PRIX ACHAT €'!G21=0,"",'CALCUL PRIX ACHAT €'!G21*'CALCUL PRIX ACHAT €'!I21)</f>
        <v/>
      </c>
    </row>
    <row r="19" spans="1:11">
      <c r="A19" s="39" t="str">
        <f>IF('CALCUL PRIX ACHAT €'!A22="","",'CALCUL PRIX ACHAT €'!A22)</f>
        <v/>
      </c>
      <c r="B19" s="39" t="str">
        <f>IF('CALCUL PRIX ACHAT €'!B22="","",'CALCUL PRIX ACHAT €'!B22)</f>
        <v/>
      </c>
      <c r="C19" s="39" t="str">
        <f>IF('CALCUL PRIX ACHAT €'!C22="","",'CALCUL PRIX ACHAT €'!C22)</f>
        <v/>
      </c>
      <c r="D19" s="39" t="str">
        <f>IF('CALCUL PRIX ACHAT €'!D22="","",'CALCUL PRIX ACHAT €'!D22)</f>
        <v/>
      </c>
      <c r="E19" s="40" t="str">
        <f>IF('CALCUL PRIX ACHAT €'!A22="","",'CALCUL PRIX ACHAT €'!E22)</f>
        <v/>
      </c>
      <c r="F19" s="41" t="str">
        <f>IF('CALCUL PRIX ACHAT €'!G22=0,"",'CALCUL PRIX ACHAT €'!G22*'CALCUL PRIX ACHAT €'!I22)</f>
        <v/>
      </c>
    </row>
    <row r="20" spans="1:11">
      <c r="A20" s="39" t="str">
        <f>IF('CALCUL PRIX ACHAT €'!A23="","",'CALCUL PRIX ACHAT €'!A23)</f>
        <v/>
      </c>
      <c r="B20" s="39" t="str">
        <f>IF('CALCUL PRIX ACHAT €'!B23="","",'CALCUL PRIX ACHAT €'!B23)</f>
        <v/>
      </c>
      <c r="C20" s="39" t="str">
        <f>IF('CALCUL PRIX ACHAT €'!C23="","",'CALCUL PRIX ACHAT €'!C23)</f>
        <v/>
      </c>
      <c r="D20" s="39" t="str">
        <f>IF('CALCUL PRIX ACHAT €'!D23="","",'CALCUL PRIX ACHAT €'!D23)</f>
        <v/>
      </c>
      <c r="E20" s="40" t="str">
        <f>IF('CALCUL PRIX ACHAT €'!A23="","",'CALCUL PRIX ACHAT €'!E23)</f>
        <v/>
      </c>
      <c r="F20" s="41" t="str">
        <f>IF('CALCUL PRIX ACHAT €'!G23=0,"",'CALCUL PRIX ACHAT €'!G23*'CALCUL PRIX ACHAT €'!I23)</f>
        <v/>
      </c>
    </row>
    <row r="21" spans="1:11">
      <c r="A21" s="39" t="str">
        <f>IF('CALCUL PRIX ACHAT €'!A24="","",'CALCUL PRIX ACHAT €'!A24)</f>
        <v/>
      </c>
      <c r="B21" s="39" t="str">
        <f>IF('CALCUL PRIX ACHAT €'!B24="","",'CALCUL PRIX ACHAT €'!B24)</f>
        <v/>
      </c>
      <c r="C21" s="39" t="str">
        <f>IF('CALCUL PRIX ACHAT €'!C24="","",'CALCUL PRIX ACHAT €'!C24)</f>
        <v/>
      </c>
      <c r="D21" s="39" t="str">
        <f>IF('CALCUL PRIX ACHAT €'!D24="","",'CALCUL PRIX ACHAT €'!D24)</f>
        <v/>
      </c>
      <c r="E21" s="40" t="str">
        <f>IF('CALCUL PRIX ACHAT €'!A24="","",'CALCUL PRIX ACHAT €'!E24)</f>
        <v/>
      </c>
      <c r="F21" s="41" t="str">
        <f>IF('CALCUL PRIX ACHAT €'!G24=0,"",'CALCUL PRIX ACHAT €'!G24*'CALCUL PRIX ACHAT €'!I24)</f>
        <v/>
      </c>
    </row>
    <row r="22" spans="1:11">
      <c r="A22" s="39" t="str">
        <f>IF('CALCUL PRIX ACHAT €'!A25="","",'CALCUL PRIX ACHAT €'!A25)</f>
        <v/>
      </c>
      <c r="B22" s="39" t="str">
        <f>IF('CALCUL PRIX ACHAT €'!B25="","",'CALCUL PRIX ACHAT €'!B25)</f>
        <v/>
      </c>
      <c r="C22" s="39" t="str">
        <f>IF('CALCUL PRIX ACHAT €'!C25="","",'CALCUL PRIX ACHAT €'!C25)</f>
        <v/>
      </c>
      <c r="D22" s="39" t="str">
        <f>IF('CALCUL PRIX ACHAT €'!D25="","",'CALCUL PRIX ACHAT €'!D25)</f>
        <v/>
      </c>
      <c r="E22" s="40" t="str">
        <f>IF('CALCUL PRIX ACHAT €'!A25="","",'CALCUL PRIX ACHAT €'!E25)</f>
        <v/>
      </c>
      <c r="F22" s="41" t="str">
        <f>IF('CALCUL PRIX ACHAT €'!G25=0,"",'CALCUL PRIX ACHAT €'!G25*'CALCUL PRIX ACHAT €'!I25)</f>
        <v/>
      </c>
    </row>
    <row r="23" spans="1:11">
      <c r="A23" s="39" t="str">
        <f>IF('CALCUL PRIX ACHAT €'!A26="","",'CALCUL PRIX ACHAT €'!A26)</f>
        <v/>
      </c>
      <c r="B23" s="39" t="str">
        <f>IF('CALCUL PRIX ACHAT €'!B26="","",'CALCUL PRIX ACHAT €'!B26)</f>
        <v/>
      </c>
      <c r="C23" s="39" t="str">
        <f>IF('CALCUL PRIX ACHAT €'!C26="","",'CALCUL PRIX ACHAT €'!C26)</f>
        <v/>
      </c>
      <c r="D23" s="39" t="str">
        <f>IF('CALCUL PRIX ACHAT €'!D26="","",'CALCUL PRIX ACHAT €'!D26)</f>
        <v/>
      </c>
      <c r="E23" s="40" t="str">
        <f>IF('CALCUL PRIX ACHAT €'!A26="","",'CALCUL PRIX ACHAT €'!E26)</f>
        <v/>
      </c>
      <c r="F23" s="41" t="str">
        <f>IF('CALCUL PRIX ACHAT €'!G26=0,"",'CALCUL PRIX ACHAT €'!G26*'CALCUL PRIX ACHAT €'!I26)</f>
        <v/>
      </c>
    </row>
    <row r="24" spans="1:11">
      <c r="A24" s="46" t="s">
        <v>75</v>
      </c>
      <c r="B24" s="47"/>
      <c r="C24" s="47"/>
      <c r="D24" s="47"/>
      <c r="E24" s="47"/>
      <c r="F24" s="47" t="str">
        <f>IF('CALCUL PRIX ACHAT €'!G27=0,"",'CALCUL PRIX ACHAT €'!G27*'CALCUL PRIX ACHAT €'!I27)</f>
        <v/>
      </c>
    </row>
    <row r="25" spans="1:11">
      <c r="A25" s="48"/>
      <c r="B25" s="48"/>
      <c r="C25" s="48"/>
      <c r="D25" s="48"/>
      <c r="E25" s="48"/>
      <c r="F25" s="48"/>
      <c r="G25" s="49"/>
      <c r="H25" s="49"/>
      <c r="I25" s="48"/>
      <c r="J25" s="48"/>
      <c r="K25" s="48"/>
    </row>
    <row r="26" spans="1:11">
      <c r="A26" s="60" t="s">
        <v>86</v>
      </c>
      <c r="B26" s="48"/>
      <c r="C26" s="48"/>
      <c r="D26" s="48"/>
      <c r="E26" s="48"/>
      <c r="F26" s="50" t="str">
        <f>IF(SUM(F4:F23)=0,"",SUM(F4:F23))</f>
        <v/>
      </c>
    </row>
    <row r="27" spans="1:11">
      <c r="A27" s="60" t="s">
        <v>75</v>
      </c>
      <c r="B27" s="48"/>
      <c r="C27" s="48"/>
      <c r="D27" s="48"/>
      <c r="E27" s="48"/>
      <c r="F27" s="50" t="str">
        <f>IF(F24="","",F24)</f>
        <v/>
      </c>
    </row>
    <row r="28" spans="1:11">
      <c r="A28" s="48"/>
      <c r="B28" s="48"/>
      <c r="C28" s="48"/>
      <c r="D28" s="48"/>
      <c r="E28" s="48"/>
      <c r="F28" s="48"/>
    </row>
    <row r="29" spans="1:11" ht="18" customHeight="1">
      <c r="A29" s="54" t="s">
        <v>78</v>
      </c>
      <c r="B29" s="61"/>
      <c r="C29" s="61"/>
      <c r="D29" s="61"/>
      <c r="E29" s="61"/>
      <c r="F29" s="56" t="str">
        <f>IF(AND(F26="",F27=""),"",IF(F26="",0,F26)+IF(F27="",0,F27))</f>
        <v/>
      </c>
    </row>
    <row r="30" spans="1:11">
      <c r="A30" s="62" t="s">
        <v>79</v>
      </c>
      <c r="B30" s="63"/>
      <c r="C30" s="63"/>
      <c r="D30" s="63"/>
      <c r="E30" s="63"/>
      <c r="F30" s="64" t="str">
        <f>IF(F29="","",F29*0.2)</f>
        <v/>
      </c>
    </row>
    <row r="31" spans="1:11" ht="18" customHeight="1">
      <c r="A31" s="54" t="s">
        <v>80</v>
      </c>
      <c r="B31" s="61"/>
      <c r="C31" s="61"/>
      <c r="D31" s="61"/>
      <c r="E31" s="61"/>
      <c r="F31" s="56" t="str">
        <f>IF(F29="","",F29+F30)</f>
        <v/>
      </c>
    </row>
    <row r="33" spans="1:6">
      <c r="A33" s="48"/>
      <c r="B33" s="48"/>
      <c r="C33" s="48"/>
      <c r="D33" s="48"/>
      <c r="E33" s="48"/>
      <c r="F33" s="48"/>
    </row>
    <row r="34" spans="1:6">
      <c r="A34" s="65"/>
      <c r="B34" s="66"/>
      <c r="C34" s="48"/>
      <c r="D34" s="48"/>
      <c r="E34" s="48"/>
      <c r="F34" s="48"/>
    </row>
    <row r="35" spans="1:6">
      <c r="A35" s="48"/>
      <c r="B35" s="48"/>
      <c r="C35" s="48"/>
      <c r="D35" s="48"/>
      <c r="E35" s="48"/>
      <c r="F35" s="48"/>
    </row>
  </sheetData>
  <sheetProtection password="DFDA" sheet="1"/>
  <conditionalFormatting sqref="B4:B23">
    <cfRule type="expression" dxfId="1" priority="1">
      <formula>OR($A4="Semelle",$A4="Urne",$A4="Gravure",$A4="Litho")</formula>
    </cfRule>
  </conditionalFormatting>
  <conditionalFormatting sqref="D4:D23">
    <cfRule type="expression" dxfId="0" priority="2">
      <formula>OR($A4="Gravure",$A4="Litho")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I2988"/>
  <sheetViews>
    <sheetView zoomScale="55" zoomScaleNormal="55" workbookViewId="0">
      <pane ySplit="1" topLeftCell="A2962" activePane="bottomLeft" state="frozen"/>
      <selection pane="bottomLeft" activeCell="E2977" sqref="E2977"/>
    </sheetView>
  </sheetViews>
  <sheetFormatPr baseColWidth="10" defaultRowHeight="28.15"/>
  <cols>
    <col min="1" max="1" width="26.73046875" style="1" customWidth="1"/>
    <col min="2" max="2" width="34.19921875" style="12" customWidth="1"/>
    <col min="3" max="4" width="10.19921875" style="12" customWidth="1"/>
    <col min="5" max="5" width="36.06640625" style="1" customWidth="1"/>
    <col min="6" max="6" width="17" style="6" customWidth="1"/>
    <col min="7" max="7" width="14.59765625" style="14" customWidth="1"/>
    <col min="8" max="8" width="14.59765625" style="15" customWidth="1"/>
    <col min="9" max="9" width="14.59765625" style="16" customWidth="1"/>
    <col min="10" max="21" width="10.6640625" style="12" customWidth="1"/>
    <col min="22" max="16384" width="10.6640625" style="12"/>
  </cols>
  <sheetData>
    <row r="1" spans="1:9" s="23" customFormat="1" ht="73.150000000000006" customHeight="1">
      <c r="A1" s="23" t="s">
        <v>87</v>
      </c>
      <c r="B1" s="23" t="s">
        <v>88</v>
      </c>
      <c r="C1" s="23" t="s">
        <v>89</v>
      </c>
      <c r="D1" s="23" t="s">
        <v>90</v>
      </c>
      <c r="E1" s="23" t="s">
        <v>69</v>
      </c>
      <c r="F1" s="24" t="s">
        <v>91</v>
      </c>
      <c r="G1" s="25" t="s">
        <v>92</v>
      </c>
      <c r="H1" s="30" t="s">
        <v>93</v>
      </c>
      <c r="I1" s="32" t="s">
        <v>94</v>
      </c>
    </row>
    <row r="2" spans="1:9" ht="26" customHeight="1">
      <c r="A2" s="17" t="s">
        <v>95</v>
      </c>
      <c r="B2" s="18" t="s">
        <v>96</v>
      </c>
      <c r="C2" s="18" t="s">
        <v>97</v>
      </c>
      <c r="D2" s="18">
        <v>1</v>
      </c>
      <c r="E2" s="17" t="s">
        <v>98</v>
      </c>
      <c r="F2" s="19">
        <v>564</v>
      </c>
      <c r="G2" s="20">
        <f>F2+(VLOOKUP(D2,'(Semelles.Monument.€HT)'!C:G,3,FALSE()))</f>
        <v>722</v>
      </c>
      <c r="H2" s="21">
        <f>F2+(VLOOKUP(D2,'(Semelles.Monument.€HT)'!C:G,4,FALSE()))</f>
        <v>768</v>
      </c>
      <c r="I2" s="22">
        <f>F2+(VLOOKUP(D2,'(Semelles.Monument.€HT)'!C:G,5,FALSE()))</f>
        <v>816</v>
      </c>
    </row>
    <row r="3" spans="1:9" ht="26" customHeight="1">
      <c r="A3" s="2" t="s">
        <v>95</v>
      </c>
      <c r="B3" s="13" t="s">
        <v>96</v>
      </c>
      <c r="C3" s="13" t="s">
        <v>97</v>
      </c>
      <c r="D3" s="13">
        <v>2</v>
      </c>
      <c r="E3" s="2" t="s">
        <v>99</v>
      </c>
      <c r="F3" s="7">
        <v>563</v>
      </c>
      <c r="G3" s="3">
        <f>F3+(VLOOKUP(D3,'(Semelles.Monument.€HT)'!C:G,3,FALSE()))</f>
        <v>721</v>
      </c>
      <c r="H3" s="4">
        <f>F3+(VLOOKUP(D3,'(Semelles.Monument.€HT)'!C:G,4,FALSE()))</f>
        <v>767</v>
      </c>
      <c r="I3" s="5">
        <f>F3+(VLOOKUP(D3,'(Semelles.Monument.€HT)'!C:G,5,FALSE()))</f>
        <v>815</v>
      </c>
    </row>
    <row r="4" spans="1:9" ht="26" customHeight="1">
      <c r="A4" s="17" t="s">
        <v>95</v>
      </c>
      <c r="B4" s="18" t="s">
        <v>96</v>
      </c>
      <c r="C4" s="18" t="s">
        <v>97</v>
      </c>
      <c r="D4" s="18">
        <v>3</v>
      </c>
      <c r="E4" s="17" t="s">
        <v>100</v>
      </c>
      <c r="F4" s="19">
        <v>627</v>
      </c>
      <c r="G4" s="20">
        <f>F4+(VLOOKUP(D4,'(Semelles.Monument.€HT)'!C:G,3,FALSE()))</f>
        <v>803</v>
      </c>
      <c r="H4" s="21">
        <f>F4+(VLOOKUP(D4,'(Semelles.Monument.€HT)'!C:G,4,FALSE()))</f>
        <v>854</v>
      </c>
      <c r="I4" s="22">
        <f>F4+(VLOOKUP(D4,'(Semelles.Monument.€HT)'!C:G,5,FALSE()))</f>
        <v>907</v>
      </c>
    </row>
    <row r="5" spans="1:9" ht="26" customHeight="1">
      <c r="A5" s="2" t="s">
        <v>95</v>
      </c>
      <c r="B5" s="13" t="s">
        <v>96</v>
      </c>
      <c r="C5" s="13" t="s">
        <v>97</v>
      </c>
      <c r="D5" s="13">
        <v>4</v>
      </c>
      <c r="E5" s="2" t="s">
        <v>101</v>
      </c>
      <c r="F5" s="7">
        <v>637</v>
      </c>
      <c r="G5" s="3">
        <f>F5+(VLOOKUP(D5,'(Semelles.Monument.€HT)'!C:G,3,FALSE()))</f>
        <v>816</v>
      </c>
      <c r="H5" s="4">
        <f>F5+(VLOOKUP(D5,'(Semelles.Monument.€HT)'!C:G,4,FALSE()))</f>
        <v>868</v>
      </c>
      <c r="I5" s="5">
        <f>F5+(VLOOKUP(D5,'(Semelles.Monument.€HT)'!C:G,5,FALSE()))</f>
        <v>922</v>
      </c>
    </row>
    <row r="6" spans="1:9" ht="26" customHeight="1">
      <c r="A6" s="17" t="s">
        <v>95</v>
      </c>
      <c r="B6" s="18" t="s">
        <v>96</v>
      </c>
      <c r="C6" s="18" t="s">
        <v>97</v>
      </c>
      <c r="D6" s="18">
        <v>5</v>
      </c>
      <c r="E6" s="17" t="s">
        <v>102</v>
      </c>
      <c r="F6" s="19">
        <v>637</v>
      </c>
      <c r="G6" s="20">
        <f>F6+(VLOOKUP(D6,'(Semelles.Monument.€HT)'!C:G,3,FALSE()))</f>
        <v>816</v>
      </c>
      <c r="H6" s="21">
        <f>F6+(VLOOKUP(D6,'(Semelles.Monument.€HT)'!C:G,4,FALSE()))</f>
        <v>868</v>
      </c>
      <c r="I6" s="22">
        <f>F6+(VLOOKUP(D6,'(Semelles.Monument.€HT)'!C:G,5,FALSE()))</f>
        <v>922</v>
      </c>
    </row>
    <row r="7" spans="1:9" ht="26" customHeight="1">
      <c r="A7" s="2" t="s">
        <v>95</v>
      </c>
      <c r="B7" s="13" t="s">
        <v>96</v>
      </c>
      <c r="C7" s="13" t="s">
        <v>97</v>
      </c>
      <c r="D7" s="13">
        <v>6</v>
      </c>
      <c r="E7" s="2" t="s">
        <v>103</v>
      </c>
      <c r="F7" s="7">
        <v>640</v>
      </c>
      <c r="G7" s="3">
        <f>F7+(VLOOKUP(D7,'(Semelles.Monument.€HT)'!C:G,3,FALSE()))</f>
        <v>820</v>
      </c>
      <c r="H7" s="4">
        <f>F7+(VLOOKUP(D7,'(Semelles.Monument.€HT)'!C:G,4,FALSE()))</f>
        <v>872</v>
      </c>
      <c r="I7" s="5">
        <f>F7+(VLOOKUP(D7,'(Semelles.Monument.€HT)'!C:G,5,FALSE()))</f>
        <v>927</v>
      </c>
    </row>
    <row r="8" spans="1:9" ht="26" customHeight="1">
      <c r="A8" s="17" t="s">
        <v>95</v>
      </c>
      <c r="B8" s="18" t="s">
        <v>96</v>
      </c>
      <c r="C8" s="18" t="s">
        <v>97</v>
      </c>
      <c r="D8" s="18">
        <v>7</v>
      </c>
      <c r="E8" s="17" t="s">
        <v>104</v>
      </c>
      <c r="F8" s="19">
        <v>640</v>
      </c>
      <c r="G8" s="20">
        <f>F8+(VLOOKUP(D8,'(Semelles.Monument.€HT)'!C:G,3,FALSE()))</f>
        <v>820</v>
      </c>
      <c r="H8" s="21">
        <f>F8+(VLOOKUP(D8,'(Semelles.Monument.€HT)'!C:G,4,FALSE()))</f>
        <v>872</v>
      </c>
      <c r="I8" s="22">
        <f>F8+(VLOOKUP(D8,'(Semelles.Monument.€HT)'!C:G,5,FALSE()))</f>
        <v>927</v>
      </c>
    </row>
    <row r="9" spans="1:9" ht="26" customHeight="1">
      <c r="A9" s="2" t="s">
        <v>95</v>
      </c>
      <c r="B9" s="13" t="s">
        <v>96</v>
      </c>
      <c r="C9" s="13" t="s">
        <v>97</v>
      </c>
      <c r="D9" s="13">
        <v>8</v>
      </c>
      <c r="E9" s="2" t="s">
        <v>105</v>
      </c>
      <c r="F9" s="7">
        <v>640</v>
      </c>
      <c r="G9" s="3">
        <f>F9+(VLOOKUP(D9,'(Semelles.Monument.€HT)'!C:G,3,FALSE()))</f>
        <v>820</v>
      </c>
      <c r="H9" s="4">
        <f>F9+(VLOOKUP(D9,'(Semelles.Monument.€HT)'!C:G,4,FALSE()))</f>
        <v>872</v>
      </c>
      <c r="I9" s="5">
        <f>F9+(VLOOKUP(D9,'(Semelles.Monument.€HT)'!C:G,5,FALSE()))</f>
        <v>927</v>
      </c>
    </row>
    <row r="10" spans="1:9" ht="26" customHeight="1">
      <c r="A10" s="17" t="s">
        <v>95</v>
      </c>
      <c r="B10" s="18" t="s">
        <v>96</v>
      </c>
      <c r="C10" s="18" t="s">
        <v>97</v>
      </c>
      <c r="D10" s="18">
        <v>9</v>
      </c>
      <c r="E10" s="17" t="s">
        <v>106</v>
      </c>
      <c r="F10" s="19">
        <v>640</v>
      </c>
      <c r="G10" s="20">
        <f>F10+(VLOOKUP(D10,'(Semelles.Monument.€HT)'!C:G,3,FALSE()))</f>
        <v>820</v>
      </c>
      <c r="H10" s="21">
        <f>F10+(VLOOKUP(D10,'(Semelles.Monument.€HT)'!C:G,4,FALSE()))</f>
        <v>872</v>
      </c>
      <c r="I10" s="22">
        <f>F10+(VLOOKUP(D10,'(Semelles.Monument.€HT)'!C:G,5,FALSE()))</f>
        <v>927</v>
      </c>
    </row>
    <row r="11" spans="1:9" ht="26" customHeight="1">
      <c r="A11" s="2" t="s">
        <v>95</v>
      </c>
      <c r="B11" s="13" t="s">
        <v>96</v>
      </c>
      <c r="C11" s="13" t="s">
        <v>97</v>
      </c>
      <c r="D11" s="13">
        <v>10</v>
      </c>
      <c r="E11" s="2" t="s">
        <v>107</v>
      </c>
      <c r="F11" s="7">
        <v>640</v>
      </c>
      <c r="G11" s="3">
        <f>F11+(VLOOKUP(D11,'(Semelles.Monument.€HT)'!C:G,3,FALSE()))</f>
        <v>820</v>
      </c>
      <c r="H11" s="4">
        <f>F11+(VLOOKUP(D11,'(Semelles.Monument.€HT)'!C:G,4,FALSE()))</f>
        <v>872</v>
      </c>
      <c r="I11" s="5">
        <f>F11+(VLOOKUP(D11,'(Semelles.Monument.€HT)'!C:G,5,FALSE()))</f>
        <v>927</v>
      </c>
    </row>
    <row r="12" spans="1:9" ht="26" customHeight="1">
      <c r="A12" s="17" t="s">
        <v>95</v>
      </c>
      <c r="B12" s="18" t="s">
        <v>96</v>
      </c>
      <c r="C12" s="18" t="s">
        <v>97</v>
      </c>
      <c r="D12" s="18">
        <v>11</v>
      </c>
      <c r="E12" s="17" t="s">
        <v>108</v>
      </c>
      <c r="F12" s="19">
        <v>640</v>
      </c>
      <c r="G12" s="20">
        <f>F12+(VLOOKUP(D12,'(Semelles.Monument.€HT)'!C:G,3,FALSE()))</f>
        <v>820</v>
      </c>
      <c r="H12" s="21">
        <f>F12+(VLOOKUP(D12,'(Semelles.Monument.€HT)'!C:G,4,FALSE()))</f>
        <v>872</v>
      </c>
      <c r="I12" s="22">
        <f>F12+(VLOOKUP(D12,'(Semelles.Monument.€HT)'!C:G,5,FALSE()))</f>
        <v>927</v>
      </c>
    </row>
    <row r="13" spans="1:9" ht="26" customHeight="1">
      <c r="A13" s="2" t="s">
        <v>95</v>
      </c>
      <c r="B13" s="13" t="s">
        <v>96</v>
      </c>
      <c r="C13" s="13" t="s">
        <v>97</v>
      </c>
      <c r="D13" s="13">
        <v>12</v>
      </c>
      <c r="E13" s="2" t="s">
        <v>109</v>
      </c>
      <c r="F13" s="7">
        <v>650</v>
      </c>
      <c r="G13" s="3">
        <f>F13+(VLOOKUP(D13,'(Semelles.Monument.€HT)'!C:G,3,FALSE()))</f>
        <v>832</v>
      </c>
      <c r="H13" s="4">
        <f>F13+(VLOOKUP(D13,'(Semelles.Monument.€HT)'!C:G,4,FALSE()))</f>
        <v>885</v>
      </c>
      <c r="I13" s="5">
        <f>F13+(VLOOKUP(D13,'(Semelles.Monument.€HT)'!C:G,5,FALSE()))</f>
        <v>941</v>
      </c>
    </row>
    <row r="14" spans="1:9" ht="26" customHeight="1">
      <c r="A14" s="17" t="s">
        <v>95</v>
      </c>
      <c r="B14" s="18" t="s">
        <v>96</v>
      </c>
      <c r="C14" s="18" t="s">
        <v>97</v>
      </c>
      <c r="D14" s="18">
        <v>13</v>
      </c>
      <c r="E14" s="17" t="s">
        <v>110</v>
      </c>
      <c r="F14" s="19">
        <v>650</v>
      </c>
      <c r="G14" s="20">
        <f>F14+(VLOOKUP(D14,'(Semelles.Monument.€HT)'!C:G,3,FALSE()))</f>
        <v>832</v>
      </c>
      <c r="H14" s="21">
        <f>F14+(VLOOKUP(D14,'(Semelles.Monument.€HT)'!C:G,4,FALSE()))</f>
        <v>885</v>
      </c>
      <c r="I14" s="22">
        <f>F14+(VLOOKUP(D14,'(Semelles.Monument.€HT)'!C:G,5,FALSE()))</f>
        <v>941</v>
      </c>
    </row>
    <row r="15" spans="1:9" ht="26" customHeight="1">
      <c r="A15" s="2" t="s">
        <v>95</v>
      </c>
      <c r="B15" s="13" t="s">
        <v>96</v>
      </c>
      <c r="C15" s="13" t="s">
        <v>97</v>
      </c>
      <c r="D15" s="13">
        <v>14</v>
      </c>
      <c r="E15" s="2" t="s">
        <v>111</v>
      </c>
      <c r="F15" s="7">
        <v>652</v>
      </c>
      <c r="G15" s="3">
        <f>F15+(VLOOKUP(D15,'(Semelles.Monument.€HT)'!C:G,3,FALSE()))</f>
        <v>835</v>
      </c>
      <c r="H15" s="4">
        <f>F15+(VLOOKUP(D15,'(Semelles.Monument.€HT)'!C:G,4,FALSE()))</f>
        <v>888</v>
      </c>
      <c r="I15" s="5">
        <f>F15+(VLOOKUP(D15,'(Semelles.Monument.€HT)'!C:G,5,FALSE()))</f>
        <v>944</v>
      </c>
    </row>
    <row r="16" spans="1:9" ht="26" customHeight="1">
      <c r="A16" s="17" t="s">
        <v>95</v>
      </c>
      <c r="B16" s="18" t="s">
        <v>96</v>
      </c>
      <c r="C16" s="18" t="s">
        <v>97</v>
      </c>
      <c r="D16" s="18">
        <v>15</v>
      </c>
      <c r="E16" s="17" t="s">
        <v>112</v>
      </c>
      <c r="F16" s="19">
        <v>652</v>
      </c>
      <c r="G16" s="20">
        <f>F16+(VLOOKUP(D16,'(Semelles.Monument.€HT)'!C:G,3,FALSE()))</f>
        <v>835</v>
      </c>
      <c r="H16" s="21">
        <f>F16+(VLOOKUP(D16,'(Semelles.Monument.€HT)'!C:G,4,FALSE()))</f>
        <v>888</v>
      </c>
      <c r="I16" s="22">
        <f>F16+(VLOOKUP(D16,'(Semelles.Monument.€HT)'!C:G,5,FALSE()))</f>
        <v>944</v>
      </c>
    </row>
    <row r="17" spans="1:9" ht="26" customHeight="1">
      <c r="A17" s="2" t="s">
        <v>95</v>
      </c>
      <c r="B17" s="13" t="s">
        <v>96</v>
      </c>
      <c r="C17" s="13" t="s">
        <v>97</v>
      </c>
      <c r="D17" s="13">
        <v>16</v>
      </c>
      <c r="E17" s="2" t="s">
        <v>113</v>
      </c>
      <c r="F17" s="7">
        <v>652</v>
      </c>
      <c r="G17" s="3">
        <f>F17+(VLOOKUP(D17,'(Semelles.Monument.€HT)'!C:G,3,FALSE()))</f>
        <v>835</v>
      </c>
      <c r="H17" s="4">
        <f>F17+(VLOOKUP(D17,'(Semelles.Monument.€HT)'!C:G,4,FALSE()))</f>
        <v>888</v>
      </c>
      <c r="I17" s="5">
        <f>F17+(VLOOKUP(D17,'(Semelles.Monument.€HT)'!C:G,5,FALSE()))</f>
        <v>944</v>
      </c>
    </row>
    <row r="18" spans="1:9" ht="26" customHeight="1">
      <c r="A18" s="17" t="s">
        <v>95</v>
      </c>
      <c r="B18" s="18" t="s">
        <v>96</v>
      </c>
      <c r="C18" s="18" t="s">
        <v>97</v>
      </c>
      <c r="D18" s="18">
        <v>17</v>
      </c>
      <c r="E18" s="17" t="s">
        <v>114</v>
      </c>
      <c r="F18" s="19">
        <v>663</v>
      </c>
      <c r="G18" s="20">
        <f>F18+(VLOOKUP(D18,'(Semelles.Monument.€HT)'!C:G,3,FALSE()))</f>
        <v>849</v>
      </c>
      <c r="H18" s="21">
        <f>F18+(VLOOKUP(D18,'(Semelles.Monument.€HT)'!C:G,4,FALSE()))</f>
        <v>903</v>
      </c>
      <c r="I18" s="22">
        <f>F18+(VLOOKUP(D18,'(Semelles.Monument.€HT)'!C:G,5,FALSE()))</f>
        <v>960</v>
      </c>
    </row>
    <row r="19" spans="1:9" ht="26" customHeight="1">
      <c r="A19" s="2" t="s">
        <v>95</v>
      </c>
      <c r="B19" s="13" t="s">
        <v>96</v>
      </c>
      <c r="C19" s="13" t="s">
        <v>97</v>
      </c>
      <c r="D19" s="13">
        <v>18</v>
      </c>
      <c r="E19" s="2" t="s">
        <v>115</v>
      </c>
      <c r="F19" s="7">
        <v>663</v>
      </c>
      <c r="G19" s="3">
        <f>F19+(VLOOKUP(D19,'(Semelles.Monument.€HT)'!C:G,3,FALSE()))</f>
        <v>849</v>
      </c>
      <c r="H19" s="4">
        <f>F19+(VLOOKUP(D19,'(Semelles.Monument.€HT)'!C:G,4,FALSE()))</f>
        <v>903</v>
      </c>
      <c r="I19" s="5">
        <f>F19+(VLOOKUP(D19,'(Semelles.Monument.€HT)'!C:G,5,FALSE()))</f>
        <v>960</v>
      </c>
    </row>
    <row r="20" spans="1:9" ht="26" customHeight="1">
      <c r="A20" s="17" t="s">
        <v>95</v>
      </c>
      <c r="B20" s="18" t="s">
        <v>96</v>
      </c>
      <c r="C20" s="18" t="s">
        <v>97</v>
      </c>
      <c r="D20" s="18">
        <v>19</v>
      </c>
      <c r="E20" s="17" t="s">
        <v>116</v>
      </c>
      <c r="F20" s="19">
        <v>663</v>
      </c>
      <c r="G20" s="20">
        <f>F20+(VLOOKUP(D20,'(Semelles.Monument.€HT)'!C:G,3,FALSE()))</f>
        <v>849</v>
      </c>
      <c r="H20" s="21">
        <f>F20+(VLOOKUP(D20,'(Semelles.Monument.€HT)'!C:G,4,FALSE()))</f>
        <v>903</v>
      </c>
      <c r="I20" s="22">
        <f>F20+(VLOOKUP(D20,'(Semelles.Monument.€HT)'!C:G,5,FALSE()))</f>
        <v>960</v>
      </c>
    </row>
    <row r="21" spans="1:9" ht="26" customHeight="1">
      <c r="A21" s="2" t="s">
        <v>95</v>
      </c>
      <c r="B21" s="13" t="s">
        <v>96</v>
      </c>
      <c r="C21" s="13" t="s">
        <v>97</v>
      </c>
      <c r="D21" s="13">
        <v>20</v>
      </c>
      <c r="E21" s="2" t="s">
        <v>117</v>
      </c>
      <c r="F21" s="7">
        <v>668</v>
      </c>
      <c r="G21" s="3">
        <f>F21+(VLOOKUP(D21,'(Semelles.Monument.€HT)'!C:G,3,FALSE()))</f>
        <v>856</v>
      </c>
      <c r="H21" s="4">
        <f>F21+(VLOOKUP(D21,'(Semelles.Monument.€HT)'!C:G,4,FALSE()))</f>
        <v>910</v>
      </c>
      <c r="I21" s="5">
        <f>F21+(VLOOKUP(D21,'(Semelles.Monument.€HT)'!C:G,5,FALSE()))</f>
        <v>967</v>
      </c>
    </row>
    <row r="22" spans="1:9" ht="26" customHeight="1">
      <c r="A22" s="17" t="s">
        <v>95</v>
      </c>
      <c r="B22" s="18" t="s">
        <v>96</v>
      </c>
      <c r="C22" s="18" t="s">
        <v>97</v>
      </c>
      <c r="D22" s="18">
        <v>21</v>
      </c>
      <c r="E22" s="17" t="s">
        <v>118</v>
      </c>
      <c r="F22" s="19">
        <v>672</v>
      </c>
      <c r="G22" s="20">
        <f>F22+(VLOOKUP(D22,'(Semelles.Monument.€HT)'!C:G,3,FALSE()))</f>
        <v>861</v>
      </c>
      <c r="H22" s="21">
        <f>F22+(VLOOKUP(D22,'(Semelles.Monument.€HT)'!C:G,4,FALSE()))</f>
        <v>915</v>
      </c>
      <c r="I22" s="22">
        <f>F22+(VLOOKUP(D22,'(Semelles.Monument.€HT)'!C:G,5,FALSE()))</f>
        <v>973</v>
      </c>
    </row>
    <row r="23" spans="1:9" ht="26" customHeight="1">
      <c r="A23" s="2" t="s">
        <v>95</v>
      </c>
      <c r="B23" s="13" t="s">
        <v>96</v>
      </c>
      <c r="C23" s="13" t="s">
        <v>97</v>
      </c>
      <c r="D23" s="13">
        <v>22</v>
      </c>
      <c r="E23" s="2" t="s">
        <v>119</v>
      </c>
      <c r="F23" s="7">
        <v>672</v>
      </c>
      <c r="G23" s="3">
        <f>F23+(VLOOKUP(D23,'(Semelles.Monument.€HT)'!C:G,3,FALSE()))</f>
        <v>861</v>
      </c>
      <c r="H23" s="4">
        <f>F23+(VLOOKUP(D23,'(Semelles.Monument.€HT)'!C:G,4,FALSE()))</f>
        <v>915</v>
      </c>
      <c r="I23" s="5">
        <f>F23+(VLOOKUP(D23,'(Semelles.Monument.€HT)'!C:G,5,FALSE()))</f>
        <v>973</v>
      </c>
    </row>
    <row r="24" spans="1:9" ht="26" customHeight="1">
      <c r="A24" s="17" t="s">
        <v>95</v>
      </c>
      <c r="B24" s="18" t="s">
        <v>96</v>
      </c>
      <c r="C24" s="18" t="s">
        <v>97</v>
      </c>
      <c r="D24" s="18">
        <v>23</v>
      </c>
      <c r="E24" s="17" t="s">
        <v>120</v>
      </c>
      <c r="F24" s="19">
        <v>683</v>
      </c>
      <c r="G24" s="20">
        <f>F24+(VLOOKUP(D24,'(Semelles.Monument.€HT)'!C:G,3,FALSE()))</f>
        <v>875</v>
      </c>
      <c r="H24" s="21">
        <f>F24+(VLOOKUP(D24,'(Semelles.Monument.€HT)'!C:G,4,FALSE()))</f>
        <v>930</v>
      </c>
      <c r="I24" s="22">
        <f>F24+(VLOOKUP(D24,'(Semelles.Monument.€HT)'!C:G,5,FALSE()))</f>
        <v>988</v>
      </c>
    </row>
    <row r="25" spans="1:9" ht="26" customHeight="1">
      <c r="A25" s="2" t="s">
        <v>95</v>
      </c>
      <c r="B25" s="13" t="s">
        <v>96</v>
      </c>
      <c r="C25" s="13" t="s">
        <v>97</v>
      </c>
      <c r="D25" s="13">
        <v>24</v>
      </c>
      <c r="E25" s="2" t="s">
        <v>121</v>
      </c>
      <c r="F25" s="7">
        <v>683</v>
      </c>
      <c r="G25" s="3">
        <f>F25+(VLOOKUP(D25,'(Semelles.Monument.€HT)'!C:G,3,FALSE()))</f>
        <v>875</v>
      </c>
      <c r="H25" s="4">
        <f>F25+(VLOOKUP(D25,'(Semelles.Monument.€HT)'!C:G,4,FALSE()))</f>
        <v>930</v>
      </c>
      <c r="I25" s="5">
        <f>F25+(VLOOKUP(D25,'(Semelles.Monument.€HT)'!C:G,5,FALSE()))</f>
        <v>988</v>
      </c>
    </row>
    <row r="26" spans="1:9" ht="26" customHeight="1">
      <c r="A26" s="17" t="s">
        <v>95</v>
      </c>
      <c r="B26" s="18" t="s">
        <v>96</v>
      </c>
      <c r="C26" s="18" t="s">
        <v>97</v>
      </c>
      <c r="D26" s="18">
        <v>25</v>
      </c>
      <c r="E26" s="17" t="s">
        <v>122</v>
      </c>
      <c r="F26" s="19">
        <v>683</v>
      </c>
      <c r="G26" s="20">
        <f>F26+(VLOOKUP(D26,'(Semelles.Monument.€HT)'!C:G,3,FALSE()))</f>
        <v>875</v>
      </c>
      <c r="H26" s="21">
        <f>F26+(VLOOKUP(D26,'(Semelles.Monument.€HT)'!C:G,4,FALSE()))</f>
        <v>930</v>
      </c>
      <c r="I26" s="22">
        <f>F26+(VLOOKUP(D26,'(Semelles.Monument.€HT)'!C:G,5,FALSE()))</f>
        <v>988</v>
      </c>
    </row>
    <row r="27" spans="1:9" ht="26" customHeight="1">
      <c r="A27" s="2" t="s">
        <v>95</v>
      </c>
      <c r="B27" s="13" t="s">
        <v>96</v>
      </c>
      <c r="C27" s="13" t="s">
        <v>97</v>
      </c>
      <c r="D27" s="13">
        <v>26</v>
      </c>
      <c r="E27" s="2" t="s">
        <v>123</v>
      </c>
      <c r="F27" s="7">
        <v>694</v>
      </c>
      <c r="G27" s="3">
        <f>F27+(VLOOKUP(D27,'(Semelles.Monument.€HT)'!C:G,3,FALSE()))</f>
        <v>889</v>
      </c>
      <c r="H27" s="4">
        <f>F27+(VLOOKUP(D27,'(Semelles.Monument.€HT)'!C:G,4,FALSE()))</f>
        <v>945</v>
      </c>
      <c r="I27" s="5">
        <f>F27+(VLOOKUP(D27,'(Semelles.Monument.€HT)'!C:G,5,FALSE()))</f>
        <v>1004</v>
      </c>
    </row>
    <row r="28" spans="1:9" ht="26" customHeight="1">
      <c r="A28" s="17" t="s">
        <v>95</v>
      </c>
      <c r="B28" s="18" t="s">
        <v>96</v>
      </c>
      <c r="C28" s="18" t="s">
        <v>97</v>
      </c>
      <c r="D28" s="18">
        <v>27</v>
      </c>
      <c r="E28" s="17" t="s">
        <v>124</v>
      </c>
      <c r="F28" s="19">
        <v>740</v>
      </c>
      <c r="G28" s="20">
        <f>F28+(VLOOKUP(D28,'(Semelles.Monument.€HT)'!C:G,3,FALSE()))</f>
        <v>948</v>
      </c>
      <c r="H28" s="21">
        <f>F28+(VLOOKUP(D28,'(Semelles.Monument.€HT)'!C:G,4,FALSE()))</f>
        <v>1008</v>
      </c>
      <c r="I28" s="22">
        <f>F28+(VLOOKUP(D28,'(Semelles.Monument.€HT)'!C:G,5,FALSE()))</f>
        <v>1107</v>
      </c>
    </row>
    <row r="29" spans="1:9" ht="26" customHeight="1">
      <c r="A29" s="2" t="s">
        <v>95</v>
      </c>
      <c r="B29" s="13" t="s">
        <v>96</v>
      </c>
      <c r="C29" s="13" t="s">
        <v>97</v>
      </c>
      <c r="D29" s="13">
        <v>28</v>
      </c>
      <c r="E29" s="2" t="s">
        <v>125</v>
      </c>
      <c r="F29" s="7">
        <v>819</v>
      </c>
      <c r="G29" s="3">
        <f>F29+(VLOOKUP(D29,'(Semelles.Monument.€HT)'!C:G,3,FALSE()))</f>
        <v>1049</v>
      </c>
      <c r="H29" s="4">
        <f>F29+(VLOOKUP(D29,'(Semelles.Monument.€HT)'!C:G,4,FALSE()))</f>
        <v>1116</v>
      </c>
      <c r="I29" s="5">
        <f>F29+(VLOOKUP(D29,'(Semelles.Monument.€HT)'!C:G,5,FALSE()))</f>
        <v>1186</v>
      </c>
    </row>
    <row r="30" spans="1:9" ht="26" customHeight="1">
      <c r="A30" s="17" t="s">
        <v>95</v>
      </c>
      <c r="B30" s="18" t="s">
        <v>96</v>
      </c>
      <c r="C30" s="18" t="s">
        <v>97</v>
      </c>
      <c r="D30" s="18">
        <v>29</v>
      </c>
      <c r="E30" s="17" t="s">
        <v>126</v>
      </c>
      <c r="F30" s="19">
        <v>854</v>
      </c>
      <c r="G30" s="20">
        <f>F30+(VLOOKUP(D30,'(Semelles.Monument.€HT)'!C:G,3,FALSE()))</f>
        <v>1094</v>
      </c>
      <c r="H30" s="21">
        <f>F30+(VLOOKUP(D30,'(Semelles.Monument.€HT)'!C:G,4,FALSE()))</f>
        <v>1163</v>
      </c>
      <c r="I30" s="22">
        <f>F30+(VLOOKUP(D30,'(Semelles.Monument.€HT)'!C:G,5,FALSE()))</f>
        <v>1236</v>
      </c>
    </row>
    <row r="31" spans="1:9" ht="26" customHeight="1">
      <c r="A31" s="2" t="s">
        <v>95</v>
      </c>
      <c r="B31" s="13" t="s">
        <v>96</v>
      </c>
      <c r="C31" s="13" t="s">
        <v>97</v>
      </c>
      <c r="D31" s="13">
        <v>30</v>
      </c>
      <c r="E31" s="2" t="s">
        <v>127</v>
      </c>
      <c r="F31" s="7">
        <v>854</v>
      </c>
      <c r="G31" s="3">
        <f>F31+(VLOOKUP(D31,'(Semelles.Monument.€HT)'!C:G,3,FALSE()))</f>
        <v>1094</v>
      </c>
      <c r="H31" s="4">
        <f>F31+(VLOOKUP(D31,'(Semelles.Monument.€HT)'!C:G,4,FALSE()))</f>
        <v>1163</v>
      </c>
      <c r="I31" s="5">
        <f>F31+(VLOOKUP(D31,'(Semelles.Monument.€HT)'!C:G,5,FALSE()))</f>
        <v>1236</v>
      </c>
    </row>
    <row r="32" spans="1:9" ht="26" customHeight="1">
      <c r="A32" s="17" t="s">
        <v>95</v>
      </c>
      <c r="B32" s="18" t="s">
        <v>96</v>
      </c>
      <c r="C32" s="18" t="s">
        <v>128</v>
      </c>
      <c r="D32" s="18">
        <v>31</v>
      </c>
      <c r="E32" s="17" t="s">
        <v>129</v>
      </c>
      <c r="F32" s="19">
        <v>470</v>
      </c>
      <c r="G32" s="20">
        <f>F32+(VLOOKUP(D32,'(Semelles.Monument.€HT)'!C:G,3,FALSE()))</f>
        <v>602</v>
      </c>
      <c r="H32" s="21">
        <f>F32+(VLOOKUP(D32,'(Semelles.Monument.€HT)'!C:G,4,FALSE()))</f>
        <v>640</v>
      </c>
      <c r="I32" s="22">
        <f>F32+(VLOOKUP(D32,'(Semelles.Monument.€HT)'!C:G,5,FALSE()))</f>
        <v>680</v>
      </c>
    </row>
    <row r="33" spans="1:9" ht="26" customHeight="1">
      <c r="A33" s="2" t="s">
        <v>95</v>
      </c>
      <c r="B33" s="13" t="s">
        <v>96</v>
      </c>
      <c r="C33" s="13" t="s">
        <v>128</v>
      </c>
      <c r="D33" s="13">
        <v>32</v>
      </c>
      <c r="E33" s="2" t="s">
        <v>130</v>
      </c>
      <c r="F33" s="7">
        <v>477</v>
      </c>
      <c r="G33" s="3">
        <f>F33+(VLOOKUP(D33,'(Semelles.Monument.€HT)'!C:G,3,FALSE()))</f>
        <v>611</v>
      </c>
      <c r="H33" s="4">
        <f>F33+(VLOOKUP(D33,'(Semelles.Monument.€HT)'!C:G,4,FALSE()))</f>
        <v>650</v>
      </c>
      <c r="I33" s="5">
        <f>F33+(VLOOKUP(D33,'(Semelles.Monument.€HT)'!C:G,5,FALSE()))</f>
        <v>690</v>
      </c>
    </row>
    <row r="34" spans="1:9" ht="26" customHeight="1">
      <c r="A34" s="17" t="s">
        <v>95</v>
      </c>
      <c r="B34" s="18" t="s">
        <v>96</v>
      </c>
      <c r="C34" s="18" t="s">
        <v>128</v>
      </c>
      <c r="D34" s="18">
        <v>33</v>
      </c>
      <c r="E34" s="17" t="s">
        <v>131</v>
      </c>
      <c r="F34" s="19">
        <v>477</v>
      </c>
      <c r="G34" s="20">
        <f>F34+(VLOOKUP(D34,'(Semelles.Monument.€HT)'!C:G,3,FALSE()))</f>
        <v>611</v>
      </c>
      <c r="H34" s="21">
        <f>F34+(VLOOKUP(D34,'(Semelles.Monument.€HT)'!C:G,4,FALSE()))</f>
        <v>650</v>
      </c>
      <c r="I34" s="22">
        <f>F34+(VLOOKUP(D34,'(Semelles.Monument.€HT)'!C:G,5,FALSE()))</f>
        <v>690</v>
      </c>
    </row>
    <row r="35" spans="1:9" ht="26" customHeight="1">
      <c r="A35" s="2" t="s">
        <v>95</v>
      </c>
      <c r="B35" s="13" t="s">
        <v>96</v>
      </c>
      <c r="C35" s="13" t="s">
        <v>128</v>
      </c>
      <c r="D35" s="13">
        <v>34</v>
      </c>
      <c r="E35" s="2" t="s">
        <v>132</v>
      </c>
      <c r="F35" s="7">
        <v>481</v>
      </c>
      <c r="G35" s="3">
        <f>F35+(VLOOKUP(D35,'(Semelles.Monument.€HT)'!C:G,3,FALSE()))</f>
        <v>616</v>
      </c>
      <c r="H35" s="4">
        <f>F35+(VLOOKUP(D35,'(Semelles.Monument.€HT)'!C:G,4,FALSE()))</f>
        <v>655</v>
      </c>
      <c r="I35" s="5">
        <f>F35+(VLOOKUP(D35,'(Semelles.Monument.€HT)'!C:G,5,FALSE()))</f>
        <v>696</v>
      </c>
    </row>
    <row r="36" spans="1:9" ht="26" customHeight="1">
      <c r="A36" s="17" t="s">
        <v>95</v>
      </c>
      <c r="B36" s="18" t="s">
        <v>96</v>
      </c>
      <c r="C36" s="18" t="s">
        <v>128</v>
      </c>
      <c r="D36" s="18">
        <v>35</v>
      </c>
      <c r="E36" s="17" t="s">
        <v>133</v>
      </c>
      <c r="F36" s="19">
        <v>579</v>
      </c>
      <c r="G36" s="20">
        <f>F36+(VLOOKUP(D36,'(Semelles.Monument.€HT)'!C:G,3,FALSE()))</f>
        <v>742</v>
      </c>
      <c r="H36" s="21">
        <f>F36+(VLOOKUP(D36,'(Semelles.Monument.€HT)'!C:G,4,FALSE()))</f>
        <v>789</v>
      </c>
      <c r="I36" s="22">
        <f>F36+(VLOOKUP(D36,'(Semelles.Monument.€HT)'!C:G,5,FALSE()))</f>
        <v>838</v>
      </c>
    </row>
    <row r="37" spans="1:9" ht="26" customHeight="1">
      <c r="A37" s="2" t="s">
        <v>95</v>
      </c>
      <c r="B37" s="13" t="s">
        <v>96</v>
      </c>
      <c r="C37" s="13" t="s">
        <v>128</v>
      </c>
      <c r="D37" s="13">
        <v>36</v>
      </c>
      <c r="E37" s="2" t="s">
        <v>134</v>
      </c>
      <c r="F37" s="7">
        <v>600</v>
      </c>
      <c r="G37" s="3">
        <f>F37+(VLOOKUP(D37,'(Semelles.Monument.€HT)'!C:G,3,FALSE()))</f>
        <v>768</v>
      </c>
      <c r="H37" s="4">
        <f>F37+(VLOOKUP(D37,'(Semelles.Monument.€HT)'!C:G,4,FALSE()))</f>
        <v>817</v>
      </c>
      <c r="I37" s="5">
        <f>F37+(VLOOKUP(D37,'(Semelles.Monument.€HT)'!C:G,5,FALSE()))</f>
        <v>868</v>
      </c>
    </row>
    <row r="38" spans="1:9" ht="26" customHeight="1">
      <c r="A38" s="17" t="s">
        <v>95</v>
      </c>
      <c r="B38" s="18" t="s">
        <v>96</v>
      </c>
      <c r="C38" s="18" t="s">
        <v>128</v>
      </c>
      <c r="D38" s="18">
        <v>37</v>
      </c>
      <c r="E38" s="17" t="s">
        <v>135</v>
      </c>
      <c r="F38" s="19">
        <v>741</v>
      </c>
      <c r="G38" s="20">
        <f>F38+(VLOOKUP(D38,'(Semelles.Monument.€HT)'!C:G,3,FALSE()))</f>
        <v>949</v>
      </c>
      <c r="H38" s="21">
        <f>F38+(VLOOKUP(D38,'(Semelles.Monument.€HT)'!C:G,4,FALSE()))</f>
        <v>1009</v>
      </c>
      <c r="I38" s="22">
        <f>F38+(VLOOKUP(D38,'(Semelles.Monument.€HT)'!C:G,5,FALSE()))</f>
        <v>1073</v>
      </c>
    </row>
    <row r="39" spans="1:9" ht="26" customHeight="1">
      <c r="A39" s="2" t="s">
        <v>95</v>
      </c>
      <c r="B39" s="13" t="s">
        <v>96</v>
      </c>
      <c r="C39" s="13" t="s">
        <v>128</v>
      </c>
      <c r="D39" s="13">
        <v>38</v>
      </c>
      <c r="E39" s="2" t="s">
        <v>136</v>
      </c>
      <c r="F39" s="7">
        <v>785</v>
      </c>
      <c r="G39" s="3">
        <f>F39+(VLOOKUP(D39,'(Semelles.Monument.€HT)'!C:G,3,FALSE()))</f>
        <v>1005</v>
      </c>
      <c r="H39" s="4">
        <f>F39+(VLOOKUP(D39,'(Semelles.Monument.€HT)'!C:G,4,FALSE()))</f>
        <v>1069</v>
      </c>
      <c r="I39" s="5">
        <f>F39+(VLOOKUP(D39,'(Semelles.Monument.€HT)'!C:G,5,FALSE()))</f>
        <v>1136</v>
      </c>
    </row>
    <row r="40" spans="1:9" ht="26" customHeight="1">
      <c r="A40" s="17" t="s">
        <v>95</v>
      </c>
      <c r="B40" s="18" t="s">
        <v>96</v>
      </c>
      <c r="C40" s="18" t="s">
        <v>128</v>
      </c>
      <c r="D40" s="18">
        <v>39</v>
      </c>
      <c r="E40" s="17" t="s">
        <v>137</v>
      </c>
      <c r="F40" s="19">
        <v>805</v>
      </c>
      <c r="G40" s="20">
        <f>F40+(VLOOKUP(D40,'(Semelles.Monument.€HT)'!C:G,3,FALSE()))</f>
        <v>1031</v>
      </c>
      <c r="H40" s="21">
        <f>F40+(VLOOKUP(D40,'(Semelles.Monument.€HT)'!C:G,4,FALSE()))</f>
        <v>1096</v>
      </c>
      <c r="I40" s="22">
        <f>F40+(VLOOKUP(D40,'(Semelles.Monument.€HT)'!C:G,5,FALSE()))</f>
        <v>1165</v>
      </c>
    </row>
    <row r="41" spans="1:9" ht="26" customHeight="1">
      <c r="A41" s="2" t="s">
        <v>95</v>
      </c>
      <c r="B41" s="13" t="s">
        <v>96</v>
      </c>
      <c r="C41" s="13" t="s">
        <v>128</v>
      </c>
      <c r="D41" s="13">
        <v>40</v>
      </c>
      <c r="E41" s="2" t="s">
        <v>138</v>
      </c>
      <c r="F41" s="7">
        <v>828</v>
      </c>
      <c r="G41" s="3">
        <f>F41+(VLOOKUP(D41,'(Semelles.Monument.€HT)'!C:G,3,FALSE()))</f>
        <v>1060</v>
      </c>
      <c r="H41" s="4">
        <f>F41+(VLOOKUP(D41,'(Semelles.Monument.€HT)'!C:G,4,FALSE()))</f>
        <v>1128</v>
      </c>
      <c r="I41" s="5">
        <f>F41+(VLOOKUP(D41,'(Semelles.Monument.€HT)'!C:G,5,FALSE()))</f>
        <v>1198</v>
      </c>
    </row>
    <row r="42" spans="1:9" ht="26" customHeight="1">
      <c r="A42" s="17" t="s">
        <v>95</v>
      </c>
      <c r="B42" s="18" t="s">
        <v>96</v>
      </c>
      <c r="C42" s="18" t="s">
        <v>128</v>
      </c>
      <c r="D42" s="18">
        <v>41</v>
      </c>
      <c r="E42" s="17" t="s">
        <v>139</v>
      </c>
      <c r="F42" s="19">
        <v>880</v>
      </c>
      <c r="G42" s="20">
        <f>F42+(VLOOKUP(D42,'(Semelles.Monument.€HT)'!C:G,3,FALSE()))</f>
        <v>1127</v>
      </c>
      <c r="H42" s="21">
        <f>F42+(VLOOKUP(D42,'(Semelles.Monument.€HT)'!C:G,4,FALSE()))</f>
        <v>1199</v>
      </c>
      <c r="I42" s="22">
        <f>F42+(VLOOKUP(D42,'(Semelles.Monument.€HT)'!C:G,5,FALSE()))</f>
        <v>1274</v>
      </c>
    </row>
    <row r="43" spans="1:9" ht="26" customHeight="1">
      <c r="A43" s="2" t="s">
        <v>95</v>
      </c>
      <c r="B43" s="13" t="s">
        <v>96</v>
      </c>
      <c r="C43" s="13" t="s">
        <v>128</v>
      </c>
      <c r="D43" s="13">
        <v>42</v>
      </c>
      <c r="E43" s="2" t="s">
        <v>140</v>
      </c>
      <c r="F43" s="7">
        <v>967</v>
      </c>
      <c r="G43" s="3">
        <f>F43+(VLOOKUP(D43,'(Semelles.Monument.€HT)'!C:G,3,FALSE()))</f>
        <v>1238</v>
      </c>
      <c r="H43" s="4">
        <f>F43+(VLOOKUP(D43,'(Semelles.Monument.€HT)'!C:G,4,FALSE()))</f>
        <v>1317</v>
      </c>
      <c r="I43" s="5">
        <f>F43+(VLOOKUP(D43,'(Semelles.Monument.€HT)'!C:G,5,FALSE()))</f>
        <v>1400</v>
      </c>
    </row>
    <row r="44" spans="1:9" ht="26" customHeight="1">
      <c r="A44" s="17" t="s">
        <v>95</v>
      </c>
      <c r="B44" s="18" t="s">
        <v>96</v>
      </c>
      <c r="C44" s="18" t="s">
        <v>128</v>
      </c>
      <c r="D44" s="18">
        <v>43</v>
      </c>
      <c r="E44" s="17" t="s">
        <v>141</v>
      </c>
      <c r="F44" s="19">
        <v>967</v>
      </c>
      <c r="G44" s="20">
        <f>F44+(VLOOKUP(D44,'(Semelles.Monument.€HT)'!C:G,3,FALSE()))</f>
        <v>1238</v>
      </c>
      <c r="H44" s="21">
        <f>F44+(VLOOKUP(D44,'(Semelles.Monument.€HT)'!C:G,4,FALSE()))</f>
        <v>1317</v>
      </c>
      <c r="I44" s="22">
        <f>F44+(VLOOKUP(D44,'(Semelles.Monument.€HT)'!C:G,5,FALSE()))</f>
        <v>1400</v>
      </c>
    </row>
    <row r="45" spans="1:9" ht="26" customHeight="1">
      <c r="A45" s="2" t="s">
        <v>95</v>
      </c>
      <c r="B45" s="13" t="s">
        <v>96</v>
      </c>
      <c r="C45" s="13" t="s">
        <v>128</v>
      </c>
      <c r="D45" s="13">
        <v>44</v>
      </c>
      <c r="E45" s="2" t="s">
        <v>142</v>
      </c>
      <c r="F45" s="7">
        <v>978</v>
      </c>
      <c r="G45" s="3">
        <f>F45+(VLOOKUP(D45,'(Semelles.Monument.€HT)'!C:G,3,FALSE()))</f>
        <v>1253</v>
      </c>
      <c r="H45" s="4">
        <f>F45+(VLOOKUP(D45,'(Semelles.Monument.€HT)'!C:G,4,FALSE()))</f>
        <v>1332</v>
      </c>
      <c r="I45" s="5">
        <f>F45+(VLOOKUP(D45,'(Semelles.Monument.€HT)'!C:G,5,FALSE()))</f>
        <v>1416</v>
      </c>
    </row>
    <row r="46" spans="1:9" ht="26" customHeight="1">
      <c r="A46" s="17" t="s">
        <v>95</v>
      </c>
      <c r="B46" s="18" t="s">
        <v>96</v>
      </c>
      <c r="C46" s="18" t="s">
        <v>128</v>
      </c>
      <c r="D46" s="18">
        <v>45</v>
      </c>
      <c r="E46" s="17" t="s">
        <v>143</v>
      </c>
      <c r="F46" s="19">
        <v>990</v>
      </c>
      <c r="G46" s="20">
        <f>F46+(VLOOKUP(D46,'(Semelles.Monument.€HT)'!C:G,3,FALSE()))</f>
        <v>1268</v>
      </c>
      <c r="H46" s="21">
        <f>F46+(VLOOKUP(D46,'(Semelles.Monument.€HT)'!C:G,4,FALSE()))</f>
        <v>1348</v>
      </c>
      <c r="I46" s="22">
        <f>F46+(VLOOKUP(D46,'(Semelles.Monument.€HT)'!C:G,5,FALSE()))</f>
        <v>1433</v>
      </c>
    </row>
    <row r="47" spans="1:9" ht="26" customHeight="1">
      <c r="A47" s="2" t="s">
        <v>95</v>
      </c>
      <c r="B47" s="13" t="s">
        <v>96</v>
      </c>
      <c r="C47" s="13" t="s">
        <v>128</v>
      </c>
      <c r="D47" s="13">
        <v>46</v>
      </c>
      <c r="E47" s="2" t="s">
        <v>144</v>
      </c>
      <c r="F47" s="7">
        <v>990</v>
      </c>
      <c r="G47" s="3">
        <f>F47+(VLOOKUP(D47,'(Semelles.Monument.€HT)'!C:G,3,FALSE()))</f>
        <v>1268</v>
      </c>
      <c r="H47" s="4">
        <f>F47+(VLOOKUP(D47,'(Semelles.Monument.€HT)'!C:G,4,FALSE()))</f>
        <v>1348</v>
      </c>
      <c r="I47" s="5">
        <f>F47+(VLOOKUP(D47,'(Semelles.Monument.€HT)'!C:G,5,FALSE()))</f>
        <v>1433</v>
      </c>
    </row>
    <row r="48" spans="1:9" ht="26" customHeight="1">
      <c r="A48" s="17" t="s">
        <v>95</v>
      </c>
      <c r="B48" s="18" t="s">
        <v>96</v>
      </c>
      <c r="C48" s="18" t="s">
        <v>128</v>
      </c>
      <c r="D48" s="18">
        <v>47</v>
      </c>
      <c r="E48" s="17" t="s">
        <v>145</v>
      </c>
      <c r="F48" s="19">
        <v>1010</v>
      </c>
      <c r="G48" s="20">
        <f>F48+(VLOOKUP(D48,'(Semelles.Monument.€HT)'!C:G,3,FALSE()))</f>
        <v>1294</v>
      </c>
      <c r="H48" s="21">
        <f>F48+(VLOOKUP(D48,'(Semelles.Monument.€HT)'!C:G,4,FALSE()))</f>
        <v>1376</v>
      </c>
      <c r="I48" s="22">
        <f>F48+(VLOOKUP(D48,'(Semelles.Monument.€HT)'!C:G,5,FALSE()))</f>
        <v>1462</v>
      </c>
    </row>
    <row r="49" spans="1:9" ht="26" customHeight="1">
      <c r="A49" s="2" t="s">
        <v>95</v>
      </c>
      <c r="B49" s="13" t="s">
        <v>96</v>
      </c>
      <c r="C49" s="13" t="s">
        <v>128</v>
      </c>
      <c r="D49" s="13">
        <v>48</v>
      </c>
      <c r="E49" s="2" t="s">
        <v>146</v>
      </c>
      <c r="F49" s="7">
        <v>1022</v>
      </c>
      <c r="G49" s="3">
        <f>F49+(VLOOKUP(D49,'(Semelles.Monument.€HT)'!C:G,3,FALSE()))</f>
        <v>1309</v>
      </c>
      <c r="H49" s="4">
        <f>F49+(VLOOKUP(D49,'(Semelles.Monument.€HT)'!C:G,4,FALSE()))</f>
        <v>1392</v>
      </c>
      <c r="I49" s="5">
        <f>F49+(VLOOKUP(D49,'(Semelles.Monument.€HT)'!C:G,5,FALSE()))</f>
        <v>1479</v>
      </c>
    </row>
    <row r="50" spans="1:9" ht="26" customHeight="1">
      <c r="A50" s="17" t="s">
        <v>95</v>
      </c>
      <c r="B50" s="18" t="s">
        <v>147</v>
      </c>
      <c r="C50" s="18" t="s">
        <v>97</v>
      </c>
      <c r="D50" s="18">
        <v>1</v>
      </c>
      <c r="E50" s="17" t="s">
        <v>98</v>
      </c>
      <c r="F50" s="19">
        <v>432</v>
      </c>
      <c r="G50" s="20">
        <f>F50+(VLOOKUP(D50,'(Semelles.Monument.€HT)'!C:G,3,FALSE()))</f>
        <v>590</v>
      </c>
      <c r="H50" s="21">
        <f>F50+(VLOOKUP(D50,'(Semelles.Monument.€HT)'!C:G,4,FALSE()))</f>
        <v>636</v>
      </c>
      <c r="I50" s="22">
        <f>F50+(VLOOKUP(D50,'(Semelles.Monument.€HT)'!C:G,5,FALSE()))</f>
        <v>684</v>
      </c>
    </row>
    <row r="51" spans="1:9" ht="26" customHeight="1">
      <c r="A51" s="2" t="s">
        <v>95</v>
      </c>
      <c r="B51" s="13" t="s">
        <v>147</v>
      </c>
      <c r="C51" s="13" t="s">
        <v>97</v>
      </c>
      <c r="D51" s="13">
        <v>2</v>
      </c>
      <c r="E51" s="2" t="s">
        <v>99</v>
      </c>
      <c r="F51" s="7">
        <v>432</v>
      </c>
      <c r="G51" s="3">
        <f>F51+(VLOOKUP(D51,'(Semelles.Monument.€HT)'!C:G,3,FALSE()))</f>
        <v>590</v>
      </c>
      <c r="H51" s="4">
        <f>F51+(VLOOKUP(D51,'(Semelles.Monument.€HT)'!C:G,4,FALSE()))</f>
        <v>636</v>
      </c>
      <c r="I51" s="5">
        <f>F51+(VLOOKUP(D51,'(Semelles.Monument.€HT)'!C:G,5,FALSE()))</f>
        <v>684</v>
      </c>
    </row>
    <row r="52" spans="1:9" ht="26" customHeight="1">
      <c r="A52" s="17" t="s">
        <v>95</v>
      </c>
      <c r="B52" s="18" t="s">
        <v>147</v>
      </c>
      <c r="C52" s="18" t="s">
        <v>97</v>
      </c>
      <c r="D52" s="18">
        <v>3</v>
      </c>
      <c r="E52" s="17" t="s">
        <v>100</v>
      </c>
      <c r="F52" s="19">
        <v>480</v>
      </c>
      <c r="G52" s="20">
        <f>F52+(VLOOKUP(D52,'(Semelles.Monument.€HT)'!C:G,3,FALSE()))</f>
        <v>656</v>
      </c>
      <c r="H52" s="21">
        <f>F52+(VLOOKUP(D52,'(Semelles.Monument.€HT)'!C:G,4,FALSE()))</f>
        <v>707</v>
      </c>
      <c r="I52" s="22">
        <f>F52+(VLOOKUP(D52,'(Semelles.Monument.€HT)'!C:G,5,FALSE()))</f>
        <v>760</v>
      </c>
    </row>
    <row r="53" spans="1:9" ht="26" customHeight="1">
      <c r="A53" s="2" t="s">
        <v>95</v>
      </c>
      <c r="B53" s="13" t="s">
        <v>147</v>
      </c>
      <c r="C53" s="13" t="s">
        <v>97</v>
      </c>
      <c r="D53" s="13">
        <v>4</v>
      </c>
      <c r="E53" s="2" t="s">
        <v>101</v>
      </c>
      <c r="F53" s="7">
        <v>488</v>
      </c>
      <c r="G53" s="3">
        <f>F53+(VLOOKUP(D53,'(Semelles.Monument.€HT)'!C:G,3,FALSE()))</f>
        <v>667</v>
      </c>
      <c r="H53" s="4">
        <f>F53+(VLOOKUP(D53,'(Semelles.Monument.€HT)'!C:G,4,FALSE()))</f>
        <v>719</v>
      </c>
      <c r="I53" s="5">
        <f>F53+(VLOOKUP(D53,'(Semelles.Monument.€HT)'!C:G,5,FALSE()))</f>
        <v>773</v>
      </c>
    </row>
    <row r="54" spans="1:9" ht="26" customHeight="1">
      <c r="A54" s="17" t="s">
        <v>95</v>
      </c>
      <c r="B54" s="18" t="s">
        <v>147</v>
      </c>
      <c r="C54" s="18" t="s">
        <v>97</v>
      </c>
      <c r="D54" s="18">
        <v>5</v>
      </c>
      <c r="E54" s="17" t="s">
        <v>102</v>
      </c>
      <c r="F54" s="19">
        <v>488</v>
      </c>
      <c r="G54" s="20">
        <f>F54+(VLOOKUP(D54,'(Semelles.Monument.€HT)'!C:G,3,FALSE()))</f>
        <v>667</v>
      </c>
      <c r="H54" s="21">
        <f>F54+(VLOOKUP(D54,'(Semelles.Monument.€HT)'!C:G,4,FALSE()))</f>
        <v>719</v>
      </c>
      <c r="I54" s="22">
        <f>F54+(VLOOKUP(D54,'(Semelles.Monument.€HT)'!C:G,5,FALSE()))</f>
        <v>773</v>
      </c>
    </row>
    <row r="55" spans="1:9" ht="26" customHeight="1">
      <c r="A55" s="2" t="s">
        <v>95</v>
      </c>
      <c r="B55" s="13" t="s">
        <v>147</v>
      </c>
      <c r="C55" s="13" t="s">
        <v>97</v>
      </c>
      <c r="D55" s="13">
        <v>6</v>
      </c>
      <c r="E55" s="2" t="s">
        <v>103</v>
      </c>
      <c r="F55" s="7">
        <v>491</v>
      </c>
      <c r="G55" s="3">
        <f>F55+(VLOOKUP(D55,'(Semelles.Monument.€HT)'!C:G,3,FALSE()))</f>
        <v>671</v>
      </c>
      <c r="H55" s="4">
        <f>F55+(VLOOKUP(D55,'(Semelles.Monument.€HT)'!C:G,4,FALSE()))</f>
        <v>723</v>
      </c>
      <c r="I55" s="5">
        <f>F55+(VLOOKUP(D55,'(Semelles.Monument.€HT)'!C:G,5,FALSE()))</f>
        <v>778</v>
      </c>
    </row>
    <row r="56" spans="1:9" ht="26" customHeight="1">
      <c r="A56" s="17" t="s">
        <v>95</v>
      </c>
      <c r="B56" s="18" t="s">
        <v>147</v>
      </c>
      <c r="C56" s="18" t="s">
        <v>97</v>
      </c>
      <c r="D56" s="18">
        <v>7</v>
      </c>
      <c r="E56" s="17" t="s">
        <v>104</v>
      </c>
      <c r="F56" s="19">
        <v>491</v>
      </c>
      <c r="G56" s="20">
        <f>F56+(VLOOKUP(D56,'(Semelles.Monument.€HT)'!C:G,3,FALSE()))</f>
        <v>671</v>
      </c>
      <c r="H56" s="21">
        <f>F56+(VLOOKUP(D56,'(Semelles.Monument.€HT)'!C:G,4,FALSE()))</f>
        <v>723</v>
      </c>
      <c r="I56" s="22">
        <f>F56+(VLOOKUP(D56,'(Semelles.Monument.€HT)'!C:G,5,FALSE()))</f>
        <v>778</v>
      </c>
    </row>
    <row r="57" spans="1:9" ht="26" customHeight="1">
      <c r="A57" s="2" t="s">
        <v>95</v>
      </c>
      <c r="B57" s="13" t="s">
        <v>147</v>
      </c>
      <c r="C57" s="13" t="s">
        <v>97</v>
      </c>
      <c r="D57" s="13">
        <v>8</v>
      </c>
      <c r="E57" s="2" t="s">
        <v>105</v>
      </c>
      <c r="F57" s="7">
        <v>491</v>
      </c>
      <c r="G57" s="3">
        <f>F57+(VLOOKUP(D57,'(Semelles.Monument.€HT)'!C:G,3,FALSE()))</f>
        <v>671</v>
      </c>
      <c r="H57" s="4">
        <f>F57+(VLOOKUP(D57,'(Semelles.Monument.€HT)'!C:G,4,FALSE()))</f>
        <v>723</v>
      </c>
      <c r="I57" s="5">
        <f>F57+(VLOOKUP(D57,'(Semelles.Monument.€HT)'!C:G,5,FALSE()))</f>
        <v>778</v>
      </c>
    </row>
    <row r="58" spans="1:9" ht="26" customHeight="1">
      <c r="A58" s="17" t="s">
        <v>95</v>
      </c>
      <c r="B58" s="18" t="s">
        <v>147</v>
      </c>
      <c r="C58" s="18" t="s">
        <v>97</v>
      </c>
      <c r="D58" s="18">
        <v>9</v>
      </c>
      <c r="E58" s="17" t="s">
        <v>106</v>
      </c>
      <c r="F58" s="19">
        <v>491</v>
      </c>
      <c r="G58" s="20">
        <f>F58+(VLOOKUP(D58,'(Semelles.Monument.€HT)'!C:G,3,FALSE()))</f>
        <v>671</v>
      </c>
      <c r="H58" s="21">
        <f>F58+(VLOOKUP(D58,'(Semelles.Monument.€HT)'!C:G,4,FALSE()))</f>
        <v>723</v>
      </c>
      <c r="I58" s="22">
        <f>F58+(VLOOKUP(D58,'(Semelles.Monument.€HT)'!C:G,5,FALSE()))</f>
        <v>778</v>
      </c>
    </row>
    <row r="59" spans="1:9" ht="26" customHeight="1">
      <c r="A59" s="2" t="s">
        <v>95</v>
      </c>
      <c r="B59" s="13" t="s">
        <v>147</v>
      </c>
      <c r="C59" s="13" t="s">
        <v>97</v>
      </c>
      <c r="D59" s="13">
        <v>10</v>
      </c>
      <c r="E59" s="2" t="s">
        <v>107</v>
      </c>
      <c r="F59" s="7">
        <v>491</v>
      </c>
      <c r="G59" s="3">
        <f>F59+(VLOOKUP(D59,'(Semelles.Monument.€HT)'!C:G,3,FALSE()))</f>
        <v>671</v>
      </c>
      <c r="H59" s="4">
        <f>F59+(VLOOKUP(D59,'(Semelles.Monument.€HT)'!C:G,4,FALSE()))</f>
        <v>723</v>
      </c>
      <c r="I59" s="5">
        <f>F59+(VLOOKUP(D59,'(Semelles.Monument.€HT)'!C:G,5,FALSE()))</f>
        <v>778</v>
      </c>
    </row>
    <row r="60" spans="1:9" ht="26" customHeight="1">
      <c r="A60" s="17" t="s">
        <v>95</v>
      </c>
      <c r="B60" s="18" t="s">
        <v>147</v>
      </c>
      <c r="C60" s="18" t="s">
        <v>97</v>
      </c>
      <c r="D60" s="18">
        <v>11</v>
      </c>
      <c r="E60" s="17" t="s">
        <v>108</v>
      </c>
      <c r="F60" s="19">
        <v>491</v>
      </c>
      <c r="G60" s="20">
        <f>F60+(VLOOKUP(D60,'(Semelles.Monument.€HT)'!C:G,3,FALSE()))</f>
        <v>671</v>
      </c>
      <c r="H60" s="21">
        <f>F60+(VLOOKUP(D60,'(Semelles.Monument.€HT)'!C:G,4,FALSE()))</f>
        <v>723</v>
      </c>
      <c r="I60" s="22">
        <f>F60+(VLOOKUP(D60,'(Semelles.Monument.€HT)'!C:G,5,FALSE()))</f>
        <v>778</v>
      </c>
    </row>
    <row r="61" spans="1:9" ht="26" customHeight="1">
      <c r="A61" s="2" t="s">
        <v>95</v>
      </c>
      <c r="B61" s="13" t="s">
        <v>147</v>
      </c>
      <c r="C61" s="13" t="s">
        <v>97</v>
      </c>
      <c r="D61" s="13">
        <v>12</v>
      </c>
      <c r="E61" s="2" t="s">
        <v>109</v>
      </c>
      <c r="F61" s="7">
        <v>498</v>
      </c>
      <c r="G61" s="3">
        <f>F61+(VLOOKUP(D61,'(Semelles.Monument.€HT)'!C:G,3,FALSE()))</f>
        <v>680</v>
      </c>
      <c r="H61" s="4">
        <f>F61+(VLOOKUP(D61,'(Semelles.Monument.€HT)'!C:G,4,FALSE()))</f>
        <v>733</v>
      </c>
      <c r="I61" s="5">
        <f>F61+(VLOOKUP(D61,'(Semelles.Monument.€HT)'!C:G,5,FALSE()))</f>
        <v>789</v>
      </c>
    </row>
    <row r="62" spans="1:9" ht="26" customHeight="1">
      <c r="A62" s="17" t="s">
        <v>95</v>
      </c>
      <c r="B62" s="18" t="s">
        <v>147</v>
      </c>
      <c r="C62" s="18" t="s">
        <v>97</v>
      </c>
      <c r="D62" s="18">
        <v>13</v>
      </c>
      <c r="E62" s="17" t="s">
        <v>110</v>
      </c>
      <c r="F62" s="19">
        <v>498</v>
      </c>
      <c r="G62" s="20">
        <f>F62+(VLOOKUP(D62,'(Semelles.Monument.€HT)'!C:G,3,FALSE()))</f>
        <v>680</v>
      </c>
      <c r="H62" s="21">
        <f>F62+(VLOOKUP(D62,'(Semelles.Monument.€HT)'!C:G,4,FALSE()))</f>
        <v>733</v>
      </c>
      <c r="I62" s="22">
        <f>F62+(VLOOKUP(D62,'(Semelles.Monument.€HT)'!C:G,5,FALSE()))</f>
        <v>789</v>
      </c>
    </row>
    <row r="63" spans="1:9" ht="26" customHeight="1">
      <c r="A63" s="2" t="s">
        <v>95</v>
      </c>
      <c r="B63" s="13" t="s">
        <v>147</v>
      </c>
      <c r="C63" s="13" t="s">
        <v>97</v>
      </c>
      <c r="D63" s="13">
        <v>14</v>
      </c>
      <c r="E63" s="2" t="s">
        <v>111</v>
      </c>
      <c r="F63" s="7">
        <v>499</v>
      </c>
      <c r="G63" s="3">
        <f>F63+(VLOOKUP(D63,'(Semelles.Monument.€HT)'!C:G,3,FALSE()))</f>
        <v>682</v>
      </c>
      <c r="H63" s="4">
        <f>F63+(VLOOKUP(D63,'(Semelles.Monument.€HT)'!C:G,4,FALSE()))</f>
        <v>735</v>
      </c>
      <c r="I63" s="5">
        <f>F63+(VLOOKUP(D63,'(Semelles.Monument.€HT)'!C:G,5,FALSE()))</f>
        <v>791</v>
      </c>
    </row>
    <row r="64" spans="1:9" ht="26" customHeight="1">
      <c r="A64" s="17" t="s">
        <v>95</v>
      </c>
      <c r="B64" s="18" t="s">
        <v>147</v>
      </c>
      <c r="C64" s="18" t="s">
        <v>97</v>
      </c>
      <c r="D64" s="18">
        <v>15</v>
      </c>
      <c r="E64" s="17" t="s">
        <v>112</v>
      </c>
      <c r="F64" s="19">
        <v>499</v>
      </c>
      <c r="G64" s="20">
        <f>F64+(VLOOKUP(D64,'(Semelles.Monument.€HT)'!C:G,3,FALSE()))</f>
        <v>682</v>
      </c>
      <c r="H64" s="21">
        <f>F64+(VLOOKUP(D64,'(Semelles.Monument.€HT)'!C:G,4,FALSE()))</f>
        <v>735</v>
      </c>
      <c r="I64" s="22">
        <f>F64+(VLOOKUP(D64,'(Semelles.Monument.€HT)'!C:G,5,FALSE()))</f>
        <v>791</v>
      </c>
    </row>
    <row r="65" spans="1:9" ht="26" customHeight="1">
      <c r="A65" s="2" t="s">
        <v>95</v>
      </c>
      <c r="B65" s="13" t="s">
        <v>147</v>
      </c>
      <c r="C65" s="13" t="s">
        <v>97</v>
      </c>
      <c r="D65" s="13">
        <v>16</v>
      </c>
      <c r="E65" s="2" t="s">
        <v>113</v>
      </c>
      <c r="F65" s="7">
        <v>499</v>
      </c>
      <c r="G65" s="3">
        <f>F65+(VLOOKUP(D65,'(Semelles.Monument.€HT)'!C:G,3,FALSE()))</f>
        <v>682</v>
      </c>
      <c r="H65" s="4">
        <f>F65+(VLOOKUP(D65,'(Semelles.Monument.€HT)'!C:G,4,FALSE()))</f>
        <v>735</v>
      </c>
      <c r="I65" s="5">
        <f>F65+(VLOOKUP(D65,'(Semelles.Monument.€HT)'!C:G,5,FALSE()))</f>
        <v>791</v>
      </c>
    </row>
    <row r="66" spans="1:9" ht="26" customHeight="1">
      <c r="A66" s="17" t="s">
        <v>95</v>
      </c>
      <c r="B66" s="18" t="s">
        <v>147</v>
      </c>
      <c r="C66" s="18" t="s">
        <v>97</v>
      </c>
      <c r="D66" s="18">
        <v>17</v>
      </c>
      <c r="E66" s="17" t="s">
        <v>114</v>
      </c>
      <c r="F66" s="19">
        <v>508</v>
      </c>
      <c r="G66" s="20">
        <f>F66+(VLOOKUP(D66,'(Semelles.Monument.€HT)'!C:G,3,FALSE()))</f>
        <v>694</v>
      </c>
      <c r="H66" s="21">
        <f>F66+(VLOOKUP(D66,'(Semelles.Monument.€HT)'!C:G,4,FALSE()))</f>
        <v>748</v>
      </c>
      <c r="I66" s="22">
        <f>F66+(VLOOKUP(D66,'(Semelles.Monument.€HT)'!C:G,5,FALSE()))</f>
        <v>805</v>
      </c>
    </row>
    <row r="67" spans="1:9" ht="26" customHeight="1">
      <c r="A67" s="2" t="s">
        <v>95</v>
      </c>
      <c r="B67" s="13" t="s">
        <v>147</v>
      </c>
      <c r="C67" s="13" t="s">
        <v>97</v>
      </c>
      <c r="D67" s="13">
        <v>18</v>
      </c>
      <c r="E67" s="2" t="s">
        <v>115</v>
      </c>
      <c r="F67" s="7">
        <v>508</v>
      </c>
      <c r="G67" s="3">
        <f>F67+(VLOOKUP(D67,'(Semelles.Monument.€HT)'!C:G,3,FALSE()))</f>
        <v>694</v>
      </c>
      <c r="H67" s="4">
        <f>F67+(VLOOKUP(D67,'(Semelles.Monument.€HT)'!C:G,4,FALSE()))</f>
        <v>748</v>
      </c>
      <c r="I67" s="5">
        <f>F67+(VLOOKUP(D67,'(Semelles.Monument.€HT)'!C:G,5,FALSE()))</f>
        <v>805</v>
      </c>
    </row>
    <row r="68" spans="1:9" ht="26" customHeight="1">
      <c r="A68" s="17" t="s">
        <v>95</v>
      </c>
      <c r="B68" s="18" t="s">
        <v>147</v>
      </c>
      <c r="C68" s="18" t="s">
        <v>97</v>
      </c>
      <c r="D68" s="18">
        <v>19</v>
      </c>
      <c r="E68" s="17" t="s">
        <v>116</v>
      </c>
      <c r="F68" s="19">
        <v>508</v>
      </c>
      <c r="G68" s="20">
        <f>F68+(VLOOKUP(D68,'(Semelles.Monument.€HT)'!C:G,3,FALSE()))</f>
        <v>694</v>
      </c>
      <c r="H68" s="21">
        <f>F68+(VLOOKUP(D68,'(Semelles.Monument.€HT)'!C:G,4,FALSE()))</f>
        <v>748</v>
      </c>
      <c r="I68" s="22">
        <f>F68+(VLOOKUP(D68,'(Semelles.Monument.€HT)'!C:G,5,FALSE()))</f>
        <v>805</v>
      </c>
    </row>
    <row r="69" spans="1:9" ht="26" customHeight="1">
      <c r="A69" s="2" t="s">
        <v>95</v>
      </c>
      <c r="B69" s="13" t="s">
        <v>147</v>
      </c>
      <c r="C69" s="13" t="s">
        <v>97</v>
      </c>
      <c r="D69" s="13">
        <v>20</v>
      </c>
      <c r="E69" s="2" t="s">
        <v>117</v>
      </c>
      <c r="F69" s="7">
        <v>512</v>
      </c>
      <c r="G69" s="3">
        <f>F69+(VLOOKUP(D69,'(Semelles.Monument.€HT)'!C:G,3,FALSE()))</f>
        <v>700</v>
      </c>
      <c r="H69" s="4">
        <f>F69+(VLOOKUP(D69,'(Semelles.Monument.€HT)'!C:G,4,FALSE()))</f>
        <v>754</v>
      </c>
      <c r="I69" s="5">
        <f>F69+(VLOOKUP(D69,'(Semelles.Monument.€HT)'!C:G,5,FALSE()))</f>
        <v>811</v>
      </c>
    </row>
    <row r="70" spans="1:9" ht="26" customHeight="1">
      <c r="A70" s="17" t="s">
        <v>95</v>
      </c>
      <c r="B70" s="18" t="s">
        <v>147</v>
      </c>
      <c r="C70" s="18" t="s">
        <v>97</v>
      </c>
      <c r="D70" s="18">
        <v>21</v>
      </c>
      <c r="E70" s="17" t="s">
        <v>118</v>
      </c>
      <c r="F70" s="19">
        <v>515</v>
      </c>
      <c r="G70" s="20">
        <f>F70+(VLOOKUP(D70,'(Semelles.Monument.€HT)'!C:G,3,FALSE()))</f>
        <v>704</v>
      </c>
      <c r="H70" s="21">
        <f>F70+(VLOOKUP(D70,'(Semelles.Monument.€HT)'!C:G,4,FALSE()))</f>
        <v>758</v>
      </c>
      <c r="I70" s="22">
        <f>F70+(VLOOKUP(D70,'(Semelles.Monument.€HT)'!C:G,5,FALSE()))</f>
        <v>816</v>
      </c>
    </row>
    <row r="71" spans="1:9" ht="26" customHeight="1">
      <c r="A71" s="2" t="s">
        <v>95</v>
      </c>
      <c r="B71" s="13" t="s">
        <v>147</v>
      </c>
      <c r="C71" s="13" t="s">
        <v>97</v>
      </c>
      <c r="D71" s="13">
        <v>22</v>
      </c>
      <c r="E71" s="2" t="s">
        <v>119</v>
      </c>
      <c r="F71" s="7">
        <v>515</v>
      </c>
      <c r="G71" s="3">
        <f>F71+(VLOOKUP(D71,'(Semelles.Monument.€HT)'!C:G,3,FALSE()))</f>
        <v>704</v>
      </c>
      <c r="H71" s="4">
        <f>F71+(VLOOKUP(D71,'(Semelles.Monument.€HT)'!C:G,4,FALSE()))</f>
        <v>758</v>
      </c>
      <c r="I71" s="5">
        <f>F71+(VLOOKUP(D71,'(Semelles.Monument.€HT)'!C:G,5,FALSE()))</f>
        <v>816</v>
      </c>
    </row>
    <row r="72" spans="1:9" ht="26" customHeight="1">
      <c r="A72" s="17" t="s">
        <v>95</v>
      </c>
      <c r="B72" s="18" t="s">
        <v>147</v>
      </c>
      <c r="C72" s="18" t="s">
        <v>97</v>
      </c>
      <c r="D72" s="18">
        <v>23</v>
      </c>
      <c r="E72" s="17" t="s">
        <v>120</v>
      </c>
      <c r="F72" s="19">
        <v>523</v>
      </c>
      <c r="G72" s="20">
        <f>F72+(VLOOKUP(D72,'(Semelles.Monument.€HT)'!C:G,3,FALSE()))</f>
        <v>715</v>
      </c>
      <c r="H72" s="21">
        <f>F72+(VLOOKUP(D72,'(Semelles.Monument.€HT)'!C:G,4,FALSE()))</f>
        <v>770</v>
      </c>
      <c r="I72" s="22">
        <f>F72+(VLOOKUP(D72,'(Semelles.Monument.€HT)'!C:G,5,FALSE()))</f>
        <v>828</v>
      </c>
    </row>
    <row r="73" spans="1:9" ht="26" customHeight="1">
      <c r="A73" s="2" t="s">
        <v>95</v>
      </c>
      <c r="B73" s="13" t="s">
        <v>147</v>
      </c>
      <c r="C73" s="13" t="s">
        <v>97</v>
      </c>
      <c r="D73" s="13">
        <v>24</v>
      </c>
      <c r="E73" s="2" t="s">
        <v>121</v>
      </c>
      <c r="F73" s="7">
        <v>523</v>
      </c>
      <c r="G73" s="3">
        <f>F73+(VLOOKUP(D73,'(Semelles.Monument.€HT)'!C:G,3,FALSE()))</f>
        <v>715</v>
      </c>
      <c r="H73" s="4">
        <f>F73+(VLOOKUP(D73,'(Semelles.Monument.€HT)'!C:G,4,FALSE()))</f>
        <v>770</v>
      </c>
      <c r="I73" s="5">
        <f>F73+(VLOOKUP(D73,'(Semelles.Monument.€HT)'!C:G,5,FALSE()))</f>
        <v>828</v>
      </c>
    </row>
    <row r="74" spans="1:9" ht="26" customHeight="1">
      <c r="A74" s="17" t="s">
        <v>95</v>
      </c>
      <c r="B74" s="18" t="s">
        <v>147</v>
      </c>
      <c r="C74" s="18" t="s">
        <v>97</v>
      </c>
      <c r="D74" s="18">
        <v>25</v>
      </c>
      <c r="E74" s="17" t="s">
        <v>122</v>
      </c>
      <c r="F74" s="19">
        <v>523</v>
      </c>
      <c r="G74" s="20">
        <f>F74+(VLOOKUP(D74,'(Semelles.Monument.€HT)'!C:G,3,FALSE()))</f>
        <v>715</v>
      </c>
      <c r="H74" s="21">
        <f>F74+(VLOOKUP(D74,'(Semelles.Monument.€HT)'!C:G,4,FALSE()))</f>
        <v>770</v>
      </c>
      <c r="I74" s="22">
        <f>F74+(VLOOKUP(D74,'(Semelles.Monument.€HT)'!C:G,5,FALSE()))</f>
        <v>828</v>
      </c>
    </row>
    <row r="75" spans="1:9" ht="26" customHeight="1">
      <c r="A75" s="2" t="s">
        <v>95</v>
      </c>
      <c r="B75" s="13" t="s">
        <v>147</v>
      </c>
      <c r="C75" s="13" t="s">
        <v>97</v>
      </c>
      <c r="D75" s="13">
        <v>26</v>
      </c>
      <c r="E75" s="2" t="s">
        <v>123</v>
      </c>
      <c r="F75" s="7">
        <v>532</v>
      </c>
      <c r="G75" s="3">
        <f>F75+(VLOOKUP(D75,'(Semelles.Monument.€HT)'!C:G,3,FALSE()))</f>
        <v>727</v>
      </c>
      <c r="H75" s="4">
        <f>F75+(VLOOKUP(D75,'(Semelles.Monument.€HT)'!C:G,4,FALSE()))</f>
        <v>783</v>
      </c>
      <c r="I75" s="5">
        <f>F75+(VLOOKUP(D75,'(Semelles.Monument.€HT)'!C:G,5,FALSE()))</f>
        <v>842</v>
      </c>
    </row>
    <row r="76" spans="1:9" ht="26" customHeight="1">
      <c r="A76" s="17" t="s">
        <v>95</v>
      </c>
      <c r="B76" s="18" t="s">
        <v>147</v>
      </c>
      <c r="C76" s="18" t="s">
        <v>97</v>
      </c>
      <c r="D76" s="18">
        <v>27</v>
      </c>
      <c r="E76" s="17" t="s">
        <v>124</v>
      </c>
      <c r="F76" s="19">
        <v>567</v>
      </c>
      <c r="G76" s="20">
        <f>F76+(VLOOKUP(D76,'(Semelles.Monument.€HT)'!C:G,3,FALSE()))</f>
        <v>775</v>
      </c>
      <c r="H76" s="21">
        <f>F76+(VLOOKUP(D76,'(Semelles.Monument.€HT)'!C:G,4,FALSE()))</f>
        <v>835</v>
      </c>
      <c r="I76" s="22">
        <f>F76+(VLOOKUP(D76,'(Semelles.Monument.€HT)'!C:G,5,FALSE()))</f>
        <v>934</v>
      </c>
    </row>
    <row r="77" spans="1:9" ht="26" customHeight="1">
      <c r="A77" s="2" t="s">
        <v>95</v>
      </c>
      <c r="B77" s="13" t="s">
        <v>147</v>
      </c>
      <c r="C77" s="13" t="s">
        <v>97</v>
      </c>
      <c r="D77" s="13">
        <v>28</v>
      </c>
      <c r="E77" s="2" t="s">
        <v>125</v>
      </c>
      <c r="F77" s="7">
        <v>628</v>
      </c>
      <c r="G77" s="3">
        <f>F77+(VLOOKUP(D77,'(Semelles.Monument.€HT)'!C:G,3,FALSE()))</f>
        <v>858</v>
      </c>
      <c r="H77" s="4">
        <f>F77+(VLOOKUP(D77,'(Semelles.Monument.€HT)'!C:G,4,FALSE()))</f>
        <v>925</v>
      </c>
      <c r="I77" s="5">
        <f>F77+(VLOOKUP(D77,'(Semelles.Monument.€HT)'!C:G,5,FALSE()))</f>
        <v>995</v>
      </c>
    </row>
    <row r="78" spans="1:9" ht="26" customHeight="1">
      <c r="A78" s="17" t="s">
        <v>95</v>
      </c>
      <c r="B78" s="18" t="s">
        <v>147</v>
      </c>
      <c r="C78" s="18" t="s">
        <v>97</v>
      </c>
      <c r="D78" s="18">
        <v>29</v>
      </c>
      <c r="E78" s="17" t="s">
        <v>126</v>
      </c>
      <c r="F78" s="19">
        <v>654</v>
      </c>
      <c r="G78" s="20">
        <f>F78+(VLOOKUP(D78,'(Semelles.Monument.€HT)'!C:G,3,FALSE()))</f>
        <v>894</v>
      </c>
      <c r="H78" s="21">
        <f>F78+(VLOOKUP(D78,'(Semelles.Monument.€HT)'!C:G,4,FALSE()))</f>
        <v>963</v>
      </c>
      <c r="I78" s="22">
        <f>F78+(VLOOKUP(D78,'(Semelles.Monument.€HT)'!C:G,5,FALSE()))</f>
        <v>1036</v>
      </c>
    </row>
    <row r="79" spans="1:9" ht="26" customHeight="1">
      <c r="A79" s="2" t="s">
        <v>95</v>
      </c>
      <c r="B79" s="13" t="s">
        <v>147</v>
      </c>
      <c r="C79" s="13" t="s">
        <v>97</v>
      </c>
      <c r="D79" s="13">
        <v>30</v>
      </c>
      <c r="E79" s="2" t="s">
        <v>127</v>
      </c>
      <c r="F79" s="7">
        <v>654</v>
      </c>
      <c r="G79" s="3">
        <f>F79+(VLOOKUP(D79,'(Semelles.Monument.€HT)'!C:G,3,FALSE()))</f>
        <v>894</v>
      </c>
      <c r="H79" s="4">
        <f>F79+(VLOOKUP(D79,'(Semelles.Monument.€HT)'!C:G,4,FALSE()))</f>
        <v>963</v>
      </c>
      <c r="I79" s="5">
        <f>F79+(VLOOKUP(D79,'(Semelles.Monument.€HT)'!C:G,5,FALSE()))</f>
        <v>1036</v>
      </c>
    </row>
    <row r="80" spans="1:9" ht="26" customHeight="1">
      <c r="A80" s="17" t="s">
        <v>95</v>
      </c>
      <c r="B80" s="18" t="s">
        <v>147</v>
      </c>
      <c r="C80" s="18" t="s">
        <v>128</v>
      </c>
      <c r="D80" s="18">
        <v>31</v>
      </c>
      <c r="E80" s="17" t="s">
        <v>129</v>
      </c>
      <c r="F80" s="19">
        <v>360</v>
      </c>
      <c r="G80" s="20">
        <f>F80+(VLOOKUP(D80,'(Semelles.Monument.€HT)'!C:G,3,FALSE()))</f>
        <v>492</v>
      </c>
      <c r="H80" s="21">
        <f>F80+(VLOOKUP(D80,'(Semelles.Monument.€HT)'!C:G,4,FALSE()))</f>
        <v>530</v>
      </c>
      <c r="I80" s="22">
        <f>F80+(VLOOKUP(D80,'(Semelles.Monument.€HT)'!C:G,5,FALSE()))</f>
        <v>570</v>
      </c>
    </row>
    <row r="81" spans="1:9" ht="26" customHeight="1">
      <c r="A81" s="2" t="s">
        <v>95</v>
      </c>
      <c r="B81" s="13" t="s">
        <v>147</v>
      </c>
      <c r="C81" s="13" t="s">
        <v>128</v>
      </c>
      <c r="D81" s="13">
        <v>32</v>
      </c>
      <c r="E81" s="2" t="s">
        <v>130</v>
      </c>
      <c r="F81" s="7">
        <v>365</v>
      </c>
      <c r="G81" s="3">
        <f>F81+(VLOOKUP(D81,'(Semelles.Monument.€HT)'!C:G,3,FALSE()))</f>
        <v>499</v>
      </c>
      <c r="H81" s="4">
        <f>F81+(VLOOKUP(D81,'(Semelles.Monument.€HT)'!C:G,4,FALSE()))</f>
        <v>538</v>
      </c>
      <c r="I81" s="5">
        <f>F81+(VLOOKUP(D81,'(Semelles.Monument.€HT)'!C:G,5,FALSE()))</f>
        <v>578</v>
      </c>
    </row>
    <row r="82" spans="1:9" ht="26" customHeight="1">
      <c r="A82" s="17" t="s">
        <v>95</v>
      </c>
      <c r="B82" s="18" t="s">
        <v>147</v>
      </c>
      <c r="C82" s="18" t="s">
        <v>128</v>
      </c>
      <c r="D82" s="18">
        <v>33</v>
      </c>
      <c r="E82" s="17" t="s">
        <v>131</v>
      </c>
      <c r="F82" s="19">
        <v>365</v>
      </c>
      <c r="G82" s="20">
        <f>F82+(VLOOKUP(D82,'(Semelles.Monument.€HT)'!C:G,3,FALSE()))</f>
        <v>499</v>
      </c>
      <c r="H82" s="21">
        <f>F82+(VLOOKUP(D82,'(Semelles.Monument.€HT)'!C:G,4,FALSE()))</f>
        <v>538</v>
      </c>
      <c r="I82" s="22">
        <f>F82+(VLOOKUP(D82,'(Semelles.Monument.€HT)'!C:G,5,FALSE()))</f>
        <v>578</v>
      </c>
    </row>
    <row r="83" spans="1:9" ht="26" customHeight="1">
      <c r="A83" s="2" t="s">
        <v>95</v>
      </c>
      <c r="B83" s="13" t="s">
        <v>147</v>
      </c>
      <c r="C83" s="13" t="s">
        <v>128</v>
      </c>
      <c r="D83" s="13">
        <v>34</v>
      </c>
      <c r="E83" s="2" t="s">
        <v>132</v>
      </c>
      <c r="F83" s="7">
        <v>369</v>
      </c>
      <c r="G83" s="3">
        <f>F83+(VLOOKUP(D83,'(Semelles.Monument.€HT)'!C:G,3,FALSE()))</f>
        <v>504</v>
      </c>
      <c r="H83" s="4">
        <f>F83+(VLOOKUP(D83,'(Semelles.Monument.€HT)'!C:G,4,FALSE()))</f>
        <v>543</v>
      </c>
      <c r="I83" s="5">
        <f>F83+(VLOOKUP(D83,'(Semelles.Monument.€HT)'!C:G,5,FALSE()))</f>
        <v>584</v>
      </c>
    </row>
    <row r="84" spans="1:9" ht="26" customHeight="1">
      <c r="A84" s="17" t="s">
        <v>95</v>
      </c>
      <c r="B84" s="18" t="s">
        <v>147</v>
      </c>
      <c r="C84" s="18" t="s">
        <v>128</v>
      </c>
      <c r="D84" s="18">
        <v>35</v>
      </c>
      <c r="E84" s="17" t="s">
        <v>133</v>
      </c>
      <c r="F84" s="19">
        <v>444</v>
      </c>
      <c r="G84" s="20">
        <f>F84+(VLOOKUP(D84,'(Semelles.Monument.€HT)'!C:G,3,FALSE()))</f>
        <v>607</v>
      </c>
      <c r="H84" s="21">
        <f>F84+(VLOOKUP(D84,'(Semelles.Monument.€HT)'!C:G,4,FALSE()))</f>
        <v>654</v>
      </c>
      <c r="I84" s="22">
        <f>F84+(VLOOKUP(D84,'(Semelles.Monument.€HT)'!C:G,5,FALSE()))</f>
        <v>703</v>
      </c>
    </row>
    <row r="85" spans="1:9" ht="26" customHeight="1">
      <c r="A85" s="2" t="s">
        <v>95</v>
      </c>
      <c r="B85" s="13" t="s">
        <v>147</v>
      </c>
      <c r="C85" s="13" t="s">
        <v>128</v>
      </c>
      <c r="D85" s="13">
        <v>36</v>
      </c>
      <c r="E85" s="2" t="s">
        <v>134</v>
      </c>
      <c r="F85" s="7">
        <v>460</v>
      </c>
      <c r="G85" s="3">
        <f>F85+(VLOOKUP(D85,'(Semelles.Monument.€HT)'!C:G,3,FALSE()))</f>
        <v>628</v>
      </c>
      <c r="H85" s="4">
        <f>F85+(VLOOKUP(D85,'(Semelles.Monument.€HT)'!C:G,4,FALSE()))</f>
        <v>677</v>
      </c>
      <c r="I85" s="5">
        <f>F85+(VLOOKUP(D85,'(Semelles.Monument.€HT)'!C:G,5,FALSE()))</f>
        <v>728</v>
      </c>
    </row>
    <row r="86" spans="1:9" ht="26" customHeight="1">
      <c r="A86" s="17" t="s">
        <v>95</v>
      </c>
      <c r="B86" s="18" t="s">
        <v>147</v>
      </c>
      <c r="C86" s="18" t="s">
        <v>128</v>
      </c>
      <c r="D86" s="18">
        <v>37</v>
      </c>
      <c r="E86" s="17" t="s">
        <v>135</v>
      </c>
      <c r="F86" s="19">
        <v>568</v>
      </c>
      <c r="G86" s="20">
        <f>F86+(VLOOKUP(D86,'(Semelles.Monument.€HT)'!C:G,3,FALSE()))</f>
        <v>776</v>
      </c>
      <c r="H86" s="21">
        <f>F86+(VLOOKUP(D86,'(Semelles.Monument.€HT)'!C:G,4,FALSE()))</f>
        <v>836</v>
      </c>
      <c r="I86" s="22">
        <f>F86+(VLOOKUP(D86,'(Semelles.Monument.€HT)'!C:G,5,FALSE()))</f>
        <v>900</v>
      </c>
    </row>
    <row r="87" spans="1:9" ht="26" customHeight="1">
      <c r="A87" s="2" t="s">
        <v>95</v>
      </c>
      <c r="B87" s="13" t="s">
        <v>147</v>
      </c>
      <c r="C87" s="13" t="s">
        <v>128</v>
      </c>
      <c r="D87" s="13">
        <v>38</v>
      </c>
      <c r="E87" s="2" t="s">
        <v>136</v>
      </c>
      <c r="F87" s="7">
        <v>601</v>
      </c>
      <c r="G87" s="3">
        <f>F87+(VLOOKUP(D87,'(Semelles.Monument.€HT)'!C:G,3,FALSE()))</f>
        <v>821</v>
      </c>
      <c r="H87" s="4">
        <f>F87+(VLOOKUP(D87,'(Semelles.Monument.€HT)'!C:G,4,FALSE()))</f>
        <v>885</v>
      </c>
      <c r="I87" s="5">
        <f>F87+(VLOOKUP(D87,'(Semelles.Monument.€HT)'!C:G,5,FALSE()))</f>
        <v>952</v>
      </c>
    </row>
    <row r="88" spans="1:9" ht="26" customHeight="1">
      <c r="A88" s="17" t="s">
        <v>95</v>
      </c>
      <c r="B88" s="18" t="s">
        <v>147</v>
      </c>
      <c r="C88" s="18" t="s">
        <v>128</v>
      </c>
      <c r="D88" s="18">
        <v>39</v>
      </c>
      <c r="E88" s="17" t="s">
        <v>137</v>
      </c>
      <c r="F88" s="19">
        <v>617</v>
      </c>
      <c r="G88" s="20">
        <f>F88+(VLOOKUP(D88,'(Semelles.Monument.€HT)'!C:G,3,FALSE()))</f>
        <v>843</v>
      </c>
      <c r="H88" s="21">
        <f>F88+(VLOOKUP(D88,'(Semelles.Monument.€HT)'!C:G,4,FALSE()))</f>
        <v>908</v>
      </c>
      <c r="I88" s="22">
        <f>F88+(VLOOKUP(D88,'(Semelles.Monument.€HT)'!C:G,5,FALSE()))</f>
        <v>977</v>
      </c>
    </row>
    <row r="89" spans="1:9" ht="26" customHeight="1">
      <c r="A89" s="2" t="s">
        <v>95</v>
      </c>
      <c r="B89" s="13" t="s">
        <v>147</v>
      </c>
      <c r="C89" s="13" t="s">
        <v>128</v>
      </c>
      <c r="D89" s="13">
        <v>40</v>
      </c>
      <c r="E89" s="2" t="s">
        <v>138</v>
      </c>
      <c r="F89" s="7">
        <v>634</v>
      </c>
      <c r="G89" s="3">
        <f>F89+(VLOOKUP(D89,'(Semelles.Monument.€HT)'!C:G,3,FALSE()))</f>
        <v>866</v>
      </c>
      <c r="H89" s="4">
        <f>F89+(VLOOKUP(D89,'(Semelles.Monument.€HT)'!C:G,4,FALSE()))</f>
        <v>934</v>
      </c>
      <c r="I89" s="5">
        <f>F89+(VLOOKUP(D89,'(Semelles.Monument.€HT)'!C:G,5,FALSE()))</f>
        <v>1004</v>
      </c>
    </row>
    <row r="90" spans="1:9" ht="26" customHeight="1">
      <c r="A90" s="17" t="s">
        <v>95</v>
      </c>
      <c r="B90" s="18" t="s">
        <v>147</v>
      </c>
      <c r="C90" s="18" t="s">
        <v>128</v>
      </c>
      <c r="D90" s="18">
        <v>41</v>
      </c>
      <c r="E90" s="17" t="s">
        <v>139</v>
      </c>
      <c r="F90" s="19">
        <v>675</v>
      </c>
      <c r="G90" s="20">
        <f>F90+(VLOOKUP(D90,'(Semelles.Monument.€HT)'!C:G,3,FALSE()))</f>
        <v>922</v>
      </c>
      <c r="H90" s="21">
        <f>F90+(VLOOKUP(D90,'(Semelles.Monument.€HT)'!C:G,4,FALSE()))</f>
        <v>994</v>
      </c>
      <c r="I90" s="22">
        <f>F90+(VLOOKUP(D90,'(Semelles.Monument.€HT)'!C:G,5,FALSE()))</f>
        <v>1069</v>
      </c>
    </row>
    <row r="91" spans="1:9" ht="26" customHeight="1">
      <c r="A91" s="2" t="s">
        <v>95</v>
      </c>
      <c r="B91" s="13" t="s">
        <v>147</v>
      </c>
      <c r="C91" s="13" t="s">
        <v>128</v>
      </c>
      <c r="D91" s="13">
        <v>42</v>
      </c>
      <c r="E91" s="2" t="s">
        <v>140</v>
      </c>
      <c r="F91" s="7">
        <v>741</v>
      </c>
      <c r="G91" s="3">
        <f>F91+(VLOOKUP(D91,'(Semelles.Monument.€HT)'!C:G,3,FALSE()))</f>
        <v>1012</v>
      </c>
      <c r="H91" s="4">
        <f>F91+(VLOOKUP(D91,'(Semelles.Monument.€HT)'!C:G,4,FALSE()))</f>
        <v>1091</v>
      </c>
      <c r="I91" s="5">
        <f>F91+(VLOOKUP(D91,'(Semelles.Monument.€HT)'!C:G,5,FALSE()))</f>
        <v>1174</v>
      </c>
    </row>
    <row r="92" spans="1:9" ht="26" customHeight="1">
      <c r="A92" s="17" t="s">
        <v>95</v>
      </c>
      <c r="B92" s="18" t="s">
        <v>147</v>
      </c>
      <c r="C92" s="18" t="s">
        <v>128</v>
      </c>
      <c r="D92" s="18">
        <v>43</v>
      </c>
      <c r="E92" s="17" t="s">
        <v>141</v>
      </c>
      <c r="F92" s="19">
        <v>365</v>
      </c>
      <c r="G92" s="20">
        <f>F92+(VLOOKUP(D92,'(Semelles.Monument.€HT)'!C:G,3,FALSE()))</f>
        <v>636</v>
      </c>
      <c r="H92" s="21">
        <f>F92+(VLOOKUP(D92,'(Semelles.Monument.€HT)'!C:G,4,FALSE()))</f>
        <v>715</v>
      </c>
      <c r="I92" s="22">
        <f>F92+(VLOOKUP(D92,'(Semelles.Monument.€HT)'!C:G,5,FALSE()))</f>
        <v>798</v>
      </c>
    </row>
    <row r="93" spans="1:9" ht="26" customHeight="1">
      <c r="A93" s="2" t="s">
        <v>95</v>
      </c>
      <c r="B93" s="13" t="s">
        <v>147</v>
      </c>
      <c r="C93" s="13" t="s">
        <v>128</v>
      </c>
      <c r="D93" s="13">
        <v>44</v>
      </c>
      <c r="E93" s="2" t="s">
        <v>142</v>
      </c>
      <c r="F93" s="7">
        <v>978</v>
      </c>
      <c r="G93" s="3">
        <f>F93+(VLOOKUP(D93,'(Semelles.Monument.€HT)'!C:G,3,FALSE()))</f>
        <v>1253</v>
      </c>
      <c r="H93" s="4">
        <f>F93+(VLOOKUP(D93,'(Semelles.Monument.€HT)'!C:G,4,FALSE()))</f>
        <v>1332</v>
      </c>
      <c r="I93" s="5">
        <f>F93+(VLOOKUP(D93,'(Semelles.Monument.€HT)'!C:G,5,FALSE()))</f>
        <v>1416</v>
      </c>
    </row>
    <row r="94" spans="1:9" ht="26" customHeight="1">
      <c r="A94" s="17" t="s">
        <v>95</v>
      </c>
      <c r="B94" s="18" t="s">
        <v>147</v>
      </c>
      <c r="C94" s="18" t="s">
        <v>128</v>
      </c>
      <c r="D94" s="18">
        <v>45</v>
      </c>
      <c r="E94" s="17" t="s">
        <v>143</v>
      </c>
      <c r="F94" s="19">
        <v>990</v>
      </c>
      <c r="G94" s="20">
        <f>F94+(VLOOKUP(D94,'(Semelles.Monument.€HT)'!C:G,3,FALSE()))</f>
        <v>1268</v>
      </c>
      <c r="H94" s="21">
        <f>F94+(VLOOKUP(D94,'(Semelles.Monument.€HT)'!C:G,4,FALSE()))</f>
        <v>1348</v>
      </c>
      <c r="I94" s="22">
        <f>F94+(VLOOKUP(D94,'(Semelles.Monument.€HT)'!C:G,5,FALSE()))</f>
        <v>1433</v>
      </c>
    </row>
    <row r="95" spans="1:9" ht="26" customHeight="1">
      <c r="A95" s="2" t="s">
        <v>95</v>
      </c>
      <c r="B95" s="13" t="s">
        <v>147</v>
      </c>
      <c r="C95" s="13" t="s">
        <v>128</v>
      </c>
      <c r="D95" s="13">
        <v>46</v>
      </c>
      <c r="E95" s="2" t="s">
        <v>144</v>
      </c>
      <c r="F95" s="7">
        <v>990</v>
      </c>
      <c r="G95" s="3">
        <f>F95+(VLOOKUP(D95,'(Semelles.Monument.€HT)'!C:G,3,FALSE()))</f>
        <v>1268</v>
      </c>
      <c r="H95" s="4">
        <f>F95+(VLOOKUP(D95,'(Semelles.Monument.€HT)'!C:G,4,FALSE()))</f>
        <v>1348</v>
      </c>
      <c r="I95" s="5">
        <f>F95+(VLOOKUP(D95,'(Semelles.Monument.€HT)'!C:G,5,FALSE()))</f>
        <v>1433</v>
      </c>
    </row>
    <row r="96" spans="1:9" ht="26" customHeight="1">
      <c r="A96" s="17" t="s">
        <v>95</v>
      </c>
      <c r="B96" s="18" t="s">
        <v>147</v>
      </c>
      <c r="C96" s="18" t="s">
        <v>128</v>
      </c>
      <c r="D96" s="18">
        <v>47</v>
      </c>
      <c r="E96" s="17" t="s">
        <v>145</v>
      </c>
      <c r="F96" s="19">
        <v>1010</v>
      </c>
      <c r="G96" s="20">
        <f>F96+(VLOOKUP(D96,'(Semelles.Monument.€HT)'!C:G,3,FALSE()))</f>
        <v>1294</v>
      </c>
      <c r="H96" s="21">
        <f>F96+(VLOOKUP(D96,'(Semelles.Monument.€HT)'!C:G,4,FALSE()))</f>
        <v>1376</v>
      </c>
      <c r="I96" s="22">
        <f>F96+(VLOOKUP(D96,'(Semelles.Monument.€HT)'!C:G,5,FALSE()))</f>
        <v>1462</v>
      </c>
    </row>
    <row r="97" spans="1:9" ht="26" customHeight="1">
      <c r="A97" s="2" t="s">
        <v>95</v>
      </c>
      <c r="B97" s="13" t="s">
        <v>147</v>
      </c>
      <c r="C97" s="13" t="s">
        <v>128</v>
      </c>
      <c r="D97" s="13">
        <v>48</v>
      </c>
      <c r="E97" s="2" t="s">
        <v>146</v>
      </c>
      <c r="F97" s="7">
        <v>1022</v>
      </c>
      <c r="G97" s="3">
        <f>F97+(VLOOKUP(D97,'(Semelles.Monument.€HT)'!C:G,3,FALSE()))</f>
        <v>1309</v>
      </c>
      <c r="H97" s="4">
        <f>F97+(VLOOKUP(D97,'(Semelles.Monument.€HT)'!C:G,4,FALSE()))</f>
        <v>1392</v>
      </c>
      <c r="I97" s="5">
        <f>F97+(VLOOKUP(D97,'(Semelles.Monument.€HT)'!C:G,5,FALSE()))</f>
        <v>1479</v>
      </c>
    </row>
    <row r="98" spans="1:9" ht="26" customHeight="1">
      <c r="A98" s="17" t="s">
        <v>95</v>
      </c>
      <c r="B98" s="18" t="s">
        <v>148</v>
      </c>
      <c r="C98" s="18" t="s">
        <v>97</v>
      </c>
      <c r="D98" s="18">
        <v>1</v>
      </c>
      <c r="E98" s="17" t="s">
        <v>98</v>
      </c>
      <c r="F98" s="19">
        <v>594</v>
      </c>
      <c r="G98" s="20">
        <f>F98+(VLOOKUP(D98,'(Semelles.Monument.€HT)'!C:G,3,FALSE()))</f>
        <v>752</v>
      </c>
      <c r="H98" s="21">
        <f>F98+(VLOOKUP(D98,'(Semelles.Monument.€HT)'!C:G,4,FALSE()))</f>
        <v>798</v>
      </c>
      <c r="I98" s="22">
        <f>F98+(VLOOKUP(D98,'(Semelles.Monument.€HT)'!C:G,5,FALSE()))</f>
        <v>846</v>
      </c>
    </row>
    <row r="99" spans="1:9" ht="26" customHeight="1">
      <c r="A99" s="2" t="s">
        <v>95</v>
      </c>
      <c r="B99" s="13" t="s">
        <v>148</v>
      </c>
      <c r="C99" s="13" t="s">
        <v>97</v>
      </c>
      <c r="D99" s="13">
        <v>2</v>
      </c>
      <c r="E99" s="2" t="s">
        <v>99</v>
      </c>
      <c r="F99" s="7">
        <v>593</v>
      </c>
      <c r="G99" s="3">
        <f>F99+(VLOOKUP(D99,'(Semelles.Monument.€HT)'!C:G,3,FALSE()))</f>
        <v>751</v>
      </c>
      <c r="H99" s="4">
        <f>F99+(VLOOKUP(D99,'(Semelles.Monument.€HT)'!C:G,4,FALSE()))</f>
        <v>797</v>
      </c>
      <c r="I99" s="5">
        <f>F99+(VLOOKUP(D99,'(Semelles.Monument.€HT)'!C:G,5,FALSE()))</f>
        <v>845</v>
      </c>
    </row>
    <row r="100" spans="1:9" ht="26" customHeight="1">
      <c r="A100" s="17" t="s">
        <v>95</v>
      </c>
      <c r="B100" s="18" t="s">
        <v>148</v>
      </c>
      <c r="C100" s="18" t="s">
        <v>97</v>
      </c>
      <c r="D100" s="18">
        <v>3</v>
      </c>
      <c r="E100" s="17" t="s">
        <v>100</v>
      </c>
      <c r="F100" s="19">
        <v>660</v>
      </c>
      <c r="G100" s="20">
        <f>F100+(VLOOKUP(D100,'(Semelles.Monument.€HT)'!C:G,3,FALSE()))</f>
        <v>836</v>
      </c>
      <c r="H100" s="21">
        <f>F100+(VLOOKUP(D100,'(Semelles.Monument.€HT)'!C:G,4,FALSE()))</f>
        <v>887</v>
      </c>
      <c r="I100" s="22">
        <f>F100+(VLOOKUP(D100,'(Semelles.Monument.€HT)'!C:G,5,FALSE()))</f>
        <v>940</v>
      </c>
    </row>
    <row r="101" spans="1:9" ht="26" customHeight="1">
      <c r="A101" s="2" t="s">
        <v>95</v>
      </c>
      <c r="B101" s="13" t="s">
        <v>148</v>
      </c>
      <c r="C101" s="13" t="s">
        <v>97</v>
      </c>
      <c r="D101" s="13">
        <v>4</v>
      </c>
      <c r="E101" s="2" t="s">
        <v>101</v>
      </c>
      <c r="F101" s="7">
        <v>671</v>
      </c>
      <c r="G101" s="3">
        <f>F101+(VLOOKUP(D101,'(Semelles.Monument.€HT)'!C:G,3,FALSE()))</f>
        <v>850</v>
      </c>
      <c r="H101" s="4">
        <f>F101+(VLOOKUP(D101,'(Semelles.Monument.€HT)'!C:G,4,FALSE()))</f>
        <v>902</v>
      </c>
      <c r="I101" s="5">
        <f>F101+(VLOOKUP(D101,'(Semelles.Monument.€HT)'!C:G,5,FALSE()))</f>
        <v>956</v>
      </c>
    </row>
    <row r="102" spans="1:9" ht="26" customHeight="1">
      <c r="A102" s="17" t="s">
        <v>95</v>
      </c>
      <c r="B102" s="18" t="s">
        <v>148</v>
      </c>
      <c r="C102" s="18" t="s">
        <v>97</v>
      </c>
      <c r="D102" s="18">
        <v>5</v>
      </c>
      <c r="E102" s="17" t="s">
        <v>102</v>
      </c>
      <c r="F102" s="19">
        <v>671</v>
      </c>
      <c r="G102" s="20">
        <f>F102+(VLOOKUP(D102,'(Semelles.Monument.€HT)'!C:G,3,FALSE()))</f>
        <v>850</v>
      </c>
      <c r="H102" s="21">
        <f>F102+(VLOOKUP(D102,'(Semelles.Monument.€HT)'!C:G,4,FALSE()))</f>
        <v>902</v>
      </c>
      <c r="I102" s="22">
        <f>F102+(VLOOKUP(D102,'(Semelles.Monument.€HT)'!C:G,5,FALSE()))</f>
        <v>956</v>
      </c>
    </row>
    <row r="103" spans="1:9" ht="26" customHeight="1">
      <c r="A103" s="2" t="s">
        <v>95</v>
      </c>
      <c r="B103" s="13" t="s">
        <v>148</v>
      </c>
      <c r="C103" s="13" t="s">
        <v>97</v>
      </c>
      <c r="D103" s="13">
        <v>6</v>
      </c>
      <c r="E103" s="2" t="s">
        <v>103</v>
      </c>
      <c r="F103" s="7">
        <v>674</v>
      </c>
      <c r="G103" s="3">
        <f>F103+(VLOOKUP(D103,'(Semelles.Monument.€HT)'!C:G,3,FALSE()))</f>
        <v>854</v>
      </c>
      <c r="H103" s="4">
        <f>F103+(VLOOKUP(D103,'(Semelles.Monument.€HT)'!C:G,4,FALSE()))</f>
        <v>906</v>
      </c>
      <c r="I103" s="5">
        <f>F103+(VLOOKUP(D103,'(Semelles.Monument.€HT)'!C:G,5,FALSE()))</f>
        <v>961</v>
      </c>
    </row>
    <row r="104" spans="1:9" ht="26" customHeight="1">
      <c r="A104" s="17" t="s">
        <v>95</v>
      </c>
      <c r="B104" s="18" t="s">
        <v>148</v>
      </c>
      <c r="C104" s="18" t="s">
        <v>97</v>
      </c>
      <c r="D104" s="18">
        <v>7</v>
      </c>
      <c r="E104" s="17" t="s">
        <v>104</v>
      </c>
      <c r="F104" s="19">
        <v>674</v>
      </c>
      <c r="G104" s="20">
        <f>F104+(VLOOKUP(D104,'(Semelles.Monument.€HT)'!C:G,3,FALSE()))</f>
        <v>854</v>
      </c>
      <c r="H104" s="21">
        <f>F104+(VLOOKUP(D104,'(Semelles.Monument.€HT)'!C:G,4,FALSE()))</f>
        <v>906</v>
      </c>
      <c r="I104" s="22">
        <f>F104+(VLOOKUP(D104,'(Semelles.Monument.€HT)'!C:G,5,FALSE()))</f>
        <v>961</v>
      </c>
    </row>
    <row r="105" spans="1:9" ht="26" customHeight="1">
      <c r="A105" s="2" t="s">
        <v>95</v>
      </c>
      <c r="B105" s="13" t="s">
        <v>148</v>
      </c>
      <c r="C105" s="13" t="s">
        <v>97</v>
      </c>
      <c r="D105" s="13">
        <v>8</v>
      </c>
      <c r="E105" s="2" t="s">
        <v>105</v>
      </c>
      <c r="F105" s="7">
        <v>674</v>
      </c>
      <c r="G105" s="3">
        <f>F105+(VLOOKUP(D105,'(Semelles.Monument.€HT)'!C:G,3,FALSE()))</f>
        <v>854</v>
      </c>
      <c r="H105" s="4">
        <f>F105+(VLOOKUP(D105,'(Semelles.Monument.€HT)'!C:G,4,FALSE()))</f>
        <v>906</v>
      </c>
      <c r="I105" s="5">
        <f>F105+(VLOOKUP(D105,'(Semelles.Monument.€HT)'!C:G,5,FALSE()))</f>
        <v>961</v>
      </c>
    </row>
    <row r="106" spans="1:9" ht="26" customHeight="1">
      <c r="A106" s="17" t="s">
        <v>95</v>
      </c>
      <c r="B106" s="18" t="s">
        <v>148</v>
      </c>
      <c r="C106" s="18" t="s">
        <v>97</v>
      </c>
      <c r="D106" s="18">
        <v>9</v>
      </c>
      <c r="E106" s="17" t="s">
        <v>106</v>
      </c>
      <c r="F106" s="19">
        <v>674</v>
      </c>
      <c r="G106" s="20">
        <f>F106+(VLOOKUP(D106,'(Semelles.Monument.€HT)'!C:G,3,FALSE()))</f>
        <v>854</v>
      </c>
      <c r="H106" s="21">
        <f>F106+(VLOOKUP(D106,'(Semelles.Monument.€HT)'!C:G,4,FALSE()))</f>
        <v>906</v>
      </c>
      <c r="I106" s="22">
        <f>F106+(VLOOKUP(D106,'(Semelles.Monument.€HT)'!C:G,5,FALSE()))</f>
        <v>961</v>
      </c>
    </row>
    <row r="107" spans="1:9" ht="26" customHeight="1">
      <c r="A107" s="2" t="s">
        <v>95</v>
      </c>
      <c r="B107" s="13" t="s">
        <v>148</v>
      </c>
      <c r="C107" s="13" t="s">
        <v>97</v>
      </c>
      <c r="D107" s="13">
        <v>10</v>
      </c>
      <c r="E107" s="2" t="s">
        <v>107</v>
      </c>
      <c r="F107" s="7">
        <v>674</v>
      </c>
      <c r="G107" s="3">
        <f>F107+(VLOOKUP(D107,'(Semelles.Monument.€HT)'!C:G,3,FALSE()))</f>
        <v>854</v>
      </c>
      <c r="H107" s="4">
        <f>F107+(VLOOKUP(D107,'(Semelles.Monument.€HT)'!C:G,4,FALSE()))</f>
        <v>906</v>
      </c>
      <c r="I107" s="5">
        <f>F107+(VLOOKUP(D107,'(Semelles.Monument.€HT)'!C:G,5,FALSE()))</f>
        <v>961</v>
      </c>
    </row>
    <row r="108" spans="1:9" ht="26" customHeight="1">
      <c r="A108" s="17" t="s">
        <v>95</v>
      </c>
      <c r="B108" s="18" t="s">
        <v>148</v>
      </c>
      <c r="C108" s="18" t="s">
        <v>97</v>
      </c>
      <c r="D108" s="18">
        <v>11</v>
      </c>
      <c r="E108" s="17" t="s">
        <v>108</v>
      </c>
      <c r="F108" s="19">
        <v>674</v>
      </c>
      <c r="G108" s="20">
        <f>F108+(VLOOKUP(D108,'(Semelles.Monument.€HT)'!C:G,3,FALSE()))</f>
        <v>854</v>
      </c>
      <c r="H108" s="21">
        <f>F108+(VLOOKUP(D108,'(Semelles.Monument.€HT)'!C:G,4,FALSE()))</f>
        <v>906</v>
      </c>
      <c r="I108" s="22">
        <f>F108+(VLOOKUP(D108,'(Semelles.Monument.€HT)'!C:G,5,FALSE()))</f>
        <v>961</v>
      </c>
    </row>
    <row r="109" spans="1:9" ht="26" customHeight="1">
      <c r="A109" s="2" t="s">
        <v>95</v>
      </c>
      <c r="B109" s="13" t="s">
        <v>148</v>
      </c>
      <c r="C109" s="13" t="s">
        <v>97</v>
      </c>
      <c r="D109" s="13">
        <v>12</v>
      </c>
      <c r="E109" s="2" t="s">
        <v>109</v>
      </c>
      <c r="F109" s="7">
        <v>684</v>
      </c>
      <c r="G109" s="3">
        <f>F109+(VLOOKUP(D109,'(Semelles.Monument.€HT)'!C:G,3,FALSE()))</f>
        <v>866</v>
      </c>
      <c r="H109" s="4">
        <f>F109+(VLOOKUP(D109,'(Semelles.Monument.€HT)'!C:G,4,FALSE()))</f>
        <v>919</v>
      </c>
      <c r="I109" s="5">
        <f>F109+(VLOOKUP(D109,'(Semelles.Monument.€HT)'!C:G,5,FALSE()))</f>
        <v>975</v>
      </c>
    </row>
    <row r="110" spans="1:9" ht="26" customHeight="1">
      <c r="A110" s="17" t="s">
        <v>95</v>
      </c>
      <c r="B110" s="18" t="s">
        <v>148</v>
      </c>
      <c r="C110" s="18" t="s">
        <v>97</v>
      </c>
      <c r="D110" s="18">
        <v>13</v>
      </c>
      <c r="E110" s="17" t="s">
        <v>110</v>
      </c>
      <c r="F110" s="19">
        <v>684</v>
      </c>
      <c r="G110" s="20">
        <f>F110+(VLOOKUP(D110,'(Semelles.Monument.€HT)'!C:G,3,FALSE()))</f>
        <v>866</v>
      </c>
      <c r="H110" s="21">
        <f>F110+(VLOOKUP(D110,'(Semelles.Monument.€HT)'!C:G,4,FALSE()))</f>
        <v>919</v>
      </c>
      <c r="I110" s="22">
        <f>F110+(VLOOKUP(D110,'(Semelles.Monument.€HT)'!C:G,5,FALSE()))</f>
        <v>975</v>
      </c>
    </row>
    <row r="111" spans="1:9" ht="26" customHeight="1">
      <c r="A111" s="2" t="s">
        <v>95</v>
      </c>
      <c r="B111" s="13" t="s">
        <v>148</v>
      </c>
      <c r="C111" s="13" t="s">
        <v>97</v>
      </c>
      <c r="D111" s="13">
        <v>14</v>
      </c>
      <c r="E111" s="2" t="s">
        <v>111</v>
      </c>
      <c r="F111" s="7">
        <v>686</v>
      </c>
      <c r="G111" s="3">
        <f>F111+(VLOOKUP(D111,'(Semelles.Monument.€HT)'!C:G,3,FALSE()))</f>
        <v>869</v>
      </c>
      <c r="H111" s="4">
        <f>F111+(VLOOKUP(D111,'(Semelles.Monument.€HT)'!C:G,4,FALSE()))</f>
        <v>922</v>
      </c>
      <c r="I111" s="5">
        <f>F111+(VLOOKUP(D111,'(Semelles.Monument.€HT)'!C:G,5,FALSE()))</f>
        <v>978</v>
      </c>
    </row>
    <row r="112" spans="1:9" ht="26" customHeight="1">
      <c r="A112" s="17" t="s">
        <v>95</v>
      </c>
      <c r="B112" s="18" t="s">
        <v>148</v>
      </c>
      <c r="C112" s="18" t="s">
        <v>97</v>
      </c>
      <c r="D112" s="18">
        <v>15</v>
      </c>
      <c r="E112" s="17" t="s">
        <v>112</v>
      </c>
      <c r="F112" s="19">
        <v>686</v>
      </c>
      <c r="G112" s="20">
        <f>F112+(VLOOKUP(D112,'(Semelles.Monument.€HT)'!C:G,3,FALSE()))</f>
        <v>869</v>
      </c>
      <c r="H112" s="21">
        <f>F112+(VLOOKUP(D112,'(Semelles.Monument.€HT)'!C:G,4,FALSE()))</f>
        <v>922</v>
      </c>
      <c r="I112" s="22">
        <f>F112+(VLOOKUP(D112,'(Semelles.Monument.€HT)'!C:G,5,FALSE()))</f>
        <v>978</v>
      </c>
    </row>
    <row r="113" spans="1:9" ht="26" customHeight="1">
      <c r="A113" s="2" t="s">
        <v>95</v>
      </c>
      <c r="B113" s="13" t="s">
        <v>148</v>
      </c>
      <c r="C113" s="13" t="s">
        <v>97</v>
      </c>
      <c r="D113" s="13">
        <v>16</v>
      </c>
      <c r="E113" s="2" t="s">
        <v>113</v>
      </c>
      <c r="F113" s="7">
        <v>686</v>
      </c>
      <c r="G113" s="3">
        <f>F113+(VLOOKUP(D113,'(Semelles.Monument.€HT)'!C:G,3,FALSE()))</f>
        <v>869</v>
      </c>
      <c r="H113" s="4">
        <f>F113+(VLOOKUP(D113,'(Semelles.Monument.€HT)'!C:G,4,FALSE()))</f>
        <v>922</v>
      </c>
      <c r="I113" s="5">
        <f>F113+(VLOOKUP(D113,'(Semelles.Monument.€HT)'!C:G,5,FALSE()))</f>
        <v>978</v>
      </c>
    </row>
    <row r="114" spans="1:9" ht="26" customHeight="1">
      <c r="A114" s="17" t="s">
        <v>95</v>
      </c>
      <c r="B114" s="18" t="s">
        <v>148</v>
      </c>
      <c r="C114" s="18" t="s">
        <v>97</v>
      </c>
      <c r="D114" s="18">
        <v>17</v>
      </c>
      <c r="E114" s="17" t="s">
        <v>114</v>
      </c>
      <c r="F114" s="19">
        <v>698</v>
      </c>
      <c r="G114" s="20">
        <f>F114+(VLOOKUP(D114,'(Semelles.Monument.€HT)'!C:G,3,FALSE()))</f>
        <v>884</v>
      </c>
      <c r="H114" s="21">
        <f>F114+(VLOOKUP(D114,'(Semelles.Monument.€HT)'!C:G,4,FALSE()))</f>
        <v>938</v>
      </c>
      <c r="I114" s="22">
        <f>F114+(VLOOKUP(D114,'(Semelles.Monument.€HT)'!C:G,5,FALSE()))</f>
        <v>995</v>
      </c>
    </row>
    <row r="115" spans="1:9" ht="26" customHeight="1">
      <c r="A115" s="2" t="s">
        <v>95</v>
      </c>
      <c r="B115" s="13" t="s">
        <v>148</v>
      </c>
      <c r="C115" s="13" t="s">
        <v>97</v>
      </c>
      <c r="D115" s="13">
        <v>18</v>
      </c>
      <c r="E115" s="2" t="s">
        <v>115</v>
      </c>
      <c r="F115" s="7">
        <v>698</v>
      </c>
      <c r="G115" s="3">
        <f>F115+(VLOOKUP(D115,'(Semelles.Monument.€HT)'!C:G,3,FALSE()))</f>
        <v>884</v>
      </c>
      <c r="H115" s="4">
        <f>F115+(VLOOKUP(D115,'(Semelles.Monument.€HT)'!C:G,4,FALSE()))</f>
        <v>938</v>
      </c>
      <c r="I115" s="5">
        <f>F115+(VLOOKUP(D115,'(Semelles.Monument.€HT)'!C:G,5,FALSE()))</f>
        <v>995</v>
      </c>
    </row>
    <row r="116" spans="1:9" ht="26" customHeight="1">
      <c r="A116" s="17" t="s">
        <v>95</v>
      </c>
      <c r="B116" s="18" t="s">
        <v>148</v>
      </c>
      <c r="C116" s="18" t="s">
        <v>97</v>
      </c>
      <c r="D116" s="18">
        <v>19</v>
      </c>
      <c r="E116" s="17" t="s">
        <v>116</v>
      </c>
      <c r="F116" s="19">
        <v>698</v>
      </c>
      <c r="G116" s="20">
        <f>F116+(VLOOKUP(D116,'(Semelles.Monument.€HT)'!C:G,3,FALSE()))</f>
        <v>884</v>
      </c>
      <c r="H116" s="21">
        <f>F116+(VLOOKUP(D116,'(Semelles.Monument.€HT)'!C:G,4,FALSE()))</f>
        <v>938</v>
      </c>
      <c r="I116" s="22">
        <f>F116+(VLOOKUP(D116,'(Semelles.Monument.€HT)'!C:G,5,FALSE()))</f>
        <v>995</v>
      </c>
    </row>
    <row r="117" spans="1:9" ht="26" customHeight="1">
      <c r="A117" s="2" t="s">
        <v>95</v>
      </c>
      <c r="B117" s="13" t="s">
        <v>148</v>
      </c>
      <c r="C117" s="13" t="s">
        <v>97</v>
      </c>
      <c r="D117" s="13">
        <v>20</v>
      </c>
      <c r="E117" s="2" t="s">
        <v>117</v>
      </c>
      <c r="F117" s="7">
        <v>703</v>
      </c>
      <c r="G117" s="3">
        <f>F117+(VLOOKUP(D117,'(Semelles.Monument.€HT)'!C:G,3,FALSE()))</f>
        <v>891</v>
      </c>
      <c r="H117" s="4">
        <f>F117+(VLOOKUP(D117,'(Semelles.Monument.€HT)'!C:G,4,FALSE()))</f>
        <v>945</v>
      </c>
      <c r="I117" s="5">
        <f>F117+(VLOOKUP(D117,'(Semelles.Monument.€HT)'!C:G,5,FALSE()))</f>
        <v>1002</v>
      </c>
    </row>
    <row r="118" spans="1:9" ht="26" customHeight="1">
      <c r="A118" s="17" t="s">
        <v>95</v>
      </c>
      <c r="B118" s="18" t="s">
        <v>148</v>
      </c>
      <c r="C118" s="18" t="s">
        <v>97</v>
      </c>
      <c r="D118" s="18">
        <v>21</v>
      </c>
      <c r="E118" s="17" t="s">
        <v>118</v>
      </c>
      <c r="F118" s="19">
        <v>708</v>
      </c>
      <c r="G118" s="20">
        <f>F118+(VLOOKUP(D118,'(Semelles.Monument.€HT)'!C:G,3,FALSE()))</f>
        <v>897</v>
      </c>
      <c r="H118" s="21">
        <f>F118+(VLOOKUP(D118,'(Semelles.Monument.€HT)'!C:G,4,FALSE()))</f>
        <v>951</v>
      </c>
      <c r="I118" s="22">
        <f>F118+(VLOOKUP(D118,'(Semelles.Monument.€HT)'!C:G,5,FALSE()))</f>
        <v>1009</v>
      </c>
    </row>
    <row r="119" spans="1:9" ht="26" customHeight="1">
      <c r="A119" s="2" t="s">
        <v>95</v>
      </c>
      <c r="B119" s="13" t="s">
        <v>148</v>
      </c>
      <c r="C119" s="13" t="s">
        <v>97</v>
      </c>
      <c r="D119" s="13">
        <v>22</v>
      </c>
      <c r="E119" s="2" t="s">
        <v>119</v>
      </c>
      <c r="F119" s="7">
        <v>708</v>
      </c>
      <c r="G119" s="3">
        <f>F119+(VLOOKUP(D119,'(Semelles.Monument.€HT)'!C:G,3,FALSE()))</f>
        <v>897</v>
      </c>
      <c r="H119" s="4">
        <f>F119+(VLOOKUP(D119,'(Semelles.Monument.€HT)'!C:G,4,FALSE()))</f>
        <v>951</v>
      </c>
      <c r="I119" s="5">
        <f>F119+(VLOOKUP(D119,'(Semelles.Monument.€HT)'!C:G,5,FALSE()))</f>
        <v>1009</v>
      </c>
    </row>
    <row r="120" spans="1:9" ht="26" customHeight="1">
      <c r="A120" s="17" t="s">
        <v>95</v>
      </c>
      <c r="B120" s="18" t="s">
        <v>148</v>
      </c>
      <c r="C120" s="18" t="s">
        <v>97</v>
      </c>
      <c r="D120" s="18">
        <v>23</v>
      </c>
      <c r="E120" s="17" t="s">
        <v>120</v>
      </c>
      <c r="F120" s="19">
        <v>719</v>
      </c>
      <c r="G120" s="20">
        <f>F120+(VLOOKUP(D120,'(Semelles.Monument.€HT)'!C:G,3,FALSE()))</f>
        <v>911</v>
      </c>
      <c r="H120" s="21">
        <f>F120+(VLOOKUP(D120,'(Semelles.Monument.€HT)'!C:G,4,FALSE()))</f>
        <v>966</v>
      </c>
      <c r="I120" s="22">
        <f>F120+(VLOOKUP(D120,'(Semelles.Monument.€HT)'!C:G,5,FALSE()))</f>
        <v>1024</v>
      </c>
    </row>
    <row r="121" spans="1:9" ht="26" customHeight="1">
      <c r="A121" s="2" t="s">
        <v>95</v>
      </c>
      <c r="B121" s="13" t="s">
        <v>148</v>
      </c>
      <c r="C121" s="13" t="s">
        <v>97</v>
      </c>
      <c r="D121" s="13">
        <v>24</v>
      </c>
      <c r="E121" s="2" t="s">
        <v>121</v>
      </c>
      <c r="F121" s="7">
        <v>719</v>
      </c>
      <c r="G121" s="3">
        <f>F121+(VLOOKUP(D121,'(Semelles.Monument.€HT)'!C:G,3,FALSE()))</f>
        <v>911</v>
      </c>
      <c r="H121" s="4">
        <f>F121+(VLOOKUP(D121,'(Semelles.Monument.€HT)'!C:G,4,FALSE()))</f>
        <v>966</v>
      </c>
      <c r="I121" s="5">
        <f>F121+(VLOOKUP(D121,'(Semelles.Monument.€HT)'!C:G,5,FALSE()))</f>
        <v>1024</v>
      </c>
    </row>
    <row r="122" spans="1:9" ht="26" customHeight="1">
      <c r="A122" s="17" t="s">
        <v>95</v>
      </c>
      <c r="B122" s="18" t="s">
        <v>148</v>
      </c>
      <c r="C122" s="18" t="s">
        <v>97</v>
      </c>
      <c r="D122" s="18">
        <v>25</v>
      </c>
      <c r="E122" s="17" t="s">
        <v>122</v>
      </c>
      <c r="F122" s="19">
        <v>719</v>
      </c>
      <c r="G122" s="20">
        <f>F122+(VLOOKUP(D122,'(Semelles.Monument.€HT)'!C:G,3,FALSE()))</f>
        <v>911</v>
      </c>
      <c r="H122" s="21">
        <f>F122+(VLOOKUP(D122,'(Semelles.Monument.€HT)'!C:G,4,FALSE()))</f>
        <v>966</v>
      </c>
      <c r="I122" s="22">
        <f>F122+(VLOOKUP(D122,'(Semelles.Monument.€HT)'!C:G,5,FALSE()))</f>
        <v>1024</v>
      </c>
    </row>
    <row r="123" spans="1:9" ht="26" customHeight="1">
      <c r="A123" s="2" t="s">
        <v>95</v>
      </c>
      <c r="B123" s="13" t="s">
        <v>148</v>
      </c>
      <c r="C123" s="13" t="s">
        <v>97</v>
      </c>
      <c r="D123" s="13">
        <v>26</v>
      </c>
      <c r="E123" s="2" t="s">
        <v>123</v>
      </c>
      <c r="F123" s="7">
        <v>731</v>
      </c>
      <c r="G123" s="3">
        <f>F123+(VLOOKUP(D123,'(Semelles.Monument.€HT)'!C:G,3,FALSE()))</f>
        <v>926</v>
      </c>
      <c r="H123" s="4">
        <f>F123+(VLOOKUP(D123,'(Semelles.Monument.€HT)'!C:G,4,FALSE()))</f>
        <v>982</v>
      </c>
      <c r="I123" s="5">
        <f>F123+(VLOOKUP(D123,'(Semelles.Monument.€HT)'!C:G,5,FALSE()))</f>
        <v>1041</v>
      </c>
    </row>
    <row r="124" spans="1:9" ht="26" customHeight="1">
      <c r="A124" s="17" t="s">
        <v>95</v>
      </c>
      <c r="B124" s="18" t="s">
        <v>148</v>
      </c>
      <c r="C124" s="18" t="s">
        <v>97</v>
      </c>
      <c r="D124" s="18">
        <v>27</v>
      </c>
      <c r="E124" s="17" t="s">
        <v>124</v>
      </c>
      <c r="F124" s="19">
        <v>779</v>
      </c>
      <c r="G124" s="20">
        <f>F124+(VLOOKUP(D124,'(Semelles.Monument.€HT)'!C:G,3,FALSE()))</f>
        <v>987</v>
      </c>
      <c r="H124" s="21">
        <f>F124+(VLOOKUP(D124,'(Semelles.Monument.€HT)'!C:G,4,FALSE()))</f>
        <v>1047</v>
      </c>
      <c r="I124" s="22">
        <f>F124+(VLOOKUP(D124,'(Semelles.Monument.€HT)'!C:G,5,FALSE()))</f>
        <v>1146</v>
      </c>
    </row>
    <row r="125" spans="1:9" ht="26" customHeight="1">
      <c r="A125" s="2" t="s">
        <v>95</v>
      </c>
      <c r="B125" s="13" t="s">
        <v>148</v>
      </c>
      <c r="C125" s="13" t="s">
        <v>97</v>
      </c>
      <c r="D125" s="13">
        <v>28</v>
      </c>
      <c r="E125" s="2" t="s">
        <v>125</v>
      </c>
      <c r="F125" s="7">
        <v>863</v>
      </c>
      <c r="G125" s="3">
        <f>F125+(VLOOKUP(D125,'(Semelles.Monument.€HT)'!C:G,3,FALSE()))</f>
        <v>1093</v>
      </c>
      <c r="H125" s="4">
        <f>F125+(VLOOKUP(D125,'(Semelles.Monument.€HT)'!C:G,4,FALSE()))</f>
        <v>1160</v>
      </c>
      <c r="I125" s="5">
        <f>F125+(VLOOKUP(D125,'(Semelles.Monument.€HT)'!C:G,5,FALSE()))</f>
        <v>1230</v>
      </c>
    </row>
    <row r="126" spans="1:9" ht="26" customHeight="1">
      <c r="A126" s="17" t="s">
        <v>95</v>
      </c>
      <c r="B126" s="18" t="s">
        <v>148</v>
      </c>
      <c r="C126" s="18" t="s">
        <v>97</v>
      </c>
      <c r="D126" s="18">
        <v>29</v>
      </c>
      <c r="E126" s="17" t="s">
        <v>126</v>
      </c>
      <c r="F126" s="19">
        <v>899</v>
      </c>
      <c r="G126" s="20">
        <f>F126+(VLOOKUP(D126,'(Semelles.Monument.€HT)'!C:G,3,FALSE()))</f>
        <v>1139</v>
      </c>
      <c r="H126" s="21">
        <f>F126+(VLOOKUP(D126,'(Semelles.Monument.€HT)'!C:G,4,FALSE()))</f>
        <v>1208</v>
      </c>
      <c r="I126" s="22">
        <f>F126+(VLOOKUP(D126,'(Semelles.Monument.€HT)'!C:G,5,FALSE()))</f>
        <v>1281</v>
      </c>
    </row>
    <row r="127" spans="1:9" ht="26" customHeight="1">
      <c r="A127" s="2" t="s">
        <v>95</v>
      </c>
      <c r="B127" s="13" t="s">
        <v>148</v>
      </c>
      <c r="C127" s="13" t="s">
        <v>97</v>
      </c>
      <c r="D127" s="13">
        <v>30</v>
      </c>
      <c r="E127" s="2" t="s">
        <v>127</v>
      </c>
      <c r="F127" s="7">
        <v>899</v>
      </c>
      <c r="G127" s="3">
        <f>F127+(VLOOKUP(D127,'(Semelles.Monument.€HT)'!C:G,3,FALSE()))</f>
        <v>1139</v>
      </c>
      <c r="H127" s="4">
        <f>F127+(VLOOKUP(D127,'(Semelles.Monument.€HT)'!C:G,4,FALSE()))</f>
        <v>1208</v>
      </c>
      <c r="I127" s="5">
        <f>F127+(VLOOKUP(D127,'(Semelles.Monument.€HT)'!C:G,5,FALSE()))</f>
        <v>1281</v>
      </c>
    </row>
    <row r="128" spans="1:9" ht="26" customHeight="1">
      <c r="A128" s="17" t="s">
        <v>95</v>
      </c>
      <c r="B128" s="18" t="s">
        <v>148</v>
      </c>
      <c r="C128" s="18" t="s">
        <v>128</v>
      </c>
      <c r="D128" s="18">
        <v>31</v>
      </c>
      <c r="E128" s="17" t="s">
        <v>129</v>
      </c>
      <c r="F128" s="19">
        <v>520</v>
      </c>
      <c r="G128" s="20">
        <f>F128+(VLOOKUP(D128,'(Semelles.Monument.€HT)'!C:G,3,FALSE()))</f>
        <v>652</v>
      </c>
      <c r="H128" s="21">
        <f>F128+(VLOOKUP(D128,'(Semelles.Monument.€HT)'!C:G,4,FALSE()))</f>
        <v>690</v>
      </c>
      <c r="I128" s="22">
        <f>F128+(VLOOKUP(D128,'(Semelles.Monument.€HT)'!C:G,5,FALSE()))</f>
        <v>730</v>
      </c>
    </row>
    <row r="129" spans="1:9" ht="26" customHeight="1">
      <c r="A129" s="2" t="s">
        <v>95</v>
      </c>
      <c r="B129" s="13" t="s">
        <v>148</v>
      </c>
      <c r="C129" s="13" t="s">
        <v>128</v>
      </c>
      <c r="D129" s="13">
        <v>32</v>
      </c>
      <c r="E129" s="2" t="s">
        <v>130</v>
      </c>
      <c r="F129" s="7">
        <v>527</v>
      </c>
      <c r="G129" s="3">
        <f>F129+(VLOOKUP(D129,'(Semelles.Monument.€HT)'!C:G,3,FALSE()))</f>
        <v>661</v>
      </c>
      <c r="H129" s="4">
        <f>F129+(VLOOKUP(D129,'(Semelles.Monument.€HT)'!C:G,4,FALSE()))</f>
        <v>700</v>
      </c>
      <c r="I129" s="5">
        <f>F129+(VLOOKUP(D129,'(Semelles.Monument.€HT)'!C:G,5,FALSE()))</f>
        <v>740</v>
      </c>
    </row>
    <row r="130" spans="1:9" ht="26" customHeight="1">
      <c r="A130" s="17" t="s">
        <v>95</v>
      </c>
      <c r="B130" s="18" t="s">
        <v>148</v>
      </c>
      <c r="C130" s="18" t="s">
        <v>128</v>
      </c>
      <c r="D130" s="18">
        <v>33</v>
      </c>
      <c r="E130" s="17" t="s">
        <v>131</v>
      </c>
      <c r="F130" s="19">
        <v>527</v>
      </c>
      <c r="G130" s="20">
        <f>F130+(VLOOKUP(D130,'(Semelles.Monument.€HT)'!C:G,3,FALSE()))</f>
        <v>661</v>
      </c>
      <c r="H130" s="21">
        <f>F130+(VLOOKUP(D130,'(Semelles.Monument.€HT)'!C:G,4,FALSE()))</f>
        <v>700</v>
      </c>
      <c r="I130" s="22">
        <f>F130+(VLOOKUP(D130,'(Semelles.Monument.€HT)'!C:G,5,FALSE()))</f>
        <v>740</v>
      </c>
    </row>
    <row r="131" spans="1:9" ht="26" customHeight="1">
      <c r="A131" s="2" t="s">
        <v>95</v>
      </c>
      <c r="B131" s="13" t="s">
        <v>148</v>
      </c>
      <c r="C131" s="13" t="s">
        <v>128</v>
      </c>
      <c r="D131" s="13">
        <v>34</v>
      </c>
      <c r="E131" s="2" t="s">
        <v>132</v>
      </c>
      <c r="F131" s="7">
        <v>532</v>
      </c>
      <c r="G131" s="3">
        <f>F131+(VLOOKUP(D131,'(Semelles.Monument.€HT)'!C:G,3,FALSE()))</f>
        <v>667</v>
      </c>
      <c r="H131" s="4">
        <f>F131+(VLOOKUP(D131,'(Semelles.Monument.€HT)'!C:G,4,FALSE()))</f>
        <v>706</v>
      </c>
      <c r="I131" s="5">
        <f>F131+(VLOOKUP(D131,'(Semelles.Monument.€HT)'!C:G,5,FALSE()))</f>
        <v>747</v>
      </c>
    </row>
    <row r="132" spans="1:9" ht="26" customHeight="1">
      <c r="A132" s="17" t="s">
        <v>95</v>
      </c>
      <c r="B132" s="18" t="s">
        <v>148</v>
      </c>
      <c r="C132" s="18" t="s">
        <v>128</v>
      </c>
      <c r="D132" s="18">
        <v>35</v>
      </c>
      <c r="E132" s="17" t="s">
        <v>133</v>
      </c>
      <c r="F132" s="19">
        <v>635</v>
      </c>
      <c r="G132" s="20">
        <f>F132+(VLOOKUP(D132,'(Semelles.Monument.€HT)'!C:G,3,FALSE()))</f>
        <v>798</v>
      </c>
      <c r="H132" s="21">
        <f>F132+(VLOOKUP(D132,'(Semelles.Monument.€HT)'!C:G,4,FALSE()))</f>
        <v>845</v>
      </c>
      <c r="I132" s="22">
        <f>F132+(VLOOKUP(D132,'(Semelles.Monument.€HT)'!C:G,5,FALSE()))</f>
        <v>894</v>
      </c>
    </row>
    <row r="133" spans="1:9" ht="26" customHeight="1">
      <c r="A133" s="2" t="s">
        <v>95</v>
      </c>
      <c r="B133" s="13" t="s">
        <v>148</v>
      </c>
      <c r="C133" s="13" t="s">
        <v>128</v>
      </c>
      <c r="D133" s="13">
        <v>36</v>
      </c>
      <c r="E133" s="2" t="s">
        <v>134</v>
      </c>
      <c r="F133" s="7">
        <v>656</v>
      </c>
      <c r="G133" s="3">
        <f>F133+(VLOOKUP(D133,'(Semelles.Monument.€HT)'!C:G,3,FALSE()))</f>
        <v>824</v>
      </c>
      <c r="H133" s="4">
        <f>F133+(VLOOKUP(D133,'(Semelles.Monument.€HT)'!C:G,4,FALSE()))</f>
        <v>873</v>
      </c>
      <c r="I133" s="5">
        <f>F133+(VLOOKUP(D133,'(Semelles.Monument.€HT)'!C:G,5,FALSE()))</f>
        <v>924</v>
      </c>
    </row>
    <row r="134" spans="1:9" ht="26" customHeight="1">
      <c r="A134" s="17" t="s">
        <v>95</v>
      </c>
      <c r="B134" s="18" t="s">
        <v>148</v>
      </c>
      <c r="C134" s="18" t="s">
        <v>128</v>
      </c>
      <c r="D134" s="18">
        <v>37</v>
      </c>
      <c r="E134" s="17" t="s">
        <v>135</v>
      </c>
      <c r="F134" s="19">
        <v>805</v>
      </c>
      <c r="G134" s="20">
        <f>F134+(VLOOKUP(D134,'(Semelles.Monument.€HT)'!C:G,3,FALSE()))</f>
        <v>1013</v>
      </c>
      <c r="H134" s="21">
        <f>F134+(VLOOKUP(D134,'(Semelles.Monument.€HT)'!C:G,4,FALSE()))</f>
        <v>1073</v>
      </c>
      <c r="I134" s="22">
        <f>F134+(VLOOKUP(D134,'(Semelles.Monument.€HT)'!C:G,5,FALSE()))</f>
        <v>1137</v>
      </c>
    </row>
    <row r="135" spans="1:9" ht="26" customHeight="1">
      <c r="A135" s="2" t="s">
        <v>95</v>
      </c>
      <c r="B135" s="13" t="s">
        <v>148</v>
      </c>
      <c r="C135" s="13" t="s">
        <v>128</v>
      </c>
      <c r="D135" s="13">
        <v>38</v>
      </c>
      <c r="E135" s="2" t="s">
        <v>136</v>
      </c>
      <c r="F135" s="7">
        <v>851</v>
      </c>
      <c r="G135" s="3">
        <f>F135+(VLOOKUP(D135,'(Semelles.Monument.€HT)'!C:G,3,FALSE()))</f>
        <v>1071</v>
      </c>
      <c r="H135" s="4">
        <f>F135+(VLOOKUP(D135,'(Semelles.Monument.€HT)'!C:G,4,FALSE()))</f>
        <v>1135</v>
      </c>
      <c r="I135" s="5">
        <f>F135+(VLOOKUP(D135,'(Semelles.Monument.€HT)'!C:G,5,FALSE()))</f>
        <v>1202</v>
      </c>
    </row>
    <row r="136" spans="1:9" ht="26" customHeight="1">
      <c r="A136" s="17" t="s">
        <v>95</v>
      </c>
      <c r="B136" s="18" t="s">
        <v>148</v>
      </c>
      <c r="C136" s="18" t="s">
        <v>128</v>
      </c>
      <c r="D136" s="18">
        <v>39</v>
      </c>
      <c r="E136" s="17" t="s">
        <v>137</v>
      </c>
      <c r="F136" s="19">
        <v>872</v>
      </c>
      <c r="G136" s="20">
        <f>F136+(VLOOKUP(D136,'(Semelles.Monument.€HT)'!C:G,3,FALSE()))</f>
        <v>1098</v>
      </c>
      <c r="H136" s="21">
        <f>F136+(VLOOKUP(D136,'(Semelles.Monument.€HT)'!C:G,4,FALSE()))</f>
        <v>1163</v>
      </c>
      <c r="I136" s="22">
        <f>F136+(VLOOKUP(D136,'(Semelles.Monument.€HT)'!C:G,5,FALSE()))</f>
        <v>1232</v>
      </c>
    </row>
    <row r="137" spans="1:9" ht="26" customHeight="1">
      <c r="A137" s="2" t="s">
        <v>95</v>
      </c>
      <c r="B137" s="13" t="s">
        <v>148</v>
      </c>
      <c r="C137" s="13" t="s">
        <v>128</v>
      </c>
      <c r="D137" s="13">
        <v>40</v>
      </c>
      <c r="E137" s="2" t="s">
        <v>138</v>
      </c>
      <c r="F137" s="7">
        <v>896</v>
      </c>
      <c r="G137" s="3">
        <f>F137+(VLOOKUP(D137,'(Semelles.Monument.€HT)'!C:G,3,FALSE()))</f>
        <v>1128</v>
      </c>
      <c r="H137" s="4">
        <f>F137+(VLOOKUP(D137,'(Semelles.Monument.€HT)'!C:G,4,FALSE()))</f>
        <v>1196</v>
      </c>
      <c r="I137" s="5">
        <f>F137+(VLOOKUP(D137,'(Semelles.Monument.€HT)'!C:G,5,FALSE()))</f>
        <v>1266</v>
      </c>
    </row>
    <row r="138" spans="1:9" ht="26" customHeight="1">
      <c r="A138" s="17" t="s">
        <v>95</v>
      </c>
      <c r="B138" s="18" t="s">
        <v>148</v>
      </c>
      <c r="C138" s="18" t="s">
        <v>128</v>
      </c>
      <c r="D138" s="18">
        <v>41</v>
      </c>
      <c r="E138" s="17" t="s">
        <v>139</v>
      </c>
      <c r="F138" s="19">
        <v>952</v>
      </c>
      <c r="G138" s="20">
        <f>F138+(VLOOKUP(D138,'(Semelles.Monument.€HT)'!C:G,3,FALSE()))</f>
        <v>1199</v>
      </c>
      <c r="H138" s="21">
        <f>F138+(VLOOKUP(D138,'(Semelles.Monument.€HT)'!C:G,4,FALSE()))</f>
        <v>1271</v>
      </c>
      <c r="I138" s="22">
        <f>F138+(VLOOKUP(D138,'(Semelles.Monument.€HT)'!C:G,5,FALSE()))</f>
        <v>1346</v>
      </c>
    </row>
    <row r="139" spans="1:9" ht="26" customHeight="1">
      <c r="A139" s="2" t="s">
        <v>95</v>
      </c>
      <c r="B139" s="13" t="s">
        <v>148</v>
      </c>
      <c r="C139" s="13" t="s">
        <v>128</v>
      </c>
      <c r="D139" s="13">
        <v>42</v>
      </c>
      <c r="E139" s="2" t="s">
        <v>140</v>
      </c>
      <c r="F139" s="7">
        <v>1043</v>
      </c>
      <c r="G139" s="3">
        <f>F139+(VLOOKUP(D139,'(Semelles.Monument.€HT)'!C:G,3,FALSE()))</f>
        <v>1314</v>
      </c>
      <c r="H139" s="4">
        <f>F139+(VLOOKUP(D139,'(Semelles.Monument.€HT)'!C:G,4,FALSE()))</f>
        <v>1393</v>
      </c>
      <c r="I139" s="5">
        <f>F139+(VLOOKUP(D139,'(Semelles.Monument.€HT)'!C:G,5,FALSE()))</f>
        <v>1476</v>
      </c>
    </row>
    <row r="140" spans="1:9" ht="26" customHeight="1">
      <c r="A140" s="17" t="s">
        <v>95</v>
      </c>
      <c r="B140" s="18" t="s">
        <v>148</v>
      </c>
      <c r="C140" s="18" t="s">
        <v>128</v>
      </c>
      <c r="D140" s="18">
        <v>43</v>
      </c>
      <c r="E140" s="17" t="s">
        <v>141</v>
      </c>
      <c r="F140" s="19">
        <v>1043</v>
      </c>
      <c r="G140" s="20">
        <f>F140+(VLOOKUP(D140,'(Semelles.Monument.€HT)'!C:G,3,FALSE()))</f>
        <v>1314</v>
      </c>
      <c r="H140" s="21">
        <f>F140+(VLOOKUP(D140,'(Semelles.Monument.€HT)'!C:G,4,FALSE()))</f>
        <v>1393</v>
      </c>
      <c r="I140" s="22">
        <f>F140+(VLOOKUP(D140,'(Semelles.Monument.€HT)'!C:G,5,FALSE()))</f>
        <v>1476</v>
      </c>
    </row>
    <row r="141" spans="1:9" ht="26" customHeight="1">
      <c r="A141" s="2" t="s">
        <v>95</v>
      </c>
      <c r="B141" s="13" t="s">
        <v>148</v>
      </c>
      <c r="C141" s="13" t="s">
        <v>128</v>
      </c>
      <c r="D141" s="13">
        <v>44</v>
      </c>
      <c r="E141" s="2" t="s">
        <v>142</v>
      </c>
      <c r="F141" s="7">
        <v>1055</v>
      </c>
      <c r="G141" s="3">
        <f>F141+(VLOOKUP(D141,'(Semelles.Monument.€HT)'!C:G,3,FALSE()))</f>
        <v>1330</v>
      </c>
      <c r="H141" s="4">
        <f>F141+(VLOOKUP(D141,'(Semelles.Monument.€HT)'!C:G,4,FALSE()))</f>
        <v>1409</v>
      </c>
      <c r="I141" s="5">
        <f>F141+(VLOOKUP(D141,'(Semelles.Monument.€HT)'!C:G,5,FALSE()))</f>
        <v>1493</v>
      </c>
    </row>
    <row r="142" spans="1:9" ht="26" customHeight="1">
      <c r="A142" s="17" t="s">
        <v>95</v>
      </c>
      <c r="B142" s="18" t="s">
        <v>148</v>
      </c>
      <c r="C142" s="18" t="s">
        <v>128</v>
      </c>
      <c r="D142" s="18">
        <v>45</v>
      </c>
      <c r="E142" s="17" t="s">
        <v>143</v>
      </c>
      <c r="F142" s="19">
        <v>1067</v>
      </c>
      <c r="G142" s="20">
        <f>F142+(VLOOKUP(D142,'(Semelles.Monument.€HT)'!C:G,3,FALSE()))</f>
        <v>1345</v>
      </c>
      <c r="H142" s="21">
        <f>F142+(VLOOKUP(D142,'(Semelles.Monument.€HT)'!C:G,4,FALSE()))</f>
        <v>1425</v>
      </c>
      <c r="I142" s="22">
        <f>F142+(VLOOKUP(D142,'(Semelles.Monument.€HT)'!C:G,5,FALSE()))</f>
        <v>1510</v>
      </c>
    </row>
    <row r="143" spans="1:9" ht="26" customHeight="1">
      <c r="A143" s="2" t="s">
        <v>95</v>
      </c>
      <c r="B143" s="13" t="s">
        <v>148</v>
      </c>
      <c r="C143" s="13" t="s">
        <v>128</v>
      </c>
      <c r="D143" s="13">
        <v>46</v>
      </c>
      <c r="E143" s="2" t="s">
        <v>144</v>
      </c>
      <c r="F143" s="7">
        <v>1067</v>
      </c>
      <c r="G143" s="3">
        <f>F143+(VLOOKUP(D143,'(Semelles.Monument.€HT)'!C:G,3,FALSE()))</f>
        <v>1345</v>
      </c>
      <c r="H143" s="4">
        <f>F143+(VLOOKUP(D143,'(Semelles.Monument.€HT)'!C:G,4,FALSE()))</f>
        <v>1425</v>
      </c>
      <c r="I143" s="5">
        <f>F143+(VLOOKUP(D143,'(Semelles.Monument.€HT)'!C:G,5,FALSE()))</f>
        <v>1510</v>
      </c>
    </row>
    <row r="144" spans="1:9" ht="26" customHeight="1">
      <c r="A144" s="17" t="s">
        <v>95</v>
      </c>
      <c r="B144" s="18" t="s">
        <v>148</v>
      </c>
      <c r="C144" s="18" t="s">
        <v>128</v>
      </c>
      <c r="D144" s="18">
        <v>47</v>
      </c>
      <c r="E144" s="17" t="s">
        <v>145</v>
      </c>
      <c r="F144" s="19">
        <v>1088</v>
      </c>
      <c r="G144" s="20">
        <f>F144+(VLOOKUP(D144,'(Semelles.Monument.€HT)'!C:G,3,FALSE()))</f>
        <v>1372</v>
      </c>
      <c r="H144" s="21">
        <f>F144+(VLOOKUP(D144,'(Semelles.Monument.€HT)'!C:G,4,FALSE()))</f>
        <v>1454</v>
      </c>
      <c r="I144" s="22">
        <f>F144+(VLOOKUP(D144,'(Semelles.Monument.€HT)'!C:G,5,FALSE()))</f>
        <v>1540</v>
      </c>
    </row>
    <row r="145" spans="1:9" ht="26" customHeight="1">
      <c r="A145" s="2" t="s">
        <v>95</v>
      </c>
      <c r="B145" s="13" t="s">
        <v>148</v>
      </c>
      <c r="C145" s="13" t="s">
        <v>128</v>
      </c>
      <c r="D145" s="13">
        <v>48</v>
      </c>
      <c r="E145" s="2" t="s">
        <v>146</v>
      </c>
      <c r="F145" s="7">
        <v>1100</v>
      </c>
      <c r="G145" s="3">
        <f>F145+(VLOOKUP(D145,'(Semelles.Monument.€HT)'!C:G,3,FALSE()))</f>
        <v>1387</v>
      </c>
      <c r="H145" s="4">
        <f>F145+(VLOOKUP(D145,'(Semelles.Monument.€HT)'!C:G,4,FALSE()))</f>
        <v>1470</v>
      </c>
      <c r="I145" s="5">
        <f>F145+(VLOOKUP(D145,'(Semelles.Monument.€HT)'!C:G,5,FALSE()))</f>
        <v>1557</v>
      </c>
    </row>
    <row r="146" spans="1:9" ht="26" customHeight="1">
      <c r="A146" s="17" t="s">
        <v>95</v>
      </c>
      <c r="B146" s="18" t="s">
        <v>149</v>
      </c>
      <c r="C146" s="18" t="s">
        <v>97</v>
      </c>
      <c r="D146" s="18">
        <v>1</v>
      </c>
      <c r="E146" s="17" t="s">
        <v>98</v>
      </c>
      <c r="F146" s="19">
        <v>633</v>
      </c>
      <c r="G146" s="20">
        <f>F146+(VLOOKUP(D146,'(Semelles.Monument.€HT)'!C:G,3,FALSE()))</f>
        <v>791</v>
      </c>
      <c r="H146" s="21">
        <f>F146+(VLOOKUP(D146,'(Semelles.Monument.€HT)'!C:G,4,FALSE()))</f>
        <v>837</v>
      </c>
      <c r="I146" s="22">
        <f>F146+(VLOOKUP(D146,'(Semelles.Monument.€HT)'!C:G,5,FALSE()))</f>
        <v>885</v>
      </c>
    </row>
    <row r="147" spans="1:9" ht="26" customHeight="1">
      <c r="A147" s="2" t="s">
        <v>95</v>
      </c>
      <c r="B147" s="13" t="s">
        <v>149</v>
      </c>
      <c r="C147" s="13" t="s">
        <v>97</v>
      </c>
      <c r="D147" s="13">
        <v>2</v>
      </c>
      <c r="E147" s="2" t="s">
        <v>99</v>
      </c>
      <c r="F147" s="7">
        <v>633</v>
      </c>
      <c r="G147" s="3">
        <f>F147+(VLOOKUP(D147,'(Semelles.Monument.€HT)'!C:G,3,FALSE()))</f>
        <v>791</v>
      </c>
      <c r="H147" s="4">
        <f>F147+(VLOOKUP(D147,'(Semelles.Monument.€HT)'!C:G,4,FALSE()))</f>
        <v>837</v>
      </c>
      <c r="I147" s="5">
        <f>F147+(VLOOKUP(D147,'(Semelles.Monument.€HT)'!C:G,5,FALSE()))</f>
        <v>885</v>
      </c>
    </row>
    <row r="148" spans="1:9" ht="26" customHeight="1">
      <c r="A148" s="17" t="s">
        <v>95</v>
      </c>
      <c r="B148" s="18" t="s">
        <v>149</v>
      </c>
      <c r="C148" s="18" t="s">
        <v>97</v>
      </c>
      <c r="D148" s="18">
        <v>3</v>
      </c>
      <c r="E148" s="17" t="s">
        <v>100</v>
      </c>
      <c r="F148" s="19">
        <v>704</v>
      </c>
      <c r="G148" s="20">
        <f>F148+(VLOOKUP(D148,'(Semelles.Monument.€HT)'!C:G,3,FALSE()))</f>
        <v>880</v>
      </c>
      <c r="H148" s="21">
        <f>F148+(VLOOKUP(D148,'(Semelles.Monument.€HT)'!C:G,4,FALSE()))</f>
        <v>931</v>
      </c>
      <c r="I148" s="22">
        <f>F148+(VLOOKUP(D148,'(Semelles.Monument.€HT)'!C:G,5,FALSE()))</f>
        <v>984</v>
      </c>
    </row>
    <row r="149" spans="1:9" ht="26" customHeight="1">
      <c r="A149" s="2" t="s">
        <v>95</v>
      </c>
      <c r="B149" s="13" t="s">
        <v>149</v>
      </c>
      <c r="C149" s="13" t="s">
        <v>97</v>
      </c>
      <c r="D149" s="13">
        <v>4</v>
      </c>
      <c r="E149" s="2" t="s">
        <v>101</v>
      </c>
      <c r="F149" s="7">
        <v>715</v>
      </c>
      <c r="G149" s="3">
        <f>F149+(VLOOKUP(D149,'(Semelles.Monument.€HT)'!C:G,3,FALSE()))</f>
        <v>894</v>
      </c>
      <c r="H149" s="4">
        <f>F149+(VLOOKUP(D149,'(Semelles.Monument.€HT)'!C:G,4,FALSE()))</f>
        <v>946</v>
      </c>
      <c r="I149" s="5">
        <f>F149+(VLOOKUP(D149,'(Semelles.Monument.€HT)'!C:G,5,FALSE()))</f>
        <v>1000</v>
      </c>
    </row>
    <row r="150" spans="1:9" ht="26" customHeight="1">
      <c r="A150" s="17" t="s">
        <v>95</v>
      </c>
      <c r="B150" s="18" t="s">
        <v>149</v>
      </c>
      <c r="C150" s="18" t="s">
        <v>97</v>
      </c>
      <c r="D150" s="18">
        <v>5</v>
      </c>
      <c r="E150" s="17" t="s">
        <v>102</v>
      </c>
      <c r="F150" s="19">
        <v>715</v>
      </c>
      <c r="G150" s="20">
        <f>F150+(VLOOKUP(D150,'(Semelles.Monument.€HT)'!C:G,3,FALSE()))</f>
        <v>894</v>
      </c>
      <c r="H150" s="21">
        <f>F150+(VLOOKUP(D150,'(Semelles.Monument.€HT)'!C:G,4,FALSE()))</f>
        <v>946</v>
      </c>
      <c r="I150" s="22">
        <f>F150+(VLOOKUP(D150,'(Semelles.Monument.€HT)'!C:G,5,FALSE()))</f>
        <v>1000</v>
      </c>
    </row>
    <row r="151" spans="1:9" ht="26" customHeight="1">
      <c r="A151" s="2" t="s">
        <v>95</v>
      </c>
      <c r="B151" s="13" t="s">
        <v>149</v>
      </c>
      <c r="C151" s="13" t="s">
        <v>97</v>
      </c>
      <c r="D151" s="13">
        <v>6</v>
      </c>
      <c r="E151" s="2" t="s">
        <v>103</v>
      </c>
      <c r="F151" s="7">
        <v>719</v>
      </c>
      <c r="G151" s="3">
        <f>F151+(VLOOKUP(D151,'(Semelles.Monument.€HT)'!C:G,3,FALSE()))</f>
        <v>899</v>
      </c>
      <c r="H151" s="4">
        <f>F151+(VLOOKUP(D151,'(Semelles.Monument.€HT)'!C:G,4,FALSE()))</f>
        <v>951</v>
      </c>
      <c r="I151" s="5">
        <f>F151+(VLOOKUP(D151,'(Semelles.Monument.€HT)'!C:G,5,FALSE()))</f>
        <v>1006</v>
      </c>
    </row>
    <row r="152" spans="1:9" ht="26" customHeight="1">
      <c r="A152" s="17" t="s">
        <v>95</v>
      </c>
      <c r="B152" s="18" t="s">
        <v>149</v>
      </c>
      <c r="C152" s="18" t="s">
        <v>97</v>
      </c>
      <c r="D152" s="18">
        <v>7</v>
      </c>
      <c r="E152" s="17" t="s">
        <v>104</v>
      </c>
      <c r="F152" s="19">
        <v>719</v>
      </c>
      <c r="G152" s="20">
        <f>F152+(VLOOKUP(D152,'(Semelles.Monument.€HT)'!C:G,3,FALSE()))</f>
        <v>899</v>
      </c>
      <c r="H152" s="21">
        <f>F152+(VLOOKUP(D152,'(Semelles.Monument.€HT)'!C:G,4,FALSE()))</f>
        <v>951</v>
      </c>
      <c r="I152" s="22">
        <f>F152+(VLOOKUP(D152,'(Semelles.Monument.€HT)'!C:G,5,FALSE()))</f>
        <v>1006</v>
      </c>
    </row>
    <row r="153" spans="1:9" ht="26" customHeight="1">
      <c r="A153" s="2" t="s">
        <v>95</v>
      </c>
      <c r="B153" s="13" t="s">
        <v>149</v>
      </c>
      <c r="C153" s="13" t="s">
        <v>97</v>
      </c>
      <c r="D153" s="13">
        <v>8</v>
      </c>
      <c r="E153" s="2" t="s">
        <v>105</v>
      </c>
      <c r="F153" s="7">
        <v>719</v>
      </c>
      <c r="G153" s="3">
        <f>F153+(VLOOKUP(D153,'(Semelles.Monument.€HT)'!C:G,3,FALSE()))</f>
        <v>899</v>
      </c>
      <c r="H153" s="4">
        <f>F153+(VLOOKUP(D153,'(Semelles.Monument.€HT)'!C:G,4,FALSE()))</f>
        <v>951</v>
      </c>
      <c r="I153" s="5">
        <f>F153+(VLOOKUP(D153,'(Semelles.Monument.€HT)'!C:G,5,FALSE()))</f>
        <v>1006</v>
      </c>
    </row>
    <row r="154" spans="1:9" ht="26" customHeight="1">
      <c r="A154" s="17" t="s">
        <v>95</v>
      </c>
      <c r="B154" s="18" t="s">
        <v>149</v>
      </c>
      <c r="C154" s="18" t="s">
        <v>97</v>
      </c>
      <c r="D154" s="18">
        <v>9</v>
      </c>
      <c r="E154" s="17" t="s">
        <v>106</v>
      </c>
      <c r="F154" s="19">
        <v>719</v>
      </c>
      <c r="G154" s="20">
        <f>F154+(VLOOKUP(D154,'(Semelles.Monument.€HT)'!C:G,3,FALSE()))</f>
        <v>899</v>
      </c>
      <c r="H154" s="21">
        <f>F154+(VLOOKUP(D154,'(Semelles.Monument.€HT)'!C:G,4,FALSE()))</f>
        <v>951</v>
      </c>
      <c r="I154" s="22">
        <f>F154+(VLOOKUP(D154,'(Semelles.Monument.€HT)'!C:G,5,FALSE()))</f>
        <v>1006</v>
      </c>
    </row>
    <row r="155" spans="1:9" ht="26" customHeight="1">
      <c r="A155" s="2" t="s">
        <v>95</v>
      </c>
      <c r="B155" s="13" t="s">
        <v>149</v>
      </c>
      <c r="C155" s="13" t="s">
        <v>97</v>
      </c>
      <c r="D155" s="13">
        <v>10</v>
      </c>
      <c r="E155" s="2" t="s">
        <v>107</v>
      </c>
      <c r="F155" s="7">
        <v>719</v>
      </c>
      <c r="G155" s="3">
        <f>F155+(VLOOKUP(D155,'(Semelles.Monument.€HT)'!C:G,3,FALSE()))</f>
        <v>899</v>
      </c>
      <c r="H155" s="4">
        <f>F155+(VLOOKUP(D155,'(Semelles.Monument.€HT)'!C:G,4,FALSE()))</f>
        <v>951</v>
      </c>
      <c r="I155" s="5">
        <f>F155+(VLOOKUP(D155,'(Semelles.Monument.€HT)'!C:G,5,FALSE()))</f>
        <v>1006</v>
      </c>
    </row>
    <row r="156" spans="1:9" ht="26" customHeight="1">
      <c r="A156" s="17" t="s">
        <v>95</v>
      </c>
      <c r="B156" s="18" t="s">
        <v>149</v>
      </c>
      <c r="C156" s="18" t="s">
        <v>97</v>
      </c>
      <c r="D156" s="18">
        <v>11</v>
      </c>
      <c r="E156" s="17" t="s">
        <v>108</v>
      </c>
      <c r="F156" s="19">
        <v>719</v>
      </c>
      <c r="G156" s="20">
        <f>F156+(VLOOKUP(D156,'(Semelles.Monument.€HT)'!C:G,3,FALSE()))</f>
        <v>899</v>
      </c>
      <c r="H156" s="21">
        <f>F156+(VLOOKUP(D156,'(Semelles.Monument.€HT)'!C:G,4,FALSE()))</f>
        <v>951</v>
      </c>
      <c r="I156" s="22">
        <f>F156+(VLOOKUP(D156,'(Semelles.Monument.€HT)'!C:G,5,FALSE()))</f>
        <v>1006</v>
      </c>
    </row>
    <row r="157" spans="1:9" ht="26" customHeight="1">
      <c r="A157" s="2" t="s">
        <v>95</v>
      </c>
      <c r="B157" s="13" t="s">
        <v>149</v>
      </c>
      <c r="C157" s="13" t="s">
        <v>97</v>
      </c>
      <c r="D157" s="13">
        <v>12</v>
      </c>
      <c r="E157" s="2" t="s">
        <v>109</v>
      </c>
      <c r="F157" s="7">
        <v>729</v>
      </c>
      <c r="G157" s="3">
        <f>F157+(VLOOKUP(D157,'(Semelles.Monument.€HT)'!C:G,3,FALSE()))</f>
        <v>911</v>
      </c>
      <c r="H157" s="4">
        <f>F157+(VLOOKUP(D157,'(Semelles.Monument.€HT)'!C:G,4,FALSE()))</f>
        <v>964</v>
      </c>
      <c r="I157" s="5">
        <f>F157+(VLOOKUP(D157,'(Semelles.Monument.€HT)'!C:G,5,FALSE()))</f>
        <v>1020</v>
      </c>
    </row>
    <row r="158" spans="1:9" ht="26" customHeight="1">
      <c r="A158" s="17" t="s">
        <v>95</v>
      </c>
      <c r="B158" s="18" t="s">
        <v>149</v>
      </c>
      <c r="C158" s="18" t="s">
        <v>97</v>
      </c>
      <c r="D158" s="18">
        <v>13</v>
      </c>
      <c r="E158" s="17" t="s">
        <v>110</v>
      </c>
      <c r="F158" s="19">
        <v>729</v>
      </c>
      <c r="G158" s="20">
        <f>F158+(VLOOKUP(D158,'(Semelles.Monument.€HT)'!C:G,3,FALSE()))</f>
        <v>911</v>
      </c>
      <c r="H158" s="21">
        <f>F158+(VLOOKUP(D158,'(Semelles.Monument.€HT)'!C:G,4,FALSE()))</f>
        <v>964</v>
      </c>
      <c r="I158" s="22">
        <f>F158+(VLOOKUP(D158,'(Semelles.Monument.€HT)'!C:G,5,FALSE()))</f>
        <v>1020</v>
      </c>
    </row>
    <row r="159" spans="1:9" ht="26" customHeight="1">
      <c r="A159" s="2" t="s">
        <v>95</v>
      </c>
      <c r="B159" s="13" t="s">
        <v>149</v>
      </c>
      <c r="C159" s="13" t="s">
        <v>97</v>
      </c>
      <c r="D159" s="13">
        <v>14</v>
      </c>
      <c r="E159" s="2" t="s">
        <v>111</v>
      </c>
      <c r="F159" s="7">
        <v>732</v>
      </c>
      <c r="G159" s="3">
        <f>F159+(VLOOKUP(D159,'(Semelles.Monument.€HT)'!C:G,3,FALSE()))</f>
        <v>915</v>
      </c>
      <c r="H159" s="4">
        <f>F159+(VLOOKUP(D159,'(Semelles.Monument.€HT)'!C:G,4,FALSE()))</f>
        <v>968</v>
      </c>
      <c r="I159" s="5">
        <f>F159+(VLOOKUP(D159,'(Semelles.Monument.€HT)'!C:G,5,FALSE()))</f>
        <v>1024</v>
      </c>
    </row>
    <row r="160" spans="1:9" ht="26" customHeight="1">
      <c r="A160" s="17" t="s">
        <v>95</v>
      </c>
      <c r="B160" s="18" t="s">
        <v>149</v>
      </c>
      <c r="C160" s="18" t="s">
        <v>97</v>
      </c>
      <c r="D160" s="18">
        <v>15</v>
      </c>
      <c r="E160" s="17" t="s">
        <v>112</v>
      </c>
      <c r="F160" s="19">
        <v>732</v>
      </c>
      <c r="G160" s="20">
        <f>F160+(VLOOKUP(D160,'(Semelles.Monument.€HT)'!C:G,3,FALSE()))</f>
        <v>915</v>
      </c>
      <c r="H160" s="21">
        <f>F160+(VLOOKUP(D160,'(Semelles.Monument.€HT)'!C:G,4,FALSE()))</f>
        <v>968</v>
      </c>
      <c r="I160" s="22">
        <f>F160+(VLOOKUP(D160,'(Semelles.Monument.€HT)'!C:G,5,FALSE()))</f>
        <v>1024</v>
      </c>
    </row>
    <row r="161" spans="1:9" ht="26" customHeight="1">
      <c r="A161" s="2" t="s">
        <v>95</v>
      </c>
      <c r="B161" s="13" t="s">
        <v>149</v>
      </c>
      <c r="C161" s="13" t="s">
        <v>97</v>
      </c>
      <c r="D161" s="13">
        <v>16</v>
      </c>
      <c r="E161" s="2" t="s">
        <v>113</v>
      </c>
      <c r="F161" s="7">
        <v>732</v>
      </c>
      <c r="G161" s="3">
        <f>F161+(VLOOKUP(D161,'(Semelles.Monument.€HT)'!C:G,3,FALSE()))</f>
        <v>915</v>
      </c>
      <c r="H161" s="4">
        <f>F161+(VLOOKUP(D161,'(Semelles.Monument.€HT)'!C:G,4,FALSE()))</f>
        <v>968</v>
      </c>
      <c r="I161" s="5">
        <f>F161+(VLOOKUP(D161,'(Semelles.Monument.€HT)'!C:G,5,FALSE()))</f>
        <v>1024</v>
      </c>
    </row>
    <row r="162" spans="1:9" ht="26" customHeight="1">
      <c r="A162" s="17" t="s">
        <v>95</v>
      </c>
      <c r="B162" s="18" t="s">
        <v>149</v>
      </c>
      <c r="C162" s="18" t="s">
        <v>97</v>
      </c>
      <c r="D162" s="18">
        <v>17</v>
      </c>
      <c r="E162" s="17" t="s">
        <v>114</v>
      </c>
      <c r="F162" s="19">
        <v>744</v>
      </c>
      <c r="G162" s="20">
        <f>F162+(VLOOKUP(D162,'(Semelles.Monument.€HT)'!C:G,3,FALSE()))</f>
        <v>930</v>
      </c>
      <c r="H162" s="21">
        <f>F162+(VLOOKUP(D162,'(Semelles.Monument.€HT)'!C:G,4,FALSE()))</f>
        <v>984</v>
      </c>
      <c r="I162" s="22">
        <f>F162+(VLOOKUP(D162,'(Semelles.Monument.€HT)'!C:G,5,FALSE()))</f>
        <v>1041</v>
      </c>
    </row>
    <row r="163" spans="1:9" ht="26" customHeight="1">
      <c r="A163" s="2" t="s">
        <v>95</v>
      </c>
      <c r="B163" s="13" t="s">
        <v>149</v>
      </c>
      <c r="C163" s="13" t="s">
        <v>97</v>
      </c>
      <c r="D163" s="13">
        <v>18</v>
      </c>
      <c r="E163" s="2" t="s">
        <v>115</v>
      </c>
      <c r="F163" s="7">
        <v>744</v>
      </c>
      <c r="G163" s="3">
        <f>F163+(VLOOKUP(D163,'(Semelles.Monument.€HT)'!C:G,3,FALSE()))</f>
        <v>930</v>
      </c>
      <c r="H163" s="4">
        <f>F163+(VLOOKUP(D163,'(Semelles.Monument.€HT)'!C:G,4,FALSE()))</f>
        <v>984</v>
      </c>
      <c r="I163" s="5">
        <f>F163+(VLOOKUP(D163,'(Semelles.Monument.€HT)'!C:G,5,FALSE()))</f>
        <v>1041</v>
      </c>
    </row>
    <row r="164" spans="1:9" ht="26" customHeight="1">
      <c r="A164" s="17" t="s">
        <v>95</v>
      </c>
      <c r="B164" s="18" t="s">
        <v>149</v>
      </c>
      <c r="C164" s="18" t="s">
        <v>97</v>
      </c>
      <c r="D164" s="18">
        <v>19</v>
      </c>
      <c r="E164" s="17" t="s">
        <v>116</v>
      </c>
      <c r="F164" s="19">
        <v>744</v>
      </c>
      <c r="G164" s="20">
        <f>F164+(VLOOKUP(D164,'(Semelles.Monument.€HT)'!C:G,3,FALSE()))</f>
        <v>930</v>
      </c>
      <c r="H164" s="21">
        <f>F164+(VLOOKUP(D164,'(Semelles.Monument.€HT)'!C:G,4,FALSE()))</f>
        <v>984</v>
      </c>
      <c r="I164" s="22">
        <f>F164+(VLOOKUP(D164,'(Semelles.Monument.€HT)'!C:G,5,FALSE()))</f>
        <v>1041</v>
      </c>
    </row>
    <row r="165" spans="1:9" ht="26" customHeight="1">
      <c r="A165" s="2" t="s">
        <v>95</v>
      </c>
      <c r="B165" s="13" t="s">
        <v>149</v>
      </c>
      <c r="C165" s="13" t="s">
        <v>97</v>
      </c>
      <c r="D165" s="13">
        <v>20</v>
      </c>
      <c r="E165" s="2" t="s">
        <v>117</v>
      </c>
      <c r="F165" s="7">
        <v>750</v>
      </c>
      <c r="G165" s="3">
        <f>F165+(VLOOKUP(D165,'(Semelles.Monument.€HT)'!C:G,3,FALSE()))</f>
        <v>938</v>
      </c>
      <c r="H165" s="4">
        <f>F165+(VLOOKUP(D165,'(Semelles.Monument.€HT)'!C:G,4,FALSE()))</f>
        <v>992</v>
      </c>
      <c r="I165" s="5">
        <f>F165+(VLOOKUP(D165,'(Semelles.Monument.€HT)'!C:G,5,FALSE()))</f>
        <v>1049</v>
      </c>
    </row>
    <row r="166" spans="1:9" ht="26" customHeight="1">
      <c r="A166" s="17" t="s">
        <v>95</v>
      </c>
      <c r="B166" s="18" t="s">
        <v>149</v>
      </c>
      <c r="C166" s="18" t="s">
        <v>97</v>
      </c>
      <c r="D166" s="18">
        <v>21</v>
      </c>
      <c r="E166" s="17" t="s">
        <v>118</v>
      </c>
      <c r="F166" s="19">
        <v>755</v>
      </c>
      <c r="G166" s="20">
        <f>F166+(VLOOKUP(D166,'(Semelles.Monument.€HT)'!C:G,3,FALSE()))</f>
        <v>944</v>
      </c>
      <c r="H166" s="21">
        <f>F166+(VLOOKUP(D166,'(Semelles.Monument.€HT)'!C:G,4,FALSE()))</f>
        <v>998</v>
      </c>
      <c r="I166" s="22">
        <f>F166+(VLOOKUP(D166,'(Semelles.Monument.€HT)'!C:G,5,FALSE()))</f>
        <v>1056</v>
      </c>
    </row>
    <row r="167" spans="1:9" ht="26" customHeight="1">
      <c r="A167" s="2" t="s">
        <v>95</v>
      </c>
      <c r="B167" s="13" t="s">
        <v>149</v>
      </c>
      <c r="C167" s="13" t="s">
        <v>97</v>
      </c>
      <c r="D167" s="13">
        <v>22</v>
      </c>
      <c r="E167" s="2" t="s">
        <v>119</v>
      </c>
      <c r="F167" s="7">
        <v>755</v>
      </c>
      <c r="G167" s="3">
        <f>F167+(VLOOKUP(D167,'(Semelles.Monument.€HT)'!C:G,3,FALSE()))</f>
        <v>944</v>
      </c>
      <c r="H167" s="4">
        <f>F167+(VLOOKUP(D167,'(Semelles.Monument.€HT)'!C:G,4,FALSE()))</f>
        <v>998</v>
      </c>
      <c r="I167" s="5">
        <f>F167+(VLOOKUP(D167,'(Semelles.Monument.€HT)'!C:G,5,FALSE()))</f>
        <v>1056</v>
      </c>
    </row>
    <row r="168" spans="1:9" ht="26" customHeight="1">
      <c r="A168" s="17" t="s">
        <v>95</v>
      </c>
      <c r="B168" s="18" t="s">
        <v>149</v>
      </c>
      <c r="C168" s="18" t="s">
        <v>97</v>
      </c>
      <c r="D168" s="18">
        <v>23</v>
      </c>
      <c r="E168" s="17" t="s">
        <v>120</v>
      </c>
      <c r="F168" s="19">
        <v>766</v>
      </c>
      <c r="G168" s="20">
        <f>F168+(VLOOKUP(D168,'(Semelles.Monument.€HT)'!C:G,3,FALSE()))</f>
        <v>958</v>
      </c>
      <c r="H168" s="21">
        <f>F168+(VLOOKUP(D168,'(Semelles.Monument.€HT)'!C:G,4,FALSE()))</f>
        <v>1013</v>
      </c>
      <c r="I168" s="22">
        <f>F168+(VLOOKUP(D168,'(Semelles.Monument.€HT)'!C:G,5,FALSE()))</f>
        <v>1071</v>
      </c>
    </row>
    <row r="169" spans="1:9" ht="26" customHeight="1">
      <c r="A169" s="2" t="s">
        <v>95</v>
      </c>
      <c r="B169" s="13" t="s">
        <v>149</v>
      </c>
      <c r="C169" s="13" t="s">
        <v>97</v>
      </c>
      <c r="D169" s="13">
        <v>24</v>
      </c>
      <c r="E169" s="2" t="s">
        <v>121</v>
      </c>
      <c r="F169" s="7">
        <v>766</v>
      </c>
      <c r="G169" s="3">
        <f>F169+(VLOOKUP(D169,'(Semelles.Monument.€HT)'!C:G,3,FALSE()))</f>
        <v>958</v>
      </c>
      <c r="H169" s="4">
        <f>F169+(VLOOKUP(D169,'(Semelles.Monument.€HT)'!C:G,4,FALSE()))</f>
        <v>1013</v>
      </c>
      <c r="I169" s="5">
        <f>F169+(VLOOKUP(D169,'(Semelles.Monument.€HT)'!C:G,5,FALSE()))</f>
        <v>1071</v>
      </c>
    </row>
    <row r="170" spans="1:9" ht="26" customHeight="1">
      <c r="A170" s="17" t="s">
        <v>95</v>
      </c>
      <c r="B170" s="18" t="s">
        <v>149</v>
      </c>
      <c r="C170" s="18" t="s">
        <v>97</v>
      </c>
      <c r="D170" s="18">
        <v>25</v>
      </c>
      <c r="E170" s="17" t="s">
        <v>122</v>
      </c>
      <c r="F170" s="19">
        <v>766</v>
      </c>
      <c r="G170" s="20">
        <f>F170+(VLOOKUP(D170,'(Semelles.Monument.€HT)'!C:G,3,FALSE()))</f>
        <v>958</v>
      </c>
      <c r="H170" s="21">
        <f>F170+(VLOOKUP(D170,'(Semelles.Monument.€HT)'!C:G,4,FALSE()))</f>
        <v>1013</v>
      </c>
      <c r="I170" s="22">
        <f>F170+(VLOOKUP(D170,'(Semelles.Monument.€HT)'!C:G,5,FALSE()))</f>
        <v>1071</v>
      </c>
    </row>
    <row r="171" spans="1:9" ht="26" customHeight="1">
      <c r="A171" s="2" t="s">
        <v>95</v>
      </c>
      <c r="B171" s="13" t="s">
        <v>149</v>
      </c>
      <c r="C171" s="13" t="s">
        <v>97</v>
      </c>
      <c r="D171" s="13">
        <v>26</v>
      </c>
      <c r="E171" s="2" t="s">
        <v>123</v>
      </c>
      <c r="F171" s="7">
        <v>779</v>
      </c>
      <c r="G171" s="3">
        <f>F171+(VLOOKUP(D171,'(Semelles.Monument.€HT)'!C:G,3,FALSE()))</f>
        <v>974</v>
      </c>
      <c r="H171" s="4">
        <f>F171+(VLOOKUP(D171,'(Semelles.Monument.€HT)'!C:G,4,FALSE()))</f>
        <v>1030</v>
      </c>
      <c r="I171" s="5">
        <f>F171+(VLOOKUP(D171,'(Semelles.Monument.€HT)'!C:G,5,FALSE()))</f>
        <v>1089</v>
      </c>
    </row>
    <row r="172" spans="1:9" ht="26" customHeight="1">
      <c r="A172" s="17" t="s">
        <v>95</v>
      </c>
      <c r="B172" s="18" t="s">
        <v>149</v>
      </c>
      <c r="C172" s="18" t="s">
        <v>97</v>
      </c>
      <c r="D172" s="18">
        <v>27</v>
      </c>
      <c r="E172" s="17" t="s">
        <v>124</v>
      </c>
      <c r="F172" s="19">
        <v>830</v>
      </c>
      <c r="G172" s="20">
        <f>F172+(VLOOKUP(D172,'(Semelles.Monument.€HT)'!C:G,3,FALSE()))</f>
        <v>1038</v>
      </c>
      <c r="H172" s="21">
        <f>F172+(VLOOKUP(D172,'(Semelles.Monument.€HT)'!C:G,4,FALSE()))</f>
        <v>1098</v>
      </c>
      <c r="I172" s="22">
        <f>F172+(VLOOKUP(D172,'(Semelles.Monument.€HT)'!C:G,5,FALSE()))</f>
        <v>1197</v>
      </c>
    </row>
    <row r="173" spans="1:9" ht="26" customHeight="1">
      <c r="A173" s="2" t="s">
        <v>95</v>
      </c>
      <c r="B173" s="13" t="s">
        <v>149</v>
      </c>
      <c r="C173" s="13" t="s">
        <v>97</v>
      </c>
      <c r="D173" s="13">
        <v>28</v>
      </c>
      <c r="E173" s="2" t="s">
        <v>125</v>
      </c>
      <c r="F173" s="7">
        <v>920</v>
      </c>
      <c r="G173" s="3">
        <f>F173+(VLOOKUP(D173,'(Semelles.Monument.€HT)'!C:G,3,FALSE()))</f>
        <v>1150</v>
      </c>
      <c r="H173" s="4">
        <f>F173+(VLOOKUP(D173,'(Semelles.Monument.€HT)'!C:G,4,FALSE()))</f>
        <v>1217</v>
      </c>
      <c r="I173" s="5">
        <f>F173+(VLOOKUP(D173,'(Semelles.Monument.€HT)'!C:G,5,FALSE()))</f>
        <v>1287</v>
      </c>
    </row>
    <row r="174" spans="1:9" ht="26" customHeight="1">
      <c r="A174" s="17" t="s">
        <v>95</v>
      </c>
      <c r="B174" s="18" t="s">
        <v>149</v>
      </c>
      <c r="C174" s="18" t="s">
        <v>97</v>
      </c>
      <c r="D174" s="18">
        <v>29</v>
      </c>
      <c r="E174" s="17" t="s">
        <v>126</v>
      </c>
      <c r="F174" s="19">
        <v>958</v>
      </c>
      <c r="G174" s="20">
        <f>F174+(VLOOKUP(D174,'(Semelles.Monument.€HT)'!C:G,3,FALSE()))</f>
        <v>1198</v>
      </c>
      <c r="H174" s="21">
        <f>F174+(VLOOKUP(D174,'(Semelles.Monument.€HT)'!C:G,4,FALSE()))</f>
        <v>1267</v>
      </c>
      <c r="I174" s="22">
        <f>F174+(VLOOKUP(D174,'(Semelles.Monument.€HT)'!C:G,5,FALSE()))</f>
        <v>1340</v>
      </c>
    </row>
    <row r="175" spans="1:9" ht="26" customHeight="1">
      <c r="A175" s="2" t="s">
        <v>95</v>
      </c>
      <c r="B175" s="13" t="s">
        <v>149</v>
      </c>
      <c r="C175" s="13" t="s">
        <v>97</v>
      </c>
      <c r="D175" s="13">
        <v>30</v>
      </c>
      <c r="E175" s="2" t="s">
        <v>127</v>
      </c>
      <c r="F175" s="7">
        <v>958</v>
      </c>
      <c r="G175" s="3">
        <f>F175+(VLOOKUP(D175,'(Semelles.Monument.€HT)'!C:G,3,FALSE()))</f>
        <v>1198</v>
      </c>
      <c r="H175" s="4">
        <f>F175+(VLOOKUP(D175,'(Semelles.Monument.€HT)'!C:G,4,FALSE()))</f>
        <v>1267</v>
      </c>
      <c r="I175" s="5">
        <f>F175+(VLOOKUP(D175,'(Semelles.Monument.€HT)'!C:G,5,FALSE()))</f>
        <v>1340</v>
      </c>
    </row>
    <row r="176" spans="1:9" ht="26" customHeight="1">
      <c r="A176" s="17" t="s">
        <v>95</v>
      </c>
      <c r="B176" s="18" t="s">
        <v>149</v>
      </c>
      <c r="C176" s="18" t="s">
        <v>128</v>
      </c>
      <c r="D176" s="18">
        <v>31</v>
      </c>
      <c r="E176" s="17" t="s">
        <v>129</v>
      </c>
      <c r="F176" s="19">
        <v>528</v>
      </c>
      <c r="G176" s="20">
        <f>F176+(VLOOKUP(D176,'(Semelles.Monument.€HT)'!C:G,3,FALSE()))</f>
        <v>660</v>
      </c>
      <c r="H176" s="21">
        <f>F176+(VLOOKUP(D176,'(Semelles.Monument.€HT)'!C:G,4,FALSE()))</f>
        <v>698</v>
      </c>
      <c r="I176" s="22">
        <f>F176+(VLOOKUP(D176,'(Semelles.Monument.€HT)'!C:G,5,FALSE()))</f>
        <v>738</v>
      </c>
    </row>
    <row r="177" spans="1:9" ht="26" customHeight="1">
      <c r="A177" s="2" t="s">
        <v>95</v>
      </c>
      <c r="B177" s="13" t="s">
        <v>149</v>
      </c>
      <c r="C177" s="13" t="s">
        <v>128</v>
      </c>
      <c r="D177" s="13">
        <v>32</v>
      </c>
      <c r="E177" s="2" t="s">
        <v>130</v>
      </c>
      <c r="F177" s="7">
        <v>535</v>
      </c>
      <c r="G177" s="3">
        <f>F177+(VLOOKUP(D177,'(Semelles.Monument.€HT)'!C:G,3,FALSE()))</f>
        <v>669</v>
      </c>
      <c r="H177" s="4">
        <f>F177+(VLOOKUP(D177,'(Semelles.Monument.€HT)'!C:G,4,FALSE()))</f>
        <v>708</v>
      </c>
      <c r="I177" s="5">
        <f>F177+(VLOOKUP(D177,'(Semelles.Monument.€HT)'!C:G,5,FALSE()))</f>
        <v>748</v>
      </c>
    </row>
    <row r="178" spans="1:9" ht="26" customHeight="1">
      <c r="A178" s="17" t="s">
        <v>95</v>
      </c>
      <c r="B178" s="18" t="s">
        <v>149</v>
      </c>
      <c r="C178" s="18" t="s">
        <v>128</v>
      </c>
      <c r="D178" s="18">
        <v>33</v>
      </c>
      <c r="E178" s="17" t="s">
        <v>131</v>
      </c>
      <c r="F178" s="19">
        <v>535</v>
      </c>
      <c r="G178" s="20">
        <f>F178+(VLOOKUP(D178,'(Semelles.Monument.€HT)'!C:G,3,FALSE()))</f>
        <v>669</v>
      </c>
      <c r="H178" s="21">
        <f>F178+(VLOOKUP(D178,'(Semelles.Monument.€HT)'!C:G,4,FALSE()))</f>
        <v>708</v>
      </c>
      <c r="I178" s="22">
        <f>F178+(VLOOKUP(D178,'(Semelles.Monument.€HT)'!C:G,5,FALSE()))</f>
        <v>748</v>
      </c>
    </row>
    <row r="179" spans="1:9" ht="26" customHeight="1">
      <c r="A179" s="2" t="s">
        <v>95</v>
      </c>
      <c r="B179" s="13" t="s">
        <v>149</v>
      </c>
      <c r="C179" s="13" t="s">
        <v>128</v>
      </c>
      <c r="D179" s="13">
        <v>34</v>
      </c>
      <c r="E179" s="2" t="s">
        <v>132</v>
      </c>
      <c r="F179" s="7">
        <v>540</v>
      </c>
      <c r="G179" s="3">
        <f>F179+(VLOOKUP(D179,'(Semelles.Monument.€HT)'!C:G,3,FALSE()))</f>
        <v>675</v>
      </c>
      <c r="H179" s="4">
        <f>F179+(VLOOKUP(D179,'(Semelles.Monument.€HT)'!C:G,4,FALSE()))</f>
        <v>714</v>
      </c>
      <c r="I179" s="5">
        <f>F179+(VLOOKUP(D179,'(Semelles.Monument.€HT)'!C:G,5,FALSE()))</f>
        <v>755</v>
      </c>
    </row>
    <row r="180" spans="1:9" ht="26" customHeight="1">
      <c r="A180" s="17" t="s">
        <v>95</v>
      </c>
      <c r="B180" s="18" t="s">
        <v>149</v>
      </c>
      <c r="C180" s="18" t="s">
        <v>128</v>
      </c>
      <c r="D180" s="18">
        <v>35</v>
      </c>
      <c r="E180" s="17" t="s">
        <v>133</v>
      </c>
      <c r="F180" s="19">
        <v>650</v>
      </c>
      <c r="G180" s="20">
        <f>F180+(VLOOKUP(D180,'(Semelles.Monument.€HT)'!C:G,3,FALSE()))</f>
        <v>813</v>
      </c>
      <c r="H180" s="21">
        <f>F180+(VLOOKUP(D180,'(Semelles.Monument.€HT)'!C:G,4,FALSE()))</f>
        <v>860</v>
      </c>
      <c r="I180" s="22">
        <f>F180+(VLOOKUP(D180,'(Semelles.Monument.€HT)'!C:G,5,FALSE()))</f>
        <v>909</v>
      </c>
    </row>
    <row r="181" spans="1:9" ht="26" customHeight="1">
      <c r="A181" s="2" t="s">
        <v>95</v>
      </c>
      <c r="B181" s="13" t="s">
        <v>149</v>
      </c>
      <c r="C181" s="13" t="s">
        <v>128</v>
      </c>
      <c r="D181" s="13">
        <v>36</v>
      </c>
      <c r="E181" s="2" t="s">
        <v>134</v>
      </c>
      <c r="F181" s="7">
        <v>674</v>
      </c>
      <c r="G181" s="3">
        <f>F181+(VLOOKUP(D181,'(Semelles.Monument.€HT)'!C:G,3,FALSE()))</f>
        <v>842</v>
      </c>
      <c r="H181" s="4">
        <f>F181+(VLOOKUP(D181,'(Semelles.Monument.€HT)'!C:G,4,FALSE()))</f>
        <v>891</v>
      </c>
      <c r="I181" s="5">
        <f>F181+(VLOOKUP(D181,'(Semelles.Monument.€HT)'!C:G,5,FALSE()))</f>
        <v>942</v>
      </c>
    </row>
    <row r="182" spans="1:9" ht="26" customHeight="1">
      <c r="A182" s="17" t="s">
        <v>95</v>
      </c>
      <c r="B182" s="18" t="s">
        <v>149</v>
      </c>
      <c r="C182" s="18" t="s">
        <v>128</v>
      </c>
      <c r="D182" s="18">
        <v>37</v>
      </c>
      <c r="E182" s="17" t="s">
        <v>135</v>
      </c>
      <c r="F182" s="19">
        <v>832</v>
      </c>
      <c r="G182" s="20">
        <f>F182+(VLOOKUP(D182,'(Semelles.Monument.€HT)'!C:G,3,FALSE()))</f>
        <v>1040</v>
      </c>
      <c r="H182" s="21">
        <f>F182+(VLOOKUP(D182,'(Semelles.Monument.€HT)'!C:G,4,FALSE()))</f>
        <v>1100</v>
      </c>
      <c r="I182" s="22">
        <f>F182+(VLOOKUP(D182,'(Semelles.Monument.€HT)'!C:G,5,FALSE()))</f>
        <v>1164</v>
      </c>
    </row>
    <row r="183" spans="1:9" ht="26" customHeight="1">
      <c r="A183" s="2" t="s">
        <v>95</v>
      </c>
      <c r="B183" s="13" t="s">
        <v>149</v>
      </c>
      <c r="C183" s="13" t="s">
        <v>128</v>
      </c>
      <c r="D183" s="13">
        <v>38</v>
      </c>
      <c r="E183" s="2" t="s">
        <v>136</v>
      </c>
      <c r="F183" s="7">
        <v>881</v>
      </c>
      <c r="G183" s="3">
        <f>F183+(VLOOKUP(D183,'(Semelles.Monument.€HT)'!C:G,3,FALSE()))</f>
        <v>1101</v>
      </c>
      <c r="H183" s="4">
        <f>F183+(VLOOKUP(D183,'(Semelles.Monument.€HT)'!C:G,4,FALSE()))</f>
        <v>1165</v>
      </c>
      <c r="I183" s="5">
        <f>F183+(VLOOKUP(D183,'(Semelles.Monument.€HT)'!C:G,5,FALSE()))</f>
        <v>1232</v>
      </c>
    </row>
    <row r="184" spans="1:9" ht="26" customHeight="1">
      <c r="A184" s="17" t="s">
        <v>95</v>
      </c>
      <c r="B184" s="18" t="s">
        <v>149</v>
      </c>
      <c r="C184" s="18" t="s">
        <v>128</v>
      </c>
      <c r="D184" s="18">
        <v>39</v>
      </c>
      <c r="E184" s="17" t="s">
        <v>137</v>
      </c>
      <c r="F184" s="19">
        <v>904</v>
      </c>
      <c r="G184" s="20">
        <f>F184+(VLOOKUP(D184,'(Semelles.Monument.€HT)'!C:G,3,FALSE()))</f>
        <v>1130</v>
      </c>
      <c r="H184" s="21">
        <f>F184+(VLOOKUP(D184,'(Semelles.Monument.€HT)'!C:G,4,FALSE()))</f>
        <v>1195</v>
      </c>
      <c r="I184" s="22">
        <f>F184+(VLOOKUP(D184,'(Semelles.Monument.€HT)'!C:G,5,FALSE()))</f>
        <v>1264</v>
      </c>
    </row>
    <row r="185" spans="1:9" ht="26" customHeight="1">
      <c r="A185" s="2" t="s">
        <v>95</v>
      </c>
      <c r="B185" s="13" t="s">
        <v>149</v>
      </c>
      <c r="C185" s="13" t="s">
        <v>128</v>
      </c>
      <c r="D185" s="13">
        <v>40</v>
      </c>
      <c r="E185" s="2" t="s">
        <v>138</v>
      </c>
      <c r="F185" s="7">
        <v>930</v>
      </c>
      <c r="G185" s="3">
        <f>F185+(VLOOKUP(D185,'(Semelles.Monument.€HT)'!C:G,3,FALSE()))</f>
        <v>1162</v>
      </c>
      <c r="H185" s="4">
        <f>F185+(VLOOKUP(D185,'(Semelles.Monument.€HT)'!C:G,4,FALSE()))</f>
        <v>1230</v>
      </c>
      <c r="I185" s="5">
        <f>F185+(VLOOKUP(D185,'(Semelles.Monument.€HT)'!C:G,5,FALSE()))</f>
        <v>1300</v>
      </c>
    </row>
    <row r="186" spans="1:9" ht="26" customHeight="1">
      <c r="A186" s="17" t="s">
        <v>95</v>
      </c>
      <c r="B186" s="18" t="s">
        <v>149</v>
      </c>
      <c r="C186" s="18" t="s">
        <v>128</v>
      </c>
      <c r="D186" s="18">
        <v>41</v>
      </c>
      <c r="E186" s="17" t="s">
        <v>139</v>
      </c>
      <c r="F186" s="19">
        <v>988</v>
      </c>
      <c r="G186" s="20">
        <f>F186+(VLOOKUP(D186,'(Semelles.Monument.€HT)'!C:G,3,FALSE()))</f>
        <v>1235</v>
      </c>
      <c r="H186" s="21">
        <f>F186+(VLOOKUP(D186,'(Semelles.Monument.€HT)'!C:G,4,FALSE()))</f>
        <v>1307</v>
      </c>
      <c r="I186" s="22">
        <f>F186+(VLOOKUP(D186,'(Semelles.Monument.€HT)'!C:G,5,FALSE()))</f>
        <v>1382</v>
      </c>
    </row>
    <row r="187" spans="1:9" ht="26" customHeight="1">
      <c r="A187" s="2" t="s">
        <v>95</v>
      </c>
      <c r="B187" s="13" t="s">
        <v>149</v>
      </c>
      <c r="C187" s="13" t="s">
        <v>128</v>
      </c>
      <c r="D187" s="13">
        <v>42</v>
      </c>
      <c r="E187" s="2" t="s">
        <v>140</v>
      </c>
      <c r="F187" s="7">
        <v>1086</v>
      </c>
      <c r="G187" s="3">
        <f>F187+(VLOOKUP(D187,'(Semelles.Monument.€HT)'!C:G,3,FALSE()))</f>
        <v>1357</v>
      </c>
      <c r="H187" s="4">
        <f>F187+(VLOOKUP(D187,'(Semelles.Monument.€HT)'!C:G,4,FALSE()))</f>
        <v>1436</v>
      </c>
      <c r="I187" s="5">
        <f>F187+(VLOOKUP(D187,'(Semelles.Monument.€HT)'!C:G,5,FALSE()))</f>
        <v>1519</v>
      </c>
    </row>
    <row r="188" spans="1:9" ht="26" customHeight="1">
      <c r="A188" s="17" t="s">
        <v>95</v>
      </c>
      <c r="B188" s="18" t="s">
        <v>149</v>
      </c>
      <c r="C188" s="18" t="s">
        <v>128</v>
      </c>
      <c r="D188" s="18">
        <v>43</v>
      </c>
      <c r="E188" s="17" t="s">
        <v>141</v>
      </c>
      <c r="F188" s="19">
        <v>1086</v>
      </c>
      <c r="G188" s="20">
        <f>F188+(VLOOKUP(D188,'(Semelles.Monument.€HT)'!C:G,3,FALSE()))</f>
        <v>1357</v>
      </c>
      <c r="H188" s="21">
        <f>F188+(VLOOKUP(D188,'(Semelles.Monument.€HT)'!C:G,4,FALSE()))</f>
        <v>1436</v>
      </c>
      <c r="I188" s="22">
        <f>F188+(VLOOKUP(D188,'(Semelles.Monument.€HT)'!C:G,5,FALSE()))</f>
        <v>1519</v>
      </c>
    </row>
    <row r="189" spans="1:9" ht="26" customHeight="1">
      <c r="A189" s="2" t="s">
        <v>95</v>
      </c>
      <c r="B189" s="13" t="s">
        <v>149</v>
      </c>
      <c r="C189" s="13" t="s">
        <v>128</v>
      </c>
      <c r="D189" s="13">
        <v>44</v>
      </c>
      <c r="E189" s="2" t="s">
        <v>142</v>
      </c>
      <c r="F189" s="7">
        <v>1098</v>
      </c>
      <c r="G189" s="3">
        <f>F189+(VLOOKUP(D189,'(Semelles.Monument.€HT)'!C:G,3,FALSE()))</f>
        <v>1373</v>
      </c>
      <c r="H189" s="4">
        <f>F189+(VLOOKUP(D189,'(Semelles.Monument.€HT)'!C:G,4,FALSE()))</f>
        <v>1452</v>
      </c>
      <c r="I189" s="5">
        <f>F189+(VLOOKUP(D189,'(Semelles.Monument.€HT)'!C:G,5,FALSE()))</f>
        <v>1536</v>
      </c>
    </row>
    <row r="190" spans="1:9" ht="26" customHeight="1">
      <c r="A190" s="17" t="s">
        <v>95</v>
      </c>
      <c r="B190" s="18" t="s">
        <v>149</v>
      </c>
      <c r="C190" s="18" t="s">
        <v>128</v>
      </c>
      <c r="D190" s="18">
        <v>45</v>
      </c>
      <c r="E190" s="17" t="s">
        <v>143</v>
      </c>
      <c r="F190" s="19">
        <v>1111</v>
      </c>
      <c r="G190" s="20">
        <f>F190+(VLOOKUP(D190,'(Semelles.Monument.€HT)'!C:G,3,FALSE()))</f>
        <v>1389</v>
      </c>
      <c r="H190" s="21">
        <f>F190+(VLOOKUP(D190,'(Semelles.Monument.€HT)'!C:G,4,FALSE()))</f>
        <v>1469</v>
      </c>
      <c r="I190" s="22">
        <f>F190+(VLOOKUP(D190,'(Semelles.Monument.€HT)'!C:G,5,FALSE()))</f>
        <v>1554</v>
      </c>
    </row>
    <row r="191" spans="1:9" ht="26" customHeight="1">
      <c r="A191" s="2" t="s">
        <v>95</v>
      </c>
      <c r="B191" s="13" t="s">
        <v>149</v>
      </c>
      <c r="C191" s="13" t="s">
        <v>128</v>
      </c>
      <c r="D191" s="13">
        <v>46</v>
      </c>
      <c r="E191" s="2" t="s">
        <v>144</v>
      </c>
      <c r="F191" s="7">
        <v>1111</v>
      </c>
      <c r="G191" s="3">
        <f>F191+(VLOOKUP(D191,'(Semelles.Monument.€HT)'!C:G,3,FALSE()))</f>
        <v>1389</v>
      </c>
      <c r="H191" s="4">
        <f>F191+(VLOOKUP(D191,'(Semelles.Monument.€HT)'!C:G,4,FALSE()))</f>
        <v>1469</v>
      </c>
      <c r="I191" s="5">
        <f>F191+(VLOOKUP(D191,'(Semelles.Monument.€HT)'!C:G,5,FALSE()))</f>
        <v>1554</v>
      </c>
    </row>
    <row r="192" spans="1:9" ht="26" customHeight="1">
      <c r="A192" s="17" t="s">
        <v>95</v>
      </c>
      <c r="B192" s="18" t="s">
        <v>149</v>
      </c>
      <c r="C192" s="18" t="s">
        <v>128</v>
      </c>
      <c r="D192" s="18">
        <v>47</v>
      </c>
      <c r="E192" s="17" t="s">
        <v>145</v>
      </c>
      <c r="F192" s="19">
        <v>1134</v>
      </c>
      <c r="G192" s="20">
        <f>F192+(VLOOKUP(D192,'(Semelles.Monument.€HT)'!C:G,3,FALSE()))</f>
        <v>1418</v>
      </c>
      <c r="H192" s="21">
        <f>F192+(VLOOKUP(D192,'(Semelles.Monument.€HT)'!C:G,4,FALSE()))</f>
        <v>1500</v>
      </c>
      <c r="I192" s="22">
        <f>F192+(VLOOKUP(D192,'(Semelles.Monument.€HT)'!C:G,5,FALSE()))</f>
        <v>1586</v>
      </c>
    </row>
    <row r="193" spans="1:9" ht="26" customHeight="1">
      <c r="A193" s="2" t="s">
        <v>95</v>
      </c>
      <c r="B193" s="13" t="s">
        <v>149</v>
      </c>
      <c r="C193" s="13" t="s">
        <v>128</v>
      </c>
      <c r="D193" s="13">
        <v>48</v>
      </c>
      <c r="E193" s="2" t="s">
        <v>146</v>
      </c>
      <c r="F193" s="7">
        <v>1147</v>
      </c>
      <c r="G193" s="3">
        <f>F193+(VLOOKUP(D193,'(Semelles.Monument.€HT)'!C:G,3,FALSE()))</f>
        <v>1434</v>
      </c>
      <c r="H193" s="4">
        <f>F193+(VLOOKUP(D193,'(Semelles.Monument.€HT)'!C:G,4,FALSE()))</f>
        <v>1517</v>
      </c>
      <c r="I193" s="5">
        <f>F193+(VLOOKUP(D193,'(Semelles.Monument.€HT)'!C:G,5,FALSE()))</f>
        <v>1604</v>
      </c>
    </row>
    <row r="194" spans="1:9" ht="26" customHeight="1">
      <c r="A194" s="17" t="s">
        <v>95</v>
      </c>
      <c r="B194" s="18" t="s">
        <v>150</v>
      </c>
      <c r="C194" s="18" t="s">
        <v>97</v>
      </c>
      <c r="D194" s="18">
        <v>1</v>
      </c>
      <c r="E194" s="17" t="s">
        <v>98</v>
      </c>
      <c r="F194" s="19">
        <v>594</v>
      </c>
      <c r="G194" s="20">
        <f>F194+(VLOOKUP(D194,'(Semelles.Monument.€HT)'!C:G,3,FALSE()))</f>
        <v>752</v>
      </c>
      <c r="H194" s="21">
        <f>F194+(VLOOKUP(D194,'(Semelles.Monument.€HT)'!C:G,4,FALSE()))</f>
        <v>798</v>
      </c>
      <c r="I194" s="22">
        <f>F194+(VLOOKUP(D194,'(Semelles.Monument.€HT)'!C:G,5,FALSE()))</f>
        <v>846</v>
      </c>
    </row>
    <row r="195" spans="1:9" ht="26" customHeight="1">
      <c r="A195" s="2" t="s">
        <v>95</v>
      </c>
      <c r="B195" s="13" t="s">
        <v>150</v>
      </c>
      <c r="C195" s="13" t="s">
        <v>97</v>
      </c>
      <c r="D195" s="13">
        <v>2</v>
      </c>
      <c r="E195" s="2" t="s">
        <v>99</v>
      </c>
      <c r="F195" s="7">
        <v>593</v>
      </c>
      <c r="G195" s="3">
        <f>F195+(VLOOKUP(D195,'(Semelles.Monument.€HT)'!C:G,3,FALSE()))</f>
        <v>751</v>
      </c>
      <c r="H195" s="4">
        <f>F195+(VLOOKUP(D195,'(Semelles.Monument.€HT)'!C:G,4,FALSE()))</f>
        <v>797</v>
      </c>
      <c r="I195" s="5">
        <f>F195+(VLOOKUP(D195,'(Semelles.Monument.€HT)'!C:G,5,FALSE()))</f>
        <v>845</v>
      </c>
    </row>
    <row r="196" spans="1:9" ht="26" customHeight="1">
      <c r="A196" s="17" t="s">
        <v>95</v>
      </c>
      <c r="B196" s="18" t="s">
        <v>150</v>
      </c>
      <c r="C196" s="18" t="s">
        <v>97</v>
      </c>
      <c r="D196" s="18">
        <v>3</v>
      </c>
      <c r="E196" s="17" t="s">
        <v>100</v>
      </c>
      <c r="F196" s="19">
        <v>660</v>
      </c>
      <c r="G196" s="20">
        <f>F196+(VLOOKUP(D196,'(Semelles.Monument.€HT)'!C:G,3,FALSE()))</f>
        <v>836</v>
      </c>
      <c r="H196" s="21">
        <f>F196+(VLOOKUP(D196,'(Semelles.Monument.€HT)'!C:G,4,FALSE()))</f>
        <v>887</v>
      </c>
      <c r="I196" s="22">
        <f>F196+(VLOOKUP(D196,'(Semelles.Monument.€HT)'!C:G,5,FALSE()))</f>
        <v>940</v>
      </c>
    </row>
    <row r="197" spans="1:9" ht="26" customHeight="1">
      <c r="A197" s="2" t="s">
        <v>95</v>
      </c>
      <c r="B197" s="13" t="s">
        <v>150</v>
      </c>
      <c r="C197" s="13" t="s">
        <v>97</v>
      </c>
      <c r="D197" s="13">
        <v>4</v>
      </c>
      <c r="E197" s="2" t="s">
        <v>101</v>
      </c>
      <c r="F197" s="7">
        <v>671</v>
      </c>
      <c r="G197" s="3">
        <f>F197+(VLOOKUP(D197,'(Semelles.Monument.€HT)'!C:G,3,FALSE()))</f>
        <v>850</v>
      </c>
      <c r="H197" s="4">
        <f>F197+(VLOOKUP(D197,'(Semelles.Monument.€HT)'!C:G,4,FALSE()))</f>
        <v>902</v>
      </c>
      <c r="I197" s="5">
        <f>F197+(VLOOKUP(D197,'(Semelles.Monument.€HT)'!C:G,5,FALSE()))</f>
        <v>956</v>
      </c>
    </row>
    <row r="198" spans="1:9" ht="26" customHeight="1">
      <c r="A198" s="17" t="s">
        <v>95</v>
      </c>
      <c r="B198" s="18" t="s">
        <v>150</v>
      </c>
      <c r="C198" s="18" t="s">
        <v>97</v>
      </c>
      <c r="D198" s="18">
        <v>5</v>
      </c>
      <c r="E198" s="17" t="s">
        <v>102</v>
      </c>
      <c r="F198" s="19">
        <v>671</v>
      </c>
      <c r="G198" s="20">
        <f>F198+(VLOOKUP(D198,'(Semelles.Monument.€HT)'!C:G,3,FALSE()))</f>
        <v>850</v>
      </c>
      <c r="H198" s="21">
        <f>F198+(VLOOKUP(D198,'(Semelles.Monument.€HT)'!C:G,4,FALSE()))</f>
        <v>902</v>
      </c>
      <c r="I198" s="22">
        <f>F198+(VLOOKUP(D198,'(Semelles.Monument.€HT)'!C:G,5,FALSE()))</f>
        <v>956</v>
      </c>
    </row>
    <row r="199" spans="1:9" ht="26" customHeight="1">
      <c r="A199" s="2" t="s">
        <v>95</v>
      </c>
      <c r="B199" s="13" t="s">
        <v>150</v>
      </c>
      <c r="C199" s="13" t="s">
        <v>97</v>
      </c>
      <c r="D199" s="13">
        <v>6</v>
      </c>
      <c r="E199" s="2" t="s">
        <v>103</v>
      </c>
      <c r="F199" s="7">
        <v>674</v>
      </c>
      <c r="G199" s="3">
        <f>F199+(VLOOKUP(D199,'(Semelles.Monument.€HT)'!C:G,3,FALSE()))</f>
        <v>854</v>
      </c>
      <c r="H199" s="4">
        <f>F199+(VLOOKUP(D199,'(Semelles.Monument.€HT)'!C:G,4,FALSE()))</f>
        <v>906</v>
      </c>
      <c r="I199" s="5">
        <f>F199+(VLOOKUP(D199,'(Semelles.Monument.€HT)'!C:G,5,FALSE()))</f>
        <v>961</v>
      </c>
    </row>
    <row r="200" spans="1:9" ht="26" customHeight="1">
      <c r="A200" s="17" t="s">
        <v>95</v>
      </c>
      <c r="B200" s="18" t="s">
        <v>150</v>
      </c>
      <c r="C200" s="18" t="s">
        <v>97</v>
      </c>
      <c r="D200" s="18">
        <v>7</v>
      </c>
      <c r="E200" s="17" t="s">
        <v>104</v>
      </c>
      <c r="F200" s="19">
        <v>674</v>
      </c>
      <c r="G200" s="20">
        <f>F200+(VLOOKUP(D200,'(Semelles.Monument.€HT)'!C:G,3,FALSE()))</f>
        <v>854</v>
      </c>
      <c r="H200" s="21">
        <f>F200+(VLOOKUP(D200,'(Semelles.Monument.€HT)'!C:G,4,FALSE()))</f>
        <v>906</v>
      </c>
      <c r="I200" s="22">
        <f>F200+(VLOOKUP(D200,'(Semelles.Monument.€HT)'!C:G,5,FALSE()))</f>
        <v>961</v>
      </c>
    </row>
    <row r="201" spans="1:9" ht="26" customHeight="1">
      <c r="A201" s="2" t="s">
        <v>95</v>
      </c>
      <c r="B201" s="13" t="s">
        <v>150</v>
      </c>
      <c r="C201" s="13" t="s">
        <v>97</v>
      </c>
      <c r="D201" s="13">
        <v>8</v>
      </c>
      <c r="E201" s="2" t="s">
        <v>105</v>
      </c>
      <c r="F201" s="7">
        <v>674</v>
      </c>
      <c r="G201" s="3">
        <f>F201+(VLOOKUP(D201,'(Semelles.Monument.€HT)'!C:G,3,FALSE()))</f>
        <v>854</v>
      </c>
      <c r="H201" s="4">
        <f>F201+(VLOOKUP(D201,'(Semelles.Monument.€HT)'!C:G,4,FALSE()))</f>
        <v>906</v>
      </c>
      <c r="I201" s="5">
        <f>F201+(VLOOKUP(D201,'(Semelles.Monument.€HT)'!C:G,5,FALSE()))</f>
        <v>961</v>
      </c>
    </row>
    <row r="202" spans="1:9" ht="26" customHeight="1">
      <c r="A202" s="17" t="s">
        <v>95</v>
      </c>
      <c r="B202" s="18" t="s">
        <v>150</v>
      </c>
      <c r="C202" s="18" t="s">
        <v>97</v>
      </c>
      <c r="D202" s="18">
        <v>9</v>
      </c>
      <c r="E202" s="17" t="s">
        <v>106</v>
      </c>
      <c r="F202" s="19">
        <v>674</v>
      </c>
      <c r="G202" s="20">
        <f>F202+(VLOOKUP(D202,'(Semelles.Monument.€HT)'!C:G,3,FALSE()))</f>
        <v>854</v>
      </c>
      <c r="H202" s="21">
        <f>F202+(VLOOKUP(D202,'(Semelles.Monument.€HT)'!C:G,4,FALSE()))</f>
        <v>906</v>
      </c>
      <c r="I202" s="22">
        <f>F202+(VLOOKUP(D202,'(Semelles.Monument.€HT)'!C:G,5,FALSE()))</f>
        <v>961</v>
      </c>
    </row>
    <row r="203" spans="1:9" ht="26" customHeight="1">
      <c r="A203" s="2" t="s">
        <v>95</v>
      </c>
      <c r="B203" s="13" t="s">
        <v>150</v>
      </c>
      <c r="C203" s="13" t="s">
        <v>97</v>
      </c>
      <c r="D203" s="13">
        <v>10</v>
      </c>
      <c r="E203" s="2" t="s">
        <v>107</v>
      </c>
      <c r="F203" s="7">
        <v>674</v>
      </c>
      <c r="G203" s="3">
        <f>F203+(VLOOKUP(D203,'(Semelles.Monument.€HT)'!C:G,3,FALSE()))</f>
        <v>854</v>
      </c>
      <c r="H203" s="4">
        <f>F203+(VLOOKUP(D203,'(Semelles.Monument.€HT)'!C:G,4,FALSE()))</f>
        <v>906</v>
      </c>
      <c r="I203" s="5">
        <f>F203+(VLOOKUP(D203,'(Semelles.Monument.€HT)'!C:G,5,FALSE()))</f>
        <v>961</v>
      </c>
    </row>
    <row r="204" spans="1:9" ht="26" customHeight="1">
      <c r="A204" s="17" t="s">
        <v>95</v>
      </c>
      <c r="B204" s="18" t="s">
        <v>150</v>
      </c>
      <c r="C204" s="18" t="s">
        <v>97</v>
      </c>
      <c r="D204" s="18">
        <v>11</v>
      </c>
      <c r="E204" s="17" t="s">
        <v>108</v>
      </c>
      <c r="F204" s="19">
        <v>674</v>
      </c>
      <c r="G204" s="20">
        <f>F204+(VLOOKUP(D204,'(Semelles.Monument.€HT)'!C:G,3,FALSE()))</f>
        <v>854</v>
      </c>
      <c r="H204" s="21">
        <f>F204+(VLOOKUP(D204,'(Semelles.Monument.€HT)'!C:G,4,FALSE()))</f>
        <v>906</v>
      </c>
      <c r="I204" s="22">
        <f>F204+(VLOOKUP(D204,'(Semelles.Monument.€HT)'!C:G,5,FALSE()))</f>
        <v>961</v>
      </c>
    </row>
    <row r="205" spans="1:9" ht="26" customHeight="1">
      <c r="A205" s="2" t="s">
        <v>95</v>
      </c>
      <c r="B205" s="13" t="s">
        <v>150</v>
      </c>
      <c r="C205" s="13" t="s">
        <v>97</v>
      </c>
      <c r="D205" s="13">
        <v>12</v>
      </c>
      <c r="E205" s="2" t="s">
        <v>109</v>
      </c>
      <c r="F205" s="7">
        <v>684</v>
      </c>
      <c r="G205" s="3">
        <f>F205+(VLOOKUP(D205,'(Semelles.Monument.€HT)'!C:G,3,FALSE()))</f>
        <v>866</v>
      </c>
      <c r="H205" s="4">
        <f>F205+(VLOOKUP(D205,'(Semelles.Monument.€HT)'!C:G,4,FALSE()))</f>
        <v>919</v>
      </c>
      <c r="I205" s="5">
        <f>F205+(VLOOKUP(D205,'(Semelles.Monument.€HT)'!C:G,5,FALSE()))</f>
        <v>975</v>
      </c>
    </row>
    <row r="206" spans="1:9" ht="26" customHeight="1">
      <c r="A206" s="17" t="s">
        <v>95</v>
      </c>
      <c r="B206" s="18" t="s">
        <v>150</v>
      </c>
      <c r="C206" s="18" t="s">
        <v>97</v>
      </c>
      <c r="D206" s="18">
        <v>13</v>
      </c>
      <c r="E206" s="17" t="s">
        <v>110</v>
      </c>
      <c r="F206" s="19">
        <v>684</v>
      </c>
      <c r="G206" s="20">
        <f>F206+(VLOOKUP(D206,'(Semelles.Monument.€HT)'!C:G,3,FALSE()))</f>
        <v>866</v>
      </c>
      <c r="H206" s="21">
        <f>F206+(VLOOKUP(D206,'(Semelles.Monument.€HT)'!C:G,4,FALSE()))</f>
        <v>919</v>
      </c>
      <c r="I206" s="22">
        <f>F206+(VLOOKUP(D206,'(Semelles.Monument.€HT)'!C:G,5,FALSE()))</f>
        <v>975</v>
      </c>
    </row>
    <row r="207" spans="1:9" ht="26" customHeight="1">
      <c r="A207" s="2" t="s">
        <v>95</v>
      </c>
      <c r="B207" s="13" t="s">
        <v>150</v>
      </c>
      <c r="C207" s="13" t="s">
        <v>97</v>
      </c>
      <c r="D207" s="13">
        <v>14</v>
      </c>
      <c r="E207" s="2" t="s">
        <v>111</v>
      </c>
      <c r="F207" s="7">
        <v>686</v>
      </c>
      <c r="G207" s="3">
        <f>F207+(VLOOKUP(D207,'(Semelles.Monument.€HT)'!C:G,3,FALSE()))</f>
        <v>869</v>
      </c>
      <c r="H207" s="4">
        <f>F207+(VLOOKUP(D207,'(Semelles.Monument.€HT)'!C:G,4,FALSE()))</f>
        <v>922</v>
      </c>
      <c r="I207" s="5">
        <f>F207+(VLOOKUP(D207,'(Semelles.Monument.€HT)'!C:G,5,FALSE()))</f>
        <v>978</v>
      </c>
    </row>
    <row r="208" spans="1:9" ht="26" customHeight="1">
      <c r="A208" s="17" t="s">
        <v>95</v>
      </c>
      <c r="B208" s="18" t="s">
        <v>150</v>
      </c>
      <c r="C208" s="18" t="s">
        <v>97</v>
      </c>
      <c r="D208" s="18">
        <v>15</v>
      </c>
      <c r="E208" s="17" t="s">
        <v>112</v>
      </c>
      <c r="F208" s="19">
        <v>686</v>
      </c>
      <c r="G208" s="20">
        <f>F208+(VLOOKUP(D208,'(Semelles.Monument.€HT)'!C:G,3,FALSE()))</f>
        <v>869</v>
      </c>
      <c r="H208" s="21">
        <f>F208+(VLOOKUP(D208,'(Semelles.Monument.€HT)'!C:G,4,FALSE()))</f>
        <v>922</v>
      </c>
      <c r="I208" s="22">
        <f>F208+(VLOOKUP(D208,'(Semelles.Monument.€HT)'!C:G,5,FALSE()))</f>
        <v>978</v>
      </c>
    </row>
    <row r="209" spans="1:9" ht="26" customHeight="1">
      <c r="A209" s="2" t="s">
        <v>95</v>
      </c>
      <c r="B209" s="13" t="s">
        <v>150</v>
      </c>
      <c r="C209" s="13" t="s">
        <v>97</v>
      </c>
      <c r="D209" s="13">
        <v>16</v>
      </c>
      <c r="E209" s="2" t="s">
        <v>113</v>
      </c>
      <c r="F209" s="7">
        <v>686</v>
      </c>
      <c r="G209" s="3">
        <f>F209+(VLOOKUP(D209,'(Semelles.Monument.€HT)'!C:G,3,FALSE()))</f>
        <v>869</v>
      </c>
      <c r="H209" s="4">
        <f>F209+(VLOOKUP(D209,'(Semelles.Monument.€HT)'!C:G,4,FALSE()))</f>
        <v>922</v>
      </c>
      <c r="I209" s="5">
        <f>F209+(VLOOKUP(D209,'(Semelles.Monument.€HT)'!C:G,5,FALSE()))</f>
        <v>978</v>
      </c>
    </row>
    <row r="210" spans="1:9" ht="26" customHeight="1">
      <c r="A210" s="17" t="s">
        <v>95</v>
      </c>
      <c r="B210" s="18" t="s">
        <v>150</v>
      </c>
      <c r="C210" s="18" t="s">
        <v>97</v>
      </c>
      <c r="D210" s="18">
        <v>17</v>
      </c>
      <c r="E210" s="17" t="s">
        <v>114</v>
      </c>
      <c r="F210" s="19">
        <v>698</v>
      </c>
      <c r="G210" s="20">
        <f>F210+(VLOOKUP(D210,'(Semelles.Monument.€HT)'!C:G,3,FALSE()))</f>
        <v>884</v>
      </c>
      <c r="H210" s="21">
        <f>F210+(VLOOKUP(D210,'(Semelles.Monument.€HT)'!C:G,4,FALSE()))</f>
        <v>938</v>
      </c>
      <c r="I210" s="22">
        <f>F210+(VLOOKUP(D210,'(Semelles.Monument.€HT)'!C:G,5,FALSE()))</f>
        <v>995</v>
      </c>
    </row>
    <row r="211" spans="1:9" ht="26" customHeight="1">
      <c r="A211" s="2" t="s">
        <v>95</v>
      </c>
      <c r="B211" s="13" t="s">
        <v>150</v>
      </c>
      <c r="C211" s="13" t="s">
        <v>97</v>
      </c>
      <c r="D211" s="13">
        <v>18</v>
      </c>
      <c r="E211" s="2" t="s">
        <v>115</v>
      </c>
      <c r="F211" s="7">
        <v>698</v>
      </c>
      <c r="G211" s="3">
        <f>F211+(VLOOKUP(D211,'(Semelles.Monument.€HT)'!C:G,3,FALSE()))</f>
        <v>884</v>
      </c>
      <c r="H211" s="4">
        <f>F211+(VLOOKUP(D211,'(Semelles.Monument.€HT)'!C:G,4,FALSE()))</f>
        <v>938</v>
      </c>
      <c r="I211" s="5">
        <f>F211+(VLOOKUP(D211,'(Semelles.Monument.€HT)'!C:G,5,FALSE()))</f>
        <v>995</v>
      </c>
    </row>
    <row r="212" spans="1:9" ht="26" customHeight="1">
      <c r="A212" s="17" t="s">
        <v>95</v>
      </c>
      <c r="B212" s="18" t="s">
        <v>150</v>
      </c>
      <c r="C212" s="18" t="s">
        <v>97</v>
      </c>
      <c r="D212" s="18">
        <v>19</v>
      </c>
      <c r="E212" s="17" t="s">
        <v>116</v>
      </c>
      <c r="F212" s="19">
        <v>698</v>
      </c>
      <c r="G212" s="20">
        <f>F212+(VLOOKUP(D212,'(Semelles.Monument.€HT)'!C:G,3,FALSE()))</f>
        <v>884</v>
      </c>
      <c r="H212" s="21">
        <f>F212+(VLOOKUP(D212,'(Semelles.Monument.€HT)'!C:G,4,FALSE()))</f>
        <v>938</v>
      </c>
      <c r="I212" s="22">
        <f>F212+(VLOOKUP(D212,'(Semelles.Monument.€HT)'!C:G,5,FALSE()))</f>
        <v>995</v>
      </c>
    </row>
    <row r="213" spans="1:9" ht="26" customHeight="1">
      <c r="A213" s="2" t="s">
        <v>95</v>
      </c>
      <c r="B213" s="13" t="s">
        <v>150</v>
      </c>
      <c r="C213" s="13" t="s">
        <v>97</v>
      </c>
      <c r="D213" s="13">
        <v>20</v>
      </c>
      <c r="E213" s="2" t="s">
        <v>117</v>
      </c>
      <c r="F213" s="7">
        <v>703</v>
      </c>
      <c r="G213" s="3">
        <f>F213+(VLOOKUP(D213,'(Semelles.Monument.€HT)'!C:G,3,FALSE()))</f>
        <v>891</v>
      </c>
      <c r="H213" s="4">
        <f>F213+(VLOOKUP(D213,'(Semelles.Monument.€HT)'!C:G,4,FALSE()))</f>
        <v>945</v>
      </c>
      <c r="I213" s="5">
        <f>F213+(VLOOKUP(D213,'(Semelles.Monument.€HT)'!C:G,5,FALSE()))</f>
        <v>1002</v>
      </c>
    </row>
    <row r="214" spans="1:9" ht="26" customHeight="1">
      <c r="A214" s="17" t="s">
        <v>95</v>
      </c>
      <c r="B214" s="18" t="s">
        <v>150</v>
      </c>
      <c r="C214" s="18" t="s">
        <v>97</v>
      </c>
      <c r="D214" s="18">
        <v>21</v>
      </c>
      <c r="E214" s="17" t="s">
        <v>118</v>
      </c>
      <c r="F214" s="19">
        <v>708</v>
      </c>
      <c r="G214" s="20">
        <f>F214+(VLOOKUP(D214,'(Semelles.Monument.€HT)'!C:G,3,FALSE()))</f>
        <v>897</v>
      </c>
      <c r="H214" s="21">
        <f>F214+(VLOOKUP(D214,'(Semelles.Monument.€HT)'!C:G,4,FALSE()))</f>
        <v>951</v>
      </c>
      <c r="I214" s="22">
        <f>F214+(VLOOKUP(D214,'(Semelles.Monument.€HT)'!C:G,5,FALSE()))</f>
        <v>1009</v>
      </c>
    </row>
    <row r="215" spans="1:9" ht="26" customHeight="1">
      <c r="A215" s="2" t="s">
        <v>95</v>
      </c>
      <c r="B215" s="13" t="s">
        <v>150</v>
      </c>
      <c r="C215" s="13" t="s">
        <v>97</v>
      </c>
      <c r="D215" s="13">
        <v>22</v>
      </c>
      <c r="E215" s="2" t="s">
        <v>119</v>
      </c>
      <c r="F215" s="7">
        <v>708</v>
      </c>
      <c r="G215" s="3">
        <f>F215+(VLOOKUP(D215,'(Semelles.Monument.€HT)'!C:G,3,FALSE()))</f>
        <v>897</v>
      </c>
      <c r="H215" s="4">
        <f>F215+(VLOOKUP(D215,'(Semelles.Monument.€HT)'!C:G,4,FALSE()))</f>
        <v>951</v>
      </c>
      <c r="I215" s="5">
        <f>F215+(VLOOKUP(D215,'(Semelles.Monument.€HT)'!C:G,5,FALSE()))</f>
        <v>1009</v>
      </c>
    </row>
    <row r="216" spans="1:9" ht="26" customHeight="1">
      <c r="A216" s="17" t="s">
        <v>95</v>
      </c>
      <c r="B216" s="18" t="s">
        <v>150</v>
      </c>
      <c r="C216" s="18" t="s">
        <v>97</v>
      </c>
      <c r="D216" s="18">
        <v>23</v>
      </c>
      <c r="E216" s="17" t="s">
        <v>120</v>
      </c>
      <c r="F216" s="19">
        <v>719</v>
      </c>
      <c r="G216" s="20">
        <f>F216+(VLOOKUP(D216,'(Semelles.Monument.€HT)'!C:G,3,FALSE()))</f>
        <v>911</v>
      </c>
      <c r="H216" s="21">
        <f>F216+(VLOOKUP(D216,'(Semelles.Monument.€HT)'!C:G,4,FALSE()))</f>
        <v>966</v>
      </c>
      <c r="I216" s="22">
        <f>F216+(VLOOKUP(D216,'(Semelles.Monument.€HT)'!C:G,5,FALSE()))</f>
        <v>1024</v>
      </c>
    </row>
    <row r="217" spans="1:9" ht="26" customHeight="1">
      <c r="A217" s="2" t="s">
        <v>95</v>
      </c>
      <c r="B217" s="13" t="s">
        <v>150</v>
      </c>
      <c r="C217" s="13" t="s">
        <v>97</v>
      </c>
      <c r="D217" s="13">
        <v>24</v>
      </c>
      <c r="E217" s="2" t="s">
        <v>121</v>
      </c>
      <c r="F217" s="7">
        <v>719</v>
      </c>
      <c r="G217" s="3">
        <f>F217+(VLOOKUP(D217,'(Semelles.Monument.€HT)'!C:G,3,FALSE()))</f>
        <v>911</v>
      </c>
      <c r="H217" s="4">
        <f>F217+(VLOOKUP(D217,'(Semelles.Monument.€HT)'!C:G,4,FALSE()))</f>
        <v>966</v>
      </c>
      <c r="I217" s="5">
        <f>F217+(VLOOKUP(D217,'(Semelles.Monument.€HT)'!C:G,5,FALSE()))</f>
        <v>1024</v>
      </c>
    </row>
    <row r="218" spans="1:9" ht="26" customHeight="1">
      <c r="A218" s="17" t="s">
        <v>95</v>
      </c>
      <c r="B218" s="18" t="s">
        <v>150</v>
      </c>
      <c r="C218" s="18" t="s">
        <v>97</v>
      </c>
      <c r="D218" s="18">
        <v>25</v>
      </c>
      <c r="E218" s="17" t="s">
        <v>122</v>
      </c>
      <c r="F218" s="19">
        <v>719</v>
      </c>
      <c r="G218" s="20">
        <f>F218+(VLOOKUP(D218,'(Semelles.Monument.€HT)'!C:G,3,FALSE()))</f>
        <v>911</v>
      </c>
      <c r="H218" s="21">
        <f>F218+(VLOOKUP(D218,'(Semelles.Monument.€HT)'!C:G,4,FALSE()))</f>
        <v>966</v>
      </c>
      <c r="I218" s="22">
        <f>F218+(VLOOKUP(D218,'(Semelles.Monument.€HT)'!C:G,5,FALSE()))</f>
        <v>1024</v>
      </c>
    </row>
    <row r="219" spans="1:9" ht="26" customHeight="1">
      <c r="A219" s="2" t="s">
        <v>95</v>
      </c>
      <c r="B219" s="13" t="s">
        <v>150</v>
      </c>
      <c r="C219" s="13" t="s">
        <v>97</v>
      </c>
      <c r="D219" s="13">
        <v>26</v>
      </c>
      <c r="E219" s="2" t="s">
        <v>123</v>
      </c>
      <c r="F219" s="7">
        <v>731</v>
      </c>
      <c r="G219" s="3">
        <f>F219+(VLOOKUP(D219,'(Semelles.Monument.€HT)'!C:G,3,FALSE()))</f>
        <v>926</v>
      </c>
      <c r="H219" s="4">
        <f>F219+(VLOOKUP(D219,'(Semelles.Monument.€HT)'!C:G,4,FALSE()))</f>
        <v>982</v>
      </c>
      <c r="I219" s="5">
        <f>F219+(VLOOKUP(D219,'(Semelles.Monument.€HT)'!C:G,5,FALSE()))</f>
        <v>1041</v>
      </c>
    </row>
    <row r="220" spans="1:9" ht="26" customHeight="1">
      <c r="A220" s="17" t="s">
        <v>95</v>
      </c>
      <c r="B220" s="18" t="s">
        <v>150</v>
      </c>
      <c r="C220" s="18" t="s">
        <v>97</v>
      </c>
      <c r="D220" s="18">
        <v>27</v>
      </c>
      <c r="E220" s="17" t="s">
        <v>124</v>
      </c>
      <c r="F220" s="19">
        <v>779</v>
      </c>
      <c r="G220" s="20">
        <f>F220+(VLOOKUP(D220,'(Semelles.Monument.€HT)'!C:G,3,FALSE()))</f>
        <v>987</v>
      </c>
      <c r="H220" s="21">
        <f>F220+(VLOOKUP(D220,'(Semelles.Monument.€HT)'!C:G,4,FALSE()))</f>
        <v>1047</v>
      </c>
      <c r="I220" s="22">
        <f>F220+(VLOOKUP(D220,'(Semelles.Monument.€HT)'!C:G,5,FALSE()))</f>
        <v>1146</v>
      </c>
    </row>
    <row r="221" spans="1:9" ht="26" customHeight="1">
      <c r="A221" s="2" t="s">
        <v>95</v>
      </c>
      <c r="B221" s="13" t="s">
        <v>150</v>
      </c>
      <c r="C221" s="13" t="s">
        <v>97</v>
      </c>
      <c r="D221" s="13">
        <v>28</v>
      </c>
      <c r="E221" s="2" t="s">
        <v>125</v>
      </c>
      <c r="F221" s="7">
        <v>863</v>
      </c>
      <c r="G221" s="3">
        <f>F221+(VLOOKUP(D221,'(Semelles.Monument.€HT)'!C:G,3,FALSE()))</f>
        <v>1093</v>
      </c>
      <c r="H221" s="4">
        <f>F221+(VLOOKUP(D221,'(Semelles.Monument.€HT)'!C:G,4,FALSE()))</f>
        <v>1160</v>
      </c>
      <c r="I221" s="5">
        <f>F221+(VLOOKUP(D221,'(Semelles.Monument.€HT)'!C:G,5,FALSE()))</f>
        <v>1230</v>
      </c>
    </row>
    <row r="222" spans="1:9" ht="26" customHeight="1">
      <c r="A222" s="17" t="s">
        <v>95</v>
      </c>
      <c r="B222" s="18" t="s">
        <v>150</v>
      </c>
      <c r="C222" s="18" t="s">
        <v>97</v>
      </c>
      <c r="D222" s="18">
        <v>29</v>
      </c>
      <c r="E222" s="17" t="s">
        <v>126</v>
      </c>
      <c r="F222" s="19">
        <v>899</v>
      </c>
      <c r="G222" s="20">
        <f>F222+(VLOOKUP(D222,'(Semelles.Monument.€HT)'!C:G,3,FALSE()))</f>
        <v>1139</v>
      </c>
      <c r="H222" s="21">
        <f>F222+(VLOOKUP(D222,'(Semelles.Monument.€HT)'!C:G,4,FALSE()))</f>
        <v>1208</v>
      </c>
      <c r="I222" s="22">
        <f>F222+(VLOOKUP(D222,'(Semelles.Monument.€HT)'!C:G,5,FALSE()))</f>
        <v>1281</v>
      </c>
    </row>
    <row r="223" spans="1:9" ht="26" customHeight="1">
      <c r="A223" s="2" t="s">
        <v>95</v>
      </c>
      <c r="B223" s="13" t="s">
        <v>150</v>
      </c>
      <c r="C223" s="13" t="s">
        <v>97</v>
      </c>
      <c r="D223" s="13">
        <v>30</v>
      </c>
      <c r="E223" s="2" t="s">
        <v>127</v>
      </c>
      <c r="F223" s="7">
        <v>899</v>
      </c>
      <c r="G223" s="3">
        <f>F223+(VLOOKUP(D223,'(Semelles.Monument.€HT)'!C:G,3,FALSE()))</f>
        <v>1139</v>
      </c>
      <c r="H223" s="4">
        <f>F223+(VLOOKUP(D223,'(Semelles.Monument.€HT)'!C:G,4,FALSE()))</f>
        <v>1208</v>
      </c>
      <c r="I223" s="5">
        <f>F223+(VLOOKUP(D223,'(Semelles.Monument.€HT)'!C:G,5,FALSE()))</f>
        <v>1281</v>
      </c>
    </row>
    <row r="224" spans="1:9" ht="26" customHeight="1">
      <c r="A224" s="17" t="s">
        <v>95</v>
      </c>
      <c r="B224" s="18" t="s">
        <v>150</v>
      </c>
      <c r="C224" s="18" t="s">
        <v>128</v>
      </c>
      <c r="D224" s="18">
        <v>31</v>
      </c>
      <c r="E224" s="17" t="s">
        <v>129</v>
      </c>
      <c r="F224" s="19">
        <v>520</v>
      </c>
      <c r="G224" s="20">
        <f>F224+(VLOOKUP(D224,'(Semelles.Monument.€HT)'!C:G,3,FALSE()))</f>
        <v>652</v>
      </c>
      <c r="H224" s="21">
        <f>F224+(VLOOKUP(D224,'(Semelles.Monument.€HT)'!C:G,4,FALSE()))</f>
        <v>690</v>
      </c>
      <c r="I224" s="22">
        <f>F224+(VLOOKUP(D224,'(Semelles.Monument.€HT)'!C:G,5,FALSE()))</f>
        <v>730</v>
      </c>
    </row>
    <row r="225" spans="1:9" ht="26" customHeight="1">
      <c r="A225" s="2" t="s">
        <v>95</v>
      </c>
      <c r="B225" s="13" t="s">
        <v>150</v>
      </c>
      <c r="C225" s="13" t="s">
        <v>128</v>
      </c>
      <c r="D225" s="13">
        <v>32</v>
      </c>
      <c r="E225" s="2" t="s">
        <v>130</v>
      </c>
      <c r="F225" s="7">
        <v>527</v>
      </c>
      <c r="G225" s="3">
        <f>F225+(VLOOKUP(D225,'(Semelles.Monument.€HT)'!C:G,3,FALSE()))</f>
        <v>661</v>
      </c>
      <c r="H225" s="4">
        <f>F225+(VLOOKUP(D225,'(Semelles.Monument.€HT)'!C:G,4,FALSE()))</f>
        <v>700</v>
      </c>
      <c r="I225" s="5">
        <f>F225+(VLOOKUP(D225,'(Semelles.Monument.€HT)'!C:G,5,FALSE()))</f>
        <v>740</v>
      </c>
    </row>
    <row r="226" spans="1:9" ht="26" customHeight="1">
      <c r="A226" s="17" t="s">
        <v>95</v>
      </c>
      <c r="B226" s="18" t="s">
        <v>150</v>
      </c>
      <c r="C226" s="18" t="s">
        <v>128</v>
      </c>
      <c r="D226" s="18">
        <v>33</v>
      </c>
      <c r="E226" s="17" t="s">
        <v>131</v>
      </c>
      <c r="F226" s="19">
        <v>527</v>
      </c>
      <c r="G226" s="20">
        <f>F226+(VLOOKUP(D226,'(Semelles.Monument.€HT)'!C:G,3,FALSE()))</f>
        <v>661</v>
      </c>
      <c r="H226" s="21">
        <f>F226+(VLOOKUP(D226,'(Semelles.Monument.€HT)'!C:G,4,FALSE()))</f>
        <v>700</v>
      </c>
      <c r="I226" s="22">
        <f>F226+(VLOOKUP(D226,'(Semelles.Monument.€HT)'!C:G,5,FALSE()))</f>
        <v>740</v>
      </c>
    </row>
    <row r="227" spans="1:9" ht="26" customHeight="1">
      <c r="A227" s="2" t="s">
        <v>95</v>
      </c>
      <c r="B227" s="13" t="s">
        <v>150</v>
      </c>
      <c r="C227" s="13" t="s">
        <v>128</v>
      </c>
      <c r="D227" s="13">
        <v>34</v>
      </c>
      <c r="E227" s="2" t="s">
        <v>132</v>
      </c>
      <c r="F227" s="7">
        <v>532</v>
      </c>
      <c r="G227" s="3">
        <f>F227+(VLOOKUP(D227,'(Semelles.Monument.€HT)'!C:G,3,FALSE()))</f>
        <v>667</v>
      </c>
      <c r="H227" s="4">
        <f>F227+(VLOOKUP(D227,'(Semelles.Monument.€HT)'!C:G,4,FALSE()))</f>
        <v>706</v>
      </c>
      <c r="I227" s="5">
        <f>F227+(VLOOKUP(D227,'(Semelles.Monument.€HT)'!C:G,5,FALSE()))</f>
        <v>747</v>
      </c>
    </row>
    <row r="228" spans="1:9" ht="26" customHeight="1">
      <c r="A228" s="17" t="s">
        <v>95</v>
      </c>
      <c r="B228" s="18" t="s">
        <v>150</v>
      </c>
      <c r="C228" s="18" t="s">
        <v>128</v>
      </c>
      <c r="D228" s="18">
        <v>35</v>
      </c>
      <c r="E228" s="17" t="s">
        <v>133</v>
      </c>
      <c r="F228" s="19">
        <v>635</v>
      </c>
      <c r="G228" s="20">
        <f>F228+(VLOOKUP(D228,'(Semelles.Monument.€HT)'!C:G,3,FALSE()))</f>
        <v>798</v>
      </c>
      <c r="H228" s="21">
        <f>F228+(VLOOKUP(D228,'(Semelles.Monument.€HT)'!C:G,4,FALSE()))</f>
        <v>845</v>
      </c>
      <c r="I228" s="22">
        <f>F228+(VLOOKUP(D228,'(Semelles.Monument.€HT)'!C:G,5,FALSE()))</f>
        <v>894</v>
      </c>
    </row>
    <row r="229" spans="1:9" ht="26" customHeight="1">
      <c r="A229" s="2" t="s">
        <v>95</v>
      </c>
      <c r="B229" s="13" t="s">
        <v>150</v>
      </c>
      <c r="C229" s="13" t="s">
        <v>128</v>
      </c>
      <c r="D229" s="13">
        <v>36</v>
      </c>
      <c r="E229" s="2" t="s">
        <v>134</v>
      </c>
      <c r="F229" s="7">
        <v>656</v>
      </c>
      <c r="G229" s="3">
        <f>F229+(VLOOKUP(D229,'(Semelles.Monument.€HT)'!C:G,3,FALSE()))</f>
        <v>824</v>
      </c>
      <c r="H229" s="4">
        <f>F229+(VLOOKUP(D229,'(Semelles.Monument.€HT)'!C:G,4,FALSE()))</f>
        <v>873</v>
      </c>
      <c r="I229" s="5">
        <f>F229+(VLOOKUP(D229,'(Semelles.Monument.€HT)'!C:G,5,FALSE()))</f>
        <v>924</v>
      </c>
    </row>
    <row r="230" spans="1:9" ht="26" customHeight="1">
      <c r="A230" s="17" t="s">
        <v>95</v>
      </c>
      <c r="B230" s="18" t="s">
        <v>150</v>
      </c>
      <c r="C230" s="18" t="s">
        <v>128</v>
      </c>
      <c r="D230" s="18">
        <v>37</v>
      </c>
      <c r="E230" s="17" t="s">
        <v>135</v>
      </c>
      <c r="F230" s="19">
        <v>805</v>
      </c>
      <c r="G230" s="20">
        <f>F230+(VLOOKUP(D230,'(Semelles.Monument.€HT)'!C:G,3,FALSE()))</f>
        <v>1013</v>
      </c>
      <c r="H230" s="21">
        <f>F230+(VLOOKUP(D230,'(Semelles.Monument.€HT)'!C:G,4,FALSE()))</f>
        <v>1073</v>
      </c>
      <c r="I230" s="22">
        <f>F230+(VLOOKUP(D230,'(Semelles.Monument.€HT)'!C:G,5,FALSE()))</f>
        <v>1137</v>
      </c>
    </row>
    <row r="231" spans="1:9" ht="26" customHeight="1">
      <c r="A231" s="2" t="s">
        <v>95</v>
      </c>
      <c r="B231" s="13" t="s">
        <v>150</v>
      </c>
      <c r="C231" s="13" t="s">
        <v>128</v>
      </c>
      <c r="D231" s="13">
        <v>38</v>
      </c>
      <c r="E231" s="2" t="s">
        <v>136</v>
      </c>
      <c r="F231" s="7">
        <v>851</v>
      </c>
      <c r="G231" s="3">
        <f>F231+(VLOOKUP(D231,'(Semelles.Monument.€HT)'!C:G,3,FALSE()))</f>
        <v>1071</v>
      </c>
      <c r="H231" s="4">
        <f>F231+(VLOOKUP(D231,'(Semelles.Monument.€HT)'!C:G,4,FALSE()))</f>
        <v>1135</v>
      </c>
      <c r="I231" s="5">
        <f>F231+(VLOOKUP(D231,'(Semelles.Monument.€HT)'!C:G,5,FALSE()))</f>
        <v>1202</v>
      </c>
    </row>
    <row r="232" spans="1:9" ht="26" customHeight="1">
      <c r="A232" s="17" t="s">
        <v>95</v>
      </c>
      <c r="B232" s="18" t="s">
        <v>150</v>
      </c>
      <c r="C232" s="18" t="s">
        <v>128</v>
      </c>
      <c r="D232" s="18">
        <v>39</v>
      </c>
      <c r="E232" s="17" t="s">
        <v>137</v>
      </c>
      <c r="F232" s="19">
        <v>872</v>
      </c>
      <c r="G232" s="20">
        <f>F232+(VLOOKUP(D232,'(Semelles.Monument.€HT)'!C:G,3,FALSE()))</f>
        <v>1098</v>
      </c>
      <c r="H232" s="21">
        <f>F232+(VLOOKUP(D232,'(Semelles.Monument.€HT)'!C:G,4,FALSE()))</f>
        <v>1163</v>
      </c>
      <c r="I232" s="22">
        <f>F232+(VLOOKUP(D232,'(Semelles.Monument.€HT)'!C:G,5,FALSE()))</f>
        <v>1232</v>
      </c>
    </row>
    <row r="233" spans="1:9" ht="26" customHeight="1">
      <c r="A233" s="2" t="s">
        <v>95</v>
      </c>
      <c r="B233" s="13" t="s">
        <v>150</v>
      </c>
      <c r="C233" s="13" t="s">
        <v>128</v>
      </c>
      <c r="D233" s="13">
        <v>40</v>
      </c>
      <c r="E233" s="2" t="s">
        <v>138</v>
      </c>
      <c r="F233" s="7">
        <v>896</v>
      </c>
      <c r="G233" s="3">
        <f>F233+(VLOOKUP(D233,'(Semelles.Monument.€HT)'!C:G,3,FALSE()))</f>
        <v>1128</v>
      </c>
      <c r="H233" s="4">
        <f>F233+(VLOOKUP(D233,'(Semelles.Monument.€HT)'!C:G,4,FALSE()))</f>
        <v>1196</v>
      </c>
      <c r="I233" s="5">
        <f>F233+(VLOOKUP(D233,'(Semelles.Monument.€HT)'!C:G,5,FALSE()))</f>
        <v>1266</v>
      </c>
    </row>
    <row r="234" spans="1:9" ht="26" customHeight="1">
      <c r="A234" s="17" t="s">
        <v>95</v>
      </c>
      <c r="B234" s="18" t="s">
        <v>150</v>
      </c>
      <c r="C234" s="18" t="s">
        <v>128</v>
      </c>
      <c r="D234" s="18">
        <v>41</v>
      </c>
      <c r="E234" s="17" t="s">
        <v>139</v>
      </c>
      <c r="F234" s="19">
        <v>952</v>
      </c>
      <c r="G234" s="20">
        <f>F234+(VLOOKUP(D234,'(Semelles.Monument.€HT)'!C:G,3,FALSE()))</f>
        <v>1199</v>
      </c>
      <c r="H234" s="21">
        <f>F234+(VLOOKUP(D234,'(Semelles.Monument.€HT)'!C:G,4,FALSE()))</f>
        <v>1271</v>
      </c>
      <c r="I234" s="22">
        <f>F234+(VLOOKUP(D234,'(Semelles.Monument.€HT)'!C:G,5,FALSE()))</f>
        <v>1346</v>
      </c>
    </row>
    <row r="235" spans="1:9" ht="26" customHeight="1">
      <c r="A235" s="2" t="s">
        <v>95</v>
      </c>
      <c r="B235" s="13" t="s">
        <v>150</v>
      </c>
      <c r="C235" s="13" t="s">
        <v>128</v>
      </c>
      <c r="D235" s="13">
        <v>42</v>
      </c>
      <c r="E235" s="2" t="s">
        <v>140</v>
      </c>
      <c r="F235" s="7">
        <v>1043</v>
      </c>
      <c r="G235" s="3">
        <f>F235+(VLOOKUP(D235,'(Semelles.Monument.€HT)'!C:G,3,FALSE()))</f>
        <v>1314</v>
      </c>
      <c r="H235" s="4">
        <f>F235+(VLOOKUP(D235,'(Semelles.Monument.€HT)'!C:G,4,FALSE()))</f>
        <v>1393</v>
      </c>
      <c r="I235" s="5">
        <f>F235+(VLOOKUP(D235,'(Semelles.Monument.€HT)'!C:G,5,FALSE()))</f>
        <v>1476</v>
      </c>
    </row>
    <row r="236" spans="1:9" ht="26" customHeight="1">
      <c r="A236" s="17" t="s">
        <v>95</v>
      </c>
      <c r="B236" s="18" t="s">
        <v>150</v>
      </c>
      <c r="C236" s="18" t="s">
        <v>128</v>
      </c>
      <c r="D236" s="18">
        <v>43</v>
      </c>
      <c r="E236" s="17" t="s">
        <v>141</v>
      </c>
      <c r="F236" s="19">
        <v>1043</v>
      </c>
      <c r="G236" s="20">
        <f>F236+(VLOOKUP(D236,'(Semelles.Monument.€HT)'!C:G,3,FALSE()))</f>
        <v>1314</v>
      </c>
      <c r="H236" s="21">
        <f>F236+(VLOOKUP(D236,'(Semelles.Monument.€HT)'!C:G,4,FALSE()))</f>
        <v>1393</v>
      </c>
      <c r="I236" s="22">
        <f>F236+(VLOOKUP(D236,'(Semelles.Monument.€HT)'!C:G,5,FALSE()))</f>
        <v>1476</v>
      </c>
    </row>
    <row r="237" spans="1:9" ht="26" customHeight="1">
      <c r="A237" s="2" t="s">
        <v>95</v>
      </c>
      <c r="B237" s="13" t="s">
        <v>150</v>
      </c>
      <c r="C237" s="13" t="s">
        <v>128</v>
      </c>
      <c r="D237" s="13">
        <v>44</v>
      </c>
      <c r="E237" s="2" t="s">
        <v>142</v>
      </c>
      <c r="F237" s="7">
        <v>1055</v>
      </c>
      <c r="G237" s="3">
        <f>F237+(VLOOKUP(D237,'(Semelles.Monument.€HT)'!C:G,3,FALSE()))</f>
        <v>1330</v>
      </c>
      <c r="H237" s="4">
        <f>F237+(VLOOKUP(D237,'(Semelles.Monument.€HT)'!C:G,4,FALSE()))</f>
        <v>1409</v>
      </c>
      <c r="I237" s="5">
        <f>F237+(VLOOKUP(D237,'(Semelles.Monument.€HT)'!C:G,5,FALSE()))</f>
        <v>1493</v>
      </c>
    </row>
    <row r="238" spans="1:9" ht="26" customHeight="1">
      <c r="A238" s="17" t="s">
        <v>95</v>
      </c>
      <c r="B238" s="18" t="s">
        <v>150</v>
      </c>
      <c r="C238" s="18" t="s">
        <v>128</v>
      </c>
      <c r="D238" s="18">
        <v>45</v>
      </c>
      <c r="E238" s="17" t="s">
        <v>143</v>
      </c>
      <c r="F238" s="19">
        <v>1067</v>
      </c>
      <c r="G238" s="20">
        <f>F238+(VLOOKUP(D238,'(Semelles.Monument.€HT)'!C:G,3,FALSE()))</f>
        <v>1345</v>
      </c>
      <c r="H238" s="21">
        <f>F238+(VLOOKUP(D238,'(Semelles.Monument.€HT)'!C:G,4,FALSE()))</f>
        <v>1425</v>
      </c>
      <c r="I238" s="22">
        <f>F238+(VLOOKUP(D238,'(Semelles.Monument.€HT)'!C:G,5,FALSE()))</f>
        <v>1510</v>
      </c>
    </row>
    <row r="239" spans="1:9" ht="26" customHeight="1">
      <c r="A239" s="2" t="s">
        <v>95</v>
      </c>
      <c r="B239" s="13" t="s">
        <v>150</v>
      </c>
      <c r="C239" s="13" t="s">
        <v>128</v>
      </c>
      <c r="D239" s="13">
        <v>46</v>
      </c>
      <c r="E239" s="2" t="s">
        <v>144</v>
      </c>
      <c r="F239" s="7">
        <v>1067</v>
      </c>
      <c r="G239" s="3">
        <f>F239+(VLOOKUP(D239,'(Semelles.Monument.€HT)'!C:G,3,FALSE()))</f>
        <v>1345</v>
      </c>
      <c r="H239" s="4">
        <f>F239+(VLOOKUP(D239,'(Semelles.Monument.€HT)'!C:G,4,FALSE()))</f>
        <v>1425</v>
      </c>
      <c r="I239" s="5">
        <f>F239+(VLOOKUP(D239,'(Semelles.Monument.€HT)'!C:G,5,FALSE()))</f>
        <v>1510</v>
      </c>
    </row>
    <row r="240" spans="1:9" ht="26" customHeight="1">
      <c r="A240" s="17" t="s">
        <v>95</v>
      </c>
      <c r="B240" s="18" t="s">
        <v>150</v>
      </c>
      <c r="C240" s="18" t="s">
        <v>128</v>
      </c>
      <c r="D240" s="18">
        <v>47</v>
      </c>
      <c r="E240" s="17" t="s">
        <v>145</v>
      </c>
      <c r="F240" s="19">
        <v>1088</v>
      </c>
      <c r="G240" s="20">
        <f>F240+(VLOOKUP(D240,'(Semelles.Monument.€HT)'!C:G,3,FALSE()))</f>
        <v>1372</v>
      </c>
      <c r="H240" s="21">
        <f>F240+(VLOOKUP(D240,'(Semelles.Monument.€HT)'!C:G,4,FALSE()))</f>
        <v>1454</v>
      </c>
      <c r="I240" s="22">
        <f>F240+(VLOOKUP(D240,'(Semelles.Monument.€HT)'!C:G,5,FALSE()))</f>
        <v>1540</v>
      </c>
    </row>
    <row r="241" spans="1:9" ht="26" customHeight="1">
      <c r="A241" s="2" t="s">
        <v>95</v>
      </c>
      <c r="B241" s="13" t="s">
        <v>150</v>
      </c>
      <c r="C241" s="13" t="s">
        <v>128</v>
      </c>
      <c r="D241" s="13">
        <v>48</v>
      </c>
      <c r="E241" s="2" t="s">
        <v>146</v>
      </c>
      <c r="F241" s="7">
        <v>1100</v>
      </c>
      <c r="G241" s="3">
        <f>F241+(VLOOKUP(D241,'(Semelles.Monument.€HT)'!C:G,3,FALSE()))</f>
        <v>1387</v>
      </c>
      <c r="H241" s="4">
        <f>F241+(VLOOKUP(D241,'(Semelles.Monument.€HT)'!C:G,4,FALSE()))</f>
        <v>1470</v>
      </c>
      <c r="I241" s="5">
        <f>F241+(VLOOKUP(D241,'(Semelles.Monument.€HT)'!C:G,5,FALSE()))</f>
        <v>1557</v>
      </c>
    </row>
    <row r="242" spans="1:9" ht="26" customHeight="1">
      <c r="A242" s="17" t="s">
        <v>95</v>
      </c>
      <c r="B242" s="18" t="s">
        <v>151</v>
      </c>
      <c r="C242" s="18" t="s">
        <v>97</v>
      </c>
      <c r="D242" s="18">
        <v>1</v>
      </c>
      <c r="E242" s="17" t="s">
        <v>98</v>
      </c>
      <c r="F242" s="19">
        <v>616</v>
      </c>
      <c r="G242" s="20">
        <f>F242+(VLOOKUP(D242,'(Semelles.Monument.€HT)'!C:G,3,FALSE()))</f>
        <v>774</v>
      </c>
      <c r="H242" s="21">
        <f>F242+(VLOOKUP(D242,'(Semelles.Monument.€HT)'!C:G,4,FALSE()))</f>
        <v>820</v>
      </c>
      <c r="I242" s="22">
        <f>F242+(VLOOKUP(D242,'(Semelles.Monument.€HT)'!C:G,5,FALSE()))</f>
        <v>868</v>
      </c>
    </row>
    <row r="243" spans="1:9" ht="26" customHeight="1">
      <c r="A243" s="2" t="s">
        <v>95</v>
      </c>
      <c r="B243" s="13" t="s">
        <v>151</v>
      </c>
      <c r="C243" s="13" t="s">
        <v>97</v>
      </c>
      <c r="D243" s="13">
        <v>2</v>
      </c>
      <c r="E243" s="2" t="s">
        <v>99</v>
      </c>
      <c r="F243" s="7">
        <v>615</v>
      </c>
      <c r="G243" s="3">
        <f>F243+(VLOOKUP(D243,'(Semelles.Monument.€HT)'!C:G,3,FALSE()))</f>
        <v>773</v>
      </c>
      <c r="H243" s="4">
        <f>F243+(VLOOKUP(D243,'(Semelles.Monument.€HT)'!C:G,4,FALSE()))</f>
        <v>819</v>
      </c>
      <c r="I243" s="5">
        <f>F243+(VLOOKUP(D243,'(Semelles.Monument.€HT)'!C:G,5,FALSE()))</f>
        <v>867</v>
      </c>
    </row>
    <row r="244" spans="1:9" ht="26" customHeight="1">
      <c r="A244" s="17" t="s">
        <v>95</v>
      </c>
      <c r="B244" s="18" t="s">
        <v>151</v>
      </c>
      <c r="C244" s="18" t="s">
        <v>97</v>
      </c>
      <c r="D244" s="18">
        <v>3</v>
      </c>
      <c r="E244" s="17" t="s">
        <v>100</v>
      </c>
      <c r="F244" s="19">
        <v>685</v>
      </c>
      <c r="G244" s="20">
        <f>F244+(VLOOKUP(D244,'(Semelles.Monument.€HT)'!C:G,3,FALSE()))</f>
        <v>861</v>
      </c>
      <c r="H244" s="21">
        <f>F244+(VLOOKUP(D244,'(Semelles.Monument.€HT)'!C:G,4,FALSE()))</f>
        <v>912</v>
      </c>
      <c r="I244" s="22">
        <f>F244+(VLOOKUP(D244,'(Semelles.Monument.€HT)'!C:G,5,FALSE()))</f>
        <v>965</v>
      </c>
    </row>
    <row r="245" spans="1:9" ht="26" customHeight="1">
      <c r="A245" s="2" t="s">
        <v>95</v>
      </c>
      <c r="B245" s="13" t="s">
        <v>151</v>
      </c>
      <c r="C245" s="13" t="s">
        <v>97</v>
      </c>
      <c r="D245" s="13">
        <v>4</v>
      </c>
      <c r="E245" s="2" t="s">
        <v>101</v>
      </c>
      <c r="F245" s="7">
        <v>696</v>
      </c>
      <c r="G245" s="3">
        <f>F245+(VLOOKUP(D245,'(Semelles.Monument.€HT)'!C:G,3,FALSE()))</f>
        <v>875</v>
      </c>
      <c r="H245" s="4">
        <f>F245+(VLOOKUP(D245,'(Semelles.Monument.€HT)'!C:G,4,FALSE()))</f>
        <v>927</v>
      </c>
      <c r="I245" s="5">
        <f>F245+(VLOOKUP(D245,'(Semelles.Monument.€HT)'!C:G,5,FALSE()))</f>
        <v>981</v>
      </c>
    </row>
    <row r="246" spans="1:9" ht="26" customHeight="1">
      <c r="A246" s="17" t="s">
        <v>95</v>
      </c>
      <c r="B246" s="18" t="s">
        <v>151</v>
      </c>
      <c r="C246" s="18" t="s">
        <v>97</v>
      </c>
      <c r="D246" s="18">
        <v>5</v>
      </c>
      <c r="E246" s="17" t="s">
        <v>102</v>
      </c>
      <c r="F246" s="19">
        <v>696</v>
      </c>
      <c r="G246" s="20">
        <f>F246+(VLOOKUP(D246,'(Semelles.Monument.€HT)'!C:G,3,FALSE()))</f>
        <v>875</v>
      </c>
      <c r="H246" s="21">
        <f>F246+(VLOOKUP(D246,'(Semelles.Monument.€HT)'!C:G,4,FALSE()))</f>
        <v>927</v>
      </c>
      <c r="I246" s="22">
        <f>F246+(VLOOKUP(D246,'(Semelles.Monument.€HT)'!C:G,5,FALSE()))</f>
        <v>981</v>
      </c>
    </row>
    <row r="247" spans="1:9" ht="26" customHeight="1">
      <c r="A247" s="2" t="s">
        <v>95</v>
      </c>
      <c r="B247" s="13" t="s">
        <v>151</v>
      </c>
      <c r="C247" s="13" t="s">
        <v>97</v>
      </c>
      <c r="D247" s="13">
        <v>6</v>
      </c>
      <c r="E247" s="2" t="s">
        <v>103</v>
      </c>
      <c r="F247" s="7">
        <v>699</v>
      </c>
      <c r="G247" s="3">
        <f>F247+(VLOOKUP(D247,'(Semelles.Monument.€HT)'!C:G,3,FALSE()))</f>
        <v>879</v>
      </c>
      <c r="H247" s="4">
        <f>F247+(VLOOKUP(D247,'(Semelles.Monument.€HT)'!C:G,4,FALSE()))</f>
        <v>931</v>
      </c>
      <c r="I247" s="5">
        <f>F247+(VLOOKUP(D247,'(Semelles.Monument.€HT)'!C:G,5,FALSE()))</f>
        <v>986</v>
      </c>
    </row>
    <row r="248" spans="1:9" ht="26" customHeight="1">
      <c r="A248" s="17" t="s">
        <v>95</v>
      </c>
      <c r="B248" s="18" t="s">
        <v>151</v>
      </c>
      <c r="C248" s="18" t="s">
        <v>97</v>
      </c>
      <c r="D248" s="18">
        <v>7</v>
      </c>
      <c r="E248" s="17" t="s">
        <v>104</v>
      </c>
      <c r="F248" s="19">
        <v>699</v>
      </c>
      <c r="G248" s="20">
        <f>F248+(VLOOKUP(D248,'(Semelles.Monument.€HT)'!C:G,3,FALSE()))</f>
        <v>879</v>
      </c>
      <c r="H248" s="21">
        <f>F248+(VLOOKUP(D248,'(Semelles.Monument.€HT)'!C:G,4,FALSE()))</f>
        <v>931</v>
      </c>
      <c r="I248" s="22">
        <f>F248+(VLOOKUP(D248,'(Semelles.Monument.€HT)'!C:G,5,FALSE()))</f>
        <v>986</v>
      </c>
    </row>
    <row r="249" spans="1:9" ht="26" customHeight="1">
      <c r="A249" s="2" t="s">
        <v>95</v>
      </c>
      <c r="B249" s="13" t="s">
        <v>151</v>
      </c>
      <c r="C249" s="13" t="s">
        <v>97</v>
      </c>
      <c r="D249" s="13">
        <v>8</v>
      </c>
      <c r="E249" s="2" t="s">
        <v>105</v>
      </c>
      <c r="F249" s="7">
        <v>699</v>
      </c>
      <c r="G249" s="3">
        <f>F249+(VLOOKUP(D249,'(Semelles.Monument.€HT)'!C:G,3,FALSE()))</f>
        <v>879</v>
      </c>
      <c r="H249" s="4">
        <f>F249+(VLOOKUP(D249,'(Semelles.Monument.€HT)'!C:G,4,FALSE()))</f>
        <v>931</v>
      </c>
      <c r="I249" s="5">
        <f>F249+(VLOOKUP(D249,'(Semelles.Monument.€HT)'!C:G,5,FALSE()))</f>
        <v>986</v>
      </c>
    </row>
    <row r="250" spans="1:9" ht="26" customHeight="1">
      <c r="A250" s="17" t="s">
        <v>95</v>
      </c>
      <c r="B250" s="18" t="s">
        <v>151</v>
      </c>
      <c r="C250" s="18" t="s">
        <v>97</v>
      </c>
      <c r="D250" s="18">
        <v>9</v>
      </c>
      <c r="E250" s="17" t="s">
        <v>106</v>
      </c>
      <c r="F250" s="19">
        <v>699</v>
      </c>
      <c r="G250" s="20">
        <f>F250+(VLOOKUP(D250,'(Semelles.Monument.€HT)'!C:G,3,FALSE()))</f>
        <v>879</v>
      </c>
      <c r="H250" s="21">
        <f>F250+(VLOOKUP(D250,'(Semelles.Monument.€HT)'!C:G,4,FALSE()))</f>
        <v>931</v>
      </c>
      <c r="I250" s="22">
        <f>F250+(VLOOKUP(D250,'(Semelles.Monument.€HT)'!C:G,5,FALSE()))</f>
        <v>986</v>
      </c>
    </row>
    <row r="251" spans="1:9" ht="26" customHeight="1">
      <c r="A251" s="2" t="s">
        <v>95</v>
      </c>
      <c r="B251" s="13" t="s">
        <v>151</v>
      </c>
      <c r="C251" s="13" t="s">
        <v>97</v>
      </c>
      <c r="D251" s="13">
        <v>10</v>
      </c>
      <c r="E251" s="2" t="s">
        <v>107</v>
      </c>
      <c r="F251" s="7">
        <v>699</v>
      </c>
      <c r="G251" s="3">
        <f>F251+(VLOOKUP(D251,'(Semelles.Monument.€HT)'!C:G,3,FALSE()))</f>
        <v>879</v>
      </c>
      <c r="H251" s="4">
        <f>F251+(VLOOKUP(D251,'(Semelles.Monument.€HT)'!C:G,4,FALSE()))</f>
        <v>931</v>
      </c>
      <c r="I251" s="5">
        <f>F251+(VLOOKUP(D251,'(Semelles.Monument.€HT)'!C:G,5,FALSE()))</f>
        <v>986</v>
      </c>
    </row>
    <row r="252" spans="1:9" ht="26" customHeight="1">
      <c r="A252" s="17" t="s">
        <v>95</v>
      </c>
      <c r="B252" s="18" t="s">
        <v>151</v>
      </c>
      <c r="C252" s="18" t="s">
        <v>97</v>
      </c>
      <c r="D252" s="18">
        <v>11</v>
      </c>
      <c r="E252" s="17" t="s">
        <v>108</v>
      </c>
      <c r="F252" s="19">
        <v>699</v>
      </c>
      <c r="G252" s="20">
        <f>F252+(VLOOKUP(D252,'(Semelles.Monument.€HT)'!C:G,3,FALSE()))</f>
        <v>879</v>
      </c>
      <c r="H252" s="21">
        <f>F252+(VLOOKUP(D252,'(Semelles.Monument.€HT)'!C:G,4,FALSE()))</f>
        <v>931</v>
      </c>
      <c r="I252" s="22">
        <f>F252+(VLOOKUP(D252,'(Semelles.Monument.€HT)'!C:G,5,FALSE()))</f>
        <v>986</v>
      </c>
    </row>
    <row r="253" spans="1:9" ht="26" customHeight="1">
      <c r="A253" s="2" t="s">
        <v>95</v>
      </c>
      <c r="B253" s="13" t="s">
        <v>151</v>
      </c>
      <c r="C253" s="13" t="s">
        <v>97</v>
      </c>
      <c r="D253" s="13">
        <v>12</v>
      </c>
      <c r="E253" s="2" t="s">
        <v>109</v>
      </c>
      <c r="F253" s="7">
        <v>709</v>
      </c>
      <c r="G253" s="3">
        <f>F253+(VLOOKUP(D253,'(Semelles.Monument.€HT)'!C:G,3,FALSE()))</f>
        <v>891</v>
      </c>
      <c r="H253" s="4">
        <f>F253+(VLOOKUP(D253,'(Semelles.Monument.€HT)'!C:G,4,FALSE()))</f>
        <v>944</v>
      </c>
      <c r="I253" s="5">
        <f>F253+(VLOOKUP(D253,'(Semelles.Monument.€HT)'!C:G,5,FALSE()))</f>
        <v>1000</v>
      </c>
    </row>
    <row r="254" spans="1:9" ht="26" customHeight="1">
      <c r="A254" s="17" t="s">
        <v>95</v>
      </c>
      <c r="B254" s="18" t="s">
        <v>151</v>
      </c>
      <c r="C254" s="18" t="s">
        <v>97</v>
      </c>
      <c r="D254" s="18">
        <v>13</v>
      </c>
      <c r="E254" s="17" t="s">
        <v>110</v>
      </c>
      <c r="F254" s="19">
        <v>709</v>
      </c>
      <c r="G254" s="20">
        <f>F254+(VLOOKUP(D254,'(Semelles.Monument.€HT)'!C:G,3,FALSE()))</f>
        <v>891</v>
      </c>
      <c r="H254" s="21">
        <f>F254+(VLOOKUP(D254,'(Semelles.Monument.€HT)'!C:G,4,FALSE()))</f>
        <v>944</v>
      </c>
      <c r="I254" s="22">
        <f>F254+(VLOOKUP(D254,'(Semelles.Monument.€HT)'!C:G,5,FALSE()))</f>
        <v>1000</v>
      </c>
    </row>
    <row r="255" spans="1:9" ht="26" customHeight="1">
      <c r="A255" s="2" t="s">
        <v>95</v>
      </c>
      <c r="B255" s="13" t="s">
        <v>151</v>
      </c>
      <c r="C255" s="13" t="s">
        <v>97</v>
      </c>
      <c r="D255" s="13">
        <v>14</v>
      </c>
      <c r="E255" s="2" t="s">
        <v>111</v>
      </c>
      <c r="F255" s="7">
        <v>712</v>
      </c>
      <c r="G255" s="3">
        <f>F255+(VLOOKUP(D255,'(Semelles.Monument.€HT)'!C:G,3,FALSE()))</f>
        <v>895</v>
      </c>
      <c r="H255" s="4">
        <f>F255+(VLOOKUP(D255,'(Semelles.Monument.€HT)'!C:G,4,FALSE()))</f>
        <v>948</v>
      </c>
      <c r="I255" s="5">
        <f>F255+(VLOOKUP(D255,'(Semelles.Monument.€HT)'!C:G,5,FALSE()))</f>
        <v>1004</v>
      </c>
    </row>
    <row r="256" spans="1:9" ht="26" customHeight="1">
      <c r="A256" s="17" t="s">
        <v>95</v>
      </c>
      <c r="B256" s="18" t="s">
        <v>151</v>
      </c>
      <c r="C256" s="18" t="s">
        <v>97</v>
      </c>
      <c r="D256" s="18">
        <v>15</v>
      </c>
      <c r="E256" s="17" t="s">
        <v>112</v>
      </c>
      <c r="F256" s="19">
        <v>712</v>
      </c>
      <c r="G256" s="20">
        <f>F256+(VLOOKUP(D256,'(Semelles.Monument.€HT)'!C:G,3,FALSE()))</f>
        <v>895</v>
      </c>
      <c r="H256" s="21">
        <f>F256+(VLOOKUP(D256,'(Semelles.Monument.€HT)'!C:G,4,FALSE()))</f>
        <v>948</v>
      </c>
      <c r="I256" s="22">
        <f>F256+(VLOOKUP(D256,'(Semelles.Monument.€HT)'!C:G,5,FALSE()))</f>
        <v>1004</v>
      </c>
    </row>
    <row r="257" spans="1:9" ht="26" customHeight="1">
      <c r="A257" s="2" t="s">
        <v>95</v>
      </c>
      <c r="B257" s="13" t="s">
        <v>151</v>
      </c>
      <c r="C257" s="13" t="s">
        <v>97</v>
      </c>
      <c r="D257" s="13">
        <v>16</v>
      </c>
      <c r="E257" s="2" t="s">
        <v>113</v>
      </c>
      <c r="F257" s="7">
        <v>712</v>
      </c>
      <c r="G257" s="3">
        <f>F257+(VLOOKUP(D257,'(Semelles.Monument.€HT)'!C:G,3,FALSE()))</f>
        <v>895</v>
      </c>
      <c r="H257" s="4">
        <f>F257+(VLOOKUP(D257,'(Semelles.Monument.€HT)'!C:G,4,FALSE()))</f>
        <v>948</v>
      </c>
      <c r="I257" s="5">
        <f>F257+(VLOOKUP(D257,'(Semelles.Monument.€HT)'!C:G,5,FALSE()))</f>
        <v>1004</v>
      </c>
    </row>
    <row r="258" spans="1:9" ht="26" customHeight="1">
      <c r="A258" s="17" t="s">
        <v>95</v>
      </c>
      <c r="B258" s="18" t="s">
        <v>151</v>
      </c>
      <c r="C258" s="18" t="s">
        <v>97</v>
      </c>
      <c r="D258" s="18">
        <v>17</v>
      </c>
      <c r="E258" s="17" t="s">
        <v>114</v>
      </c>
      <c r="F258" s="19">
        <v>724</v>
      </c>
      <c r="G258" s="20">
        <f>F258+(VLOOKUP(D258,'(Semelles.Monument.€HT)'!C:G,3,FALSE()))</f>
        <v>910</v>
      </c>
      <c r="H258" s="21">
        <f>F258+(VLOOKUP(D258,'(Semelles.Monument.€HT)'!C:G,4,FALSE()))</f>
        <v>964</v>
      </c>
      <c r="I258" s="22">
        <f>F258+(VLOOKUP(D258,'(Semelles.Monument.€HT)'!C:G,5,FALSE()))</f>
        <v>1021</v>
      </c>
    </row>
    <row r="259" spans="1:9" ht="26" customHeight="1">
      <c r="A259" s="2" t="s">
        <v>95</v>
      </c>
      <c r="B259" s="13" t="s">
        <v>151</v>
      </c>
      <c r="C259" s="13" t="s">
        <v>97</v>
      </c>
      <c r="D259" s="13">
        <v>18</v>
      </c>
      <c r="E259" s="2" t="s">
        <v>115</v>
      </c>
      <c r="F259" s="7">
        <v>724</v>
      </c>
      <c r="G259" s="3">
        <f>F259+(VLOOKUP(D259,'(Semelles.Monument.€HT)'!C:G,3,FALSE()))</f>
        <v>910</v>
      </c>
      <c r="H259" s="4">
        <f>F259+(VLOOKUP(D259,'(Semelles.Monument.€HT)'!C:G,4,FALSE()))</f>
        <v>964</v>
      </c>
      <c r="I259" s="5">
        <f>F259+(VLOOKUP(D259,'(Semelles.Monument.€HT)'!C:G,5,FALSE()))</f>
        <v>1021</v>
      </c>
    </row>
    <row r="260" spans="1:9" ht="26" customHeight="1">
      <c r="A260" s="17" t="s">
        <v>95</v>
      </c>
      <c r="B260" s="18" t="s">
        <v>151</v>
      </c>
      <c r="C260" s="18" t="s">
        <v>97</v>
      </c>
      <c r="D260" s="18">
        <v>19</v>
      </c>
      <c r="E260" s="17" t="s">
        <v>116</v>
      </c>
      <c r="F260" s="19">
        <v>724</v>
      </c>
      <c r="G260" s="20">
        <f>F260+(VLOOKUP(D260,'(Semelles.Monument.€HT)'!C:G,3,FALSE()))</f>
        <v>910</v>
      </c>
      <c r="H260" s="21">
        <f>F260+(VLOOKUP(D260,'(Semelles.Monument.€HT)'!C:G,4,FALSE()))</f>
        <v>964</v>
      </c>
      <c r="I260" s="22">
        <f>F260+(VLOOKUP(D260,'(Semelles.Monument.€HT)'!C:G,5,FALSE()))</f>
        <v>1021</v>
      </c>
    </row>
    <row r="261" spans="1:9" ht="26" customHeight="1">
      <c r="A261" s="2" t="s">
        <v>95</v>
      </c>
      <c r="B261" s="13" t="s">
        <v>151</v>
      </c>
      <c r="C261" s="13" t="s">
        <v>97</v>
      </c>
      <c r="D261" s="13">
        <v>20</v>
      </c>
      <c r="E261" s="2" t="s">
        <v>117</v>
      </c>
      <c r="F261" s="7">
        <v>730</v>
      </c>
      <c r="G261" s="3">
        <f>F261+(VLOOKUP(D261,'(Semelles.Monument.€HT)'!C:G,3,FALSE()))</f>
        <v>918</v>
      </c>
      <c r="H261" s="4">
        <f>F261+(VLOOKUP(D261,'(Semelles.Monument.€HT)'!C:G,4,FALSE()))</f>
        <v>972</v>
      </c>
      <c r="I261" s="5">
        <f>F261+(VLOOKUP(D261,'(Semelles.Monument.€HT)'!C:G,5,FALSE()))</f>
        <v>1029</v>
      </c>
    </row>
    <row r="262" spans="1:9" ht="26" customHeight="1">
      <c r="A262" s="17" t="s">
        <v>95</v>
      </c>
      <c r="B262" s="18" t="s">
        <v>151</v>
      </c>
      <c r="C262" s="18" t="s">
        <v>97</v>
      </c>
      <c r="D262" s="18">
        <v>21</v>
      </c>
      <c r="E262" s="17" t="s">
        <v>118</v>
      </c>
      <c r="F262" s="19">
        <v>734</v>
      </c>
      <c r="G262" s="20">
        <f>F262+(VLOOKUP(D262,'(Semelles.Monument.€HT)'!C:G,3,FALSE()))</f>
        <v>923</v>
      </c>
      <c r="H262" s="21">
        <f>F262+(VLOOKUP(D262,'(Semelles.Monument.€HT)'!C:G,4,FALSE()))</f>
        <v>977</v>
      </c>
      <c r="I262" s="22">
        <f>F262+(VLOOKUP(D262,'(Semelles.Monument.€HT)'!C:G,5,FALSE()))</f>
        <v>1035</v>
      </c>
    </row>
    <row r="263" spans="1:9" ht="26" customHeight="1">
      <c r="A263" s="2" t="s">
        <v>95</v>
      </c>
      <c r="B263" s="13" t="s">
        <v>151</v>
      </c>
      <c r="C263" s="13" t="s">
        <v>97</v>
      </c>
      <c r="D263" s="13">
        <v>22</v>
      </c>
      <c r="E263" s="2" t="s">
        <v>119</v>
      </c>
      <c r="F263" s="7">
        <v>734</v>
      </c>
      <c r="G263" s="3">
        <f>F263+(VLOOKUP(D263,'(Semelles.Monument.€HT)'!C:G,3,FALSE()))</f>
        <v>923</v>
      </c>
      <c r="H263" s="4">
        <f>F263+(VLOOKUP(D263,'(Semelles.Monument.€HT)'!C:G,4,FALSE()))</f>
        <v>977</v>
      </c>
      <c r="I263" s="5">
        <f>F263+(VLOOKUP(D263,'(Semelles.Monument.€HT)'!C:G,5,FALSE()))</f>
        <v>1035</v>
      </c>
    </row>
    <row r="264" spans="1:9" ht="26" customHeight="1">
      <c r="A264" s="17" t="s">
        <v>95</v>
      </c>
      <c r="B264" s="18" t="s">
        <v>151</v>
      </c>
      <c r="C264" s="18" t="s">
        <v>97</v>
      </c>
      <c r="D264" s="18">
        <v>23</v>
      </c>
      <c r="E264" s="17" t="s">
        <v>120</v>
      </c>
      <c r="F264" s="19">
        <v>746</v>
      </c>
      <c r="G264" s="20">
        <f>F264+(VLOOKUP(D264,'(Semelles.Monument.€HT)'!C:G,3,FALSE()))</f>
        <v>938</v>
      </c>
      <c r="H264" s="21">
        <f>F264+(VLOOKUP(D264,'(Semelles.Monument.€HT)'!C:G,4,FALSE()))</f>
        <v>993</v>
      </c>
      <c r="I264" s="22">
        <f>F264+(VLOOKUP(D264,'(Semelles.Monument.€HT)'!C:G,5,FALSE()))</f>
        <v>1051</v>
      </c>
    </row>
    <row r="265" spans="1:9" ht="26" customHeight="1">
      <c r="A265" s="2" t="s">
        <v>95</v>
      </c>
      <c r="B265" s="13" t="s">
        <v>151</v>
      </c>
      <c r="C265" s="13" t="s">
        <v>97</v>
      </c>
      <c r="D265" s="13">
        <v>24</v>
      </c>
      <c r="E265" s="2" t="s">
        <v>121</v>
      </c>
      <c r="F265" s="7">
        <v>746</v>
      </c>
      <c r="G265" s="3">
        <f>F265+(VLOOKUP(D265,'(Semelles.Monument.€HT)'!C:G,3,FALSE()))</f>
        <v>938</v>
      </c>
      <c r="H265" s="4">
        <f>F265+(VLOOKUP(D265,'(Semelles.Monument.€HT)'!C:G,4,FALSE()))</f>
        <v>993</v>
      </c>
      <c r="I265" s="5">
        <f>F265+(VLOOKUP(D265,'(Semelles.Monument.€HT)'!C:G,5,FALSE()))</f>
        <v>1051</v>
      </c>
    </row>
    <row r="266" spans="1:9" ht="26" customHeight="1">
      <c r="A266" s="17" t="s">
        <v>95</v>
      </c>
      <c r="B266" s="18" t="s">
        <v>151</v>
      </c>
      <c r="C266" s="18" t="s">
        <v>97</v>
      </c>
      <c r="D266" s="18">
        <v>25</v>
      </c>
      <c r="E266" s="17" t="s">
        <v>122</v>
      </c>
      <c r="F266" s="19">
        <v>746</v>
      </c>
      <c r="G266" s="20">
        <f>F266+(VLOOKUP(D266,'(Semelles.Monument.€HT)'!C:G,3,FALSE()))</f>
        <v>938</v>
      </c>
      <c r="H266" s="21">
        <f>F266+(VLOOKUP(D266,'(Semelles.Monument.€HT)'!C:G,4,FALSE()))</f>
        <v>993</v>
      </c>
      <c r="I266" s="22">
        <f>F266+(VLOOKUP(D266,'(Semelles.Monument.€HT)'!C:G,5,FALSE()))</f>
        <v>1051</v>
      </c>
    </row>
    <row r="267" spans="1:9" ht="26" customHeight="1">
      <c r="A267" s="2" t="s">
        <v>95</v>
      </c>
      <c r="B267" s="13" t="s">
        <v>151</v>
      </c>
      <c r="C267" s="13" t="s">
        <v>97</v>
      </c>
      <c r="D267" s="13">
        <v>26</v>
      </c>
      <c r="E267" s="2" t="s">
        <v>123</v>
      </c>
      <c r="F267" s="7">
        <v>758</v>
      </c>
      <c r="G267" s="3">
        <f>F267+(VLOOKUP(D267,'(Semelles.Monument.€HT)'!C:G,3,FALSE()))</f>
        <v>953</v>
      </c>
      <c r="H267" s="4">
        <f>F267+(VLOOKUP(D267,'(Semelles.Monument.€HT)'!C:G,4,FALSE()))</f>
        <v>1009</v>
      </c>
      <c r="I267" s="5">
        <f>F267+(VLOOKUP(D267,'(Semelles.Monument.€HT)'!C:G,5,FALSE()))</f>
        <v>1068</v>
      </c>
    </row>
    <row r="268" spans="1:9" ht="26" customHeight="1">
      <c r="A268" s="17" t="s">
        <v>95</v>
      </c>
      <c r="B268" s="18" t="s">
        <v>151</v>
      </c>
      <c r="C268" s="18" t="s">
        <v>97</v>
      </c>
      <c r="D268" s="18">
        <v>27</v>
      </c>
      <c r="E268" s="17" t="s">
        <v>124</v>
      </c>
      <c r="F268" s="19">
        <v>808</v>
      </c>
      <c r="G268" s="20">
        <f>F268+(VLOOKUP(D268,'(Semelles.Monument.€HT)'!C:G,3,FALSE()))</f>
        <v>1016</v>
      </c>
      <c r="H268" s="21">
        <f>F268+(VLOOKUP(D268,'(Semelles.Monument.€HT)'!C:G,4,FALSE()))</f>
        <v>1076</v>
      </c>
      <c r="I268" s="22">
        <f>F268+(VLOOKUP(D268,'(Semelles.Monument.€HT)'!C:G,5,FALSE()))</f>
        <v>1175</v>
      </c>
    </row>
    <row r="269" spans="1:9" ht="26" customHeight="1">
      <c r="A269" s="2" t="s">
        <v>95</v>
      </c>
      <c r="B269" s="13" t="s">
        <v>151</v>
      </c>
      <c r="C269" s="13" t="s">
        <v>97</v>
      </c>
      <c r="D269" s="13">
        <v>28</v>
      </c>
      <c r="E269" s="2" t="s">
        <v>125</v>
      </c>
      <c r="F269" s="7">
        <v>895</v>
      </c>
      <c r="G269" s="3">
        <f>F269+(VLOOKUP(D269,'(Semelles.Monument.€HT)'!C:G,3,FALSE()))</f>
        <v>1125</v>
      </c>
      <c r="H269" s="4">
        <f>F269+(VLOOKUP(D269,'(Semelles.Monument.€HT)'!C:G,4,FALSE()))</f>
        <v>1192</v>
      </c>
      <c r="I269" s="5">
        <f>F269+(VLOOKUP(D269,'(Semelles.Monument.€HT)'!C:G,5,FALSE()))</f>
        <v>1262</v>
      </c>
    </row>
    <row r="270" spans="1:9" ht="26" customHeight="1">
      <c r="A270" s="17" t="s">
        <v>95</v>
      </c>
      <c r="B270" s="18" t="s">
        <v>151</v>
      </c>
      <c r="C270" s="18" t="s">
        <v>97</v>
      </c>
      <c r="D270" s="18">
        <v>29</v>
      </c>
      <c r="E270" s="17" t="s">
        <v>126</v>
      </c>
      <c r="F270" s="19">
        <v>932</v>
      </c>
      <c r="G270" s="20">
        <f>F270+(VLOOKUP(D270,'(Semelles.Monument.€HT)'!C:G,3,FALSE()))</f>
        <v>1172</v>
      </c>
      <c r="H270" s="21">
        <f>F270+(VLOOKUP(D270,'(Semelles.Monument.€HT)'!C:G,4,FALSE()))</f>
        <v>1241</v>
      </c>
      <c r="I270" s="22">
        <f>F270+(VLOOKUP(D270,'(Semelles.Monument.€HT)'!C:G,5,FALSE()))</f>
        <v>1314</v>
      </c>
    </row>
    <row r="271" spans="1:9" ht="26" customHeight="1">
      <c r="A271" s="2" t="s">
        <v>95</v>
      </c>
      <c r="B271" s="13" t="s">
        <v>151</v>
      </c>
      <c r="C271" s="13" t="s">
        <v>97</v>
      </c>
      <c r="D271" s="13">
        <v>30</v>
      </c>
      <c r="E271" s="2" t="s">
        <v>127</v>
      </c>
      <c r="F271" s="7">
        <v>932</v>
      </c>
      <c r="G271" s="3">
        <f>F271+(VLOOKUP(D271,'(Semelles.Monument.€HT)'!C:G,3,FALSE()))</f>
        <v>1172</v>
      </c>
      <c r="H271" s="4">
        <f>F271+(VLOOKUP(D271,'(Semelles.Monument.€HT)'!C:G,4,FALSE()))</f>
        <v>1241</v>
      </c>
      <c r="I271" s="5">
        <f>F271+(VLOOKUP(D271,'(Semelles.Monument.€HT)'!C:G,5,FALSE()))</f>
        <v>1314</v>
      </c>
    </row>
    <row r="272" spans="1:9" ht="26" customHeight="1">
      <c r="A272" s="17" t="s">
        <v>95</v>
      </c>
      <c r="B272" s="18" t="s">
        <v>151</v>
      </c>
      <c r="C272" s="18" t="s">
        <v>128</v>
      </c>
      <c r="D272" s="18">
        <v>31</v>
      </c>
      <c r="E272" s="17" t="s">
        <v>129</v>
      </c>
      <c r="F272" s="19">
        <v>543</v>
      </c>
      <c r="G272" s="20">
        <f>F272+(VLOOKUP(D272,'(Semelles.Monument.€HT)'!C:G,3,FALSE()))</f>
        <v>675</v>
      </c>
      <c r="H272" s="21">
        <f>F272+(VLOOKUP(D272,'(Semelles.Monument.€HT)'!C:G,4,FALSE()))</f>
        <v>713</v>
      </c>
      <c r="I272" s="22">
        <f>F272+(VLOOKUP(D272,'(Semelles.Monument.€HT)'!C:G,5,FALSE()))</f>
        <v>753</v>
      </c>
    </row>
    <row r="273" spans="1:9" ht="26" customHeight="1">
      <c r="A273" s="2" t="s">
        <v>95</v>
      </c>
      <c r="B273" s="13" t="s">
        <v>151</v>
      </c>
      <c r="C273" s="13" t="s">
        <v>128</v>
      </c>
      <c r="D273" s="13">
        <v>32</v>
      </c>
      <c r="E273" s="2" t="s">
        <v>130</v>
      </c>
      <c r="F273" s="7">
        <v>551</v>
      </c>
      <c r="G273" s="3">
        <f>F273+(VLOOKUP(D273,'(Semelles.Monument.€HT)'!C:G,3,FALSE()))</f>
        <v>685</v>
      </c>
      <c r="H273" s="4">
        <f>F273+(VLOOKUP(D273,'(Semelles.Monument.€HT)'!C:G,4,FALSE()))</f>
        <v>724</v>
      </c>
      <c r="I273" s="5">
        <f>F273+(VLOOKUP(D273,'(Semelles.Monument.€HT)'!C:G,5,FALSE()))</f>
        <v>764</v>
      </c>
    </row>
    <row r="274" spans="1:9" ht="26" customHeight="1">
      <c r="A274" s="17" t="s">
        <v>95</v>
      </c>
      <c r="B274" s="18" t="s">
        <v>151</v>
      </c>
      <c r="C274" s="18" t="s">
        <v>128</v>
      </c>
      <c r="D274" s="18">
        <v>33</v>
      </c>
      <c r="E274" s="17" t="s">
        <v>131</v>
      </c>
      <c r="F274" s="19">
        <v>551</v>
      </c>
      <c r="G274" s="20">
        <f>F274+(VLOOKUP(D274,'(Semelles.Monument.€HT)'!C:G,3,FALSE()))</f>
        <v>685</v>
      </c>
      <c r="H274" s="21">
        <f>F274+(VLOOKUP(D274,'(Semelles.Monument.€HT)'!C:G,4,FALSE()))</f>
        <v>724</v>
      </c>
      <c r="I274" s="22">
        <f>F274+(VLOOKUP(D274,'(Semelles.Monument.€HT)'!C:G,5,FALSE()))</f>
        <v>764</v>
      </c>
    </row>
    <row r="275" spans="1:9" ht="26" customHeight="1">
      <c r="A275" s="2" t="s">
        <v>95</v>
      </c>
      <c r="B275" s="13" t="s">
        <v>151</v>
      </c>
      <c r="C275" s="13" t="s">
        <v>128</v>
      </c>
      <c r="D275" s="13">
        <v>34</v>
      </c>
      <c r="E275" s="2" t="s">
        <v>132</v>
      </c>
      <c r="F275" s="7">
        <v>556</v>
      </c>
      <c r="G275" s="3">
        <f>F275+(VLOOKUP(D275,'(Semelles.Monument.€HT)'!C:G,3,FALSE()))</f>
        <v>691</v>
      </c>
      <c r="H275" s="4">
        <f>F275+(VLOOKUP(D275,'(Semelles.Monument.€HT)'!C:G,4,FALSE()))</f>
        <v>730</v>
      </c>
      <c r="I275" s="5">
        <f>F275+(VLOOKUP(D275,'(Semelles.Monument.€HT)'!C:G,5,FALSE()))</f>
        <v>771</v>
      </c>
    </row>
    <row r="276" spans="1:9" ht="26" customHeight="1">
      <c r="A276" s="17" t="s">
        <v>95</v>
      </c>
      <c r="B276" s="18" t="s">
        <v>151</v>
      </c>
      <c r="C276" s="18" t="s">
        <v>128</v>
      </c>
      <c r="D276" s="18">
        <v>35</v>
      </c>
      <c r="E276" s="17" t="s">
        <v>133</v>
      </c>
      <c r="F276" s="19">
        <v>663</v>
      </c>
      <c r="G276" s="20">
        <f>F276+(VLOOKUP(D276,'(Semelles.Monument.€HT)'!C:G,3,FALSE()))</f>
        <v>826</v>
      </c>
      <c r="H276" s="21">
        <f>F276+(VLOOKUP(D276,'(Semelles.Monument.€HT)'!C:G,4,FALSE()))</f>
        <v>873</v>
      </c>
      <c r="I276" s="22">
        <f>F276+(VLOOKUP(D276,'(Semelles.Monument.€HT)'!C:G,5,FALSE()))</f>
        <v>922</v>
      </c>
    </row>
    <row r="277" spans="1:9" ht="26" customHeight="1">
      <c r="A277" s="2" t="s">
        <v>95</v>
      </c>
      <c r="B277" s="13" t="s">
        <v>151</v>
      </c>
      <c r="C277" s="13" t="s">
        <v>128</v>
      </c>
      <c r="D277" s="13">
        <v>36</v>
      </c>
      <c r="E277" s="2" t="s">
        <v>134</v>
      </c>
      <c r="F277" s="7">
        <v>685</v>
      </c>
      <c r="G277" s="3">
        <f>F277+(VLOOKUP(D277,'(Semelles.Monument.€HT)'!C:G,3,FALSE()))</f>
        <v>853</v>
      </c>
      <c r="H277" s="4">
        <f>F277+(VLOOKUP(D277,'(Semelles.Monument.€HT)'!C:G,4,FALSE()))</f>
        <v>902</v>
      </c>
      <c r="I277" s="5">
        <f>F277+(VLOOKUP(D277,'(Semelles.Monument.€HT)'!C:G,5,FALSE()))</f>
        <v>953</v>
      </c>
    </row>
    <row r="278" spans="1:9" ht="26" customHeight="1">
      <c r="A278" s="17" t="s">
        <v>95</v>
      </c>
      <c r="B278" s="18" t="s">
        <v>151</v>
      </c>
      <c r="C278" s="18" t="s">
        <v>128</v>
      </c>
      <c r="D278" s="18">
        <v>37</v>
      </c>
      <c r="E278" s="17" t="s">
        <v>135</v>
      </c>
      <c r="F278" s="19">
        <v>839</v>
      </c>
      <c r="G278" s="20">
        <f>F278+(VLOOKUP(D278,'(Semelles.Monument.€HT)'!C:G,3,FALSE()))</f>
        <v>1047</v>
      </c>
      <c r="H278" s="21">
        <f>F278+(VLOOKUP(D278,'(Semelles.Monument.€HT)'!C:G,4,FALSE()))</f>
        <v>1107</v>
      </c>
      <c r="I278" s="22">
        <f>F278+(VLOOKUP(D278,'(Semelles.Monument.€HT)'!C:G,5,FALSE()))</f>
        <v>1171</v>
      </c>
    </row>
    <row r="279" spans="1:9" ht="26" customHeight="1">
      <c r="A279" s="2" t="s">
        <v>95</v>
      </c>
      <c r="B279" s="13" t="s">
        <v>151</v>
      </c>
      <c r="C279" s="13" t="s">
        <v>128</v>
      </c>
      <c r="D279" s="13">
        <v>38</v>
      </c>
      <c r="E279" s="2" t="s">
        <v>136</v>
      </c>
      <c r="F279" s="7">
        <v>887</v>
      </c>
      <c r="G279" s="3">
        <f>F279+(VLOOKUP(D279,'(Semelles.Monument.€HT)'!C:G,3,FALSE()))</f>
        <v>1107</v>
      </c>
      <c r="H279" s="4">
        <f>F279+(VLOOKUP(D279,'(Semelles.Monument.€HT)'!C:G,4,FALSE()))</f>
        <v>1171</v>
      </c>
      <c r="I279" s="5">
        <f>F279+(VLOOKUP(D279,'(Semelles.Monument.€HT)'!C:G,5,FALSE()))</f>
        <v>1238</v>
      </c>
    </row>
    <row r="280" spans="1:9" ht="26" customHeight="1">
      <c r="A280" s="17" t="s">
        <v>95</v>
      </c>
      <c r="B280" s="18" t="s">
        <v>151</v>
      </c>
      <c r="C280" s="18" t="s">
        <v>128</v>
      </c>
      <c r="D280" s="18">
        <v>39</v>
      </c>
      <c r="E280" s="17" t="s">
        <v>137</v>
      </c>
      <c r="F280" s="19">
        <v>909</v>
      </c>
      <c r="G280" s="20">
        <f>F280+(VLOOKUP(D280,'(Semelles.Monument.€HT)'!C:G,3,FALSE()))</f>
        <v>1135</v>
      </c>
      <c r="H280" s="21">
        <f>F280+(VLOOKUP(D280,'(Semelles.Monument.€HT)'!C:G,4,FALSE()))</f>
        <v>1200</v>
      </c>
      <c r="I280" s="22">
        <f>F280+(VLOOKUP(D280,'(Semelles.Monument.€HT)'!C:G,5,FALSE()))</f>
        <v>1269</v>
      </c>
    </row>
    <row r="281" spans="1:9" ht="26" customHeight="1">
      <c r="A281" s="2" t="s">
        <v>95</v>
      </c>
      <c r="B281" s="13" t="s">
        <v>151</v>
      </c>
      <c r="C281" s="13" t="s">
        <v>128</v>
      </c>
      <c r="D281" s="13">
        <v>40</v>
      </c>
      <c r="E281" s="2" t="s">
        <v>138</v>
      </c>
      <c r="F281" s="7">
        <v>934</v>
      </c>
      <c r="G281" s="3">
        <f>F281+(VLOOKUP(D281,'(Semelles.Monument.€HT)'!C:G,3,FALSE()))</f>
        <v>1166</v>
      </c>
      <c r="H281" s="4">
        <f>F281+(VLOOKUP(D281,'(Semelles.Monument.€HT)'!C:G,4,FALSE()))</f>
        <v>1234</v>
      </c>
      <c r="I281" s="5">
        <f>F281+(VLOOKUP(D281,'(Semelles.Monument.€HT)'!C:G,5,FALSE()))</f>
        <v>1304</v>
      </c>
    </row>
    <row r="282" spans="1:9" ht="26" customHeight="1">
      <c r="A282" s="17" t="s">
        <v>95</v>
      </c>
      <c r="B282" s="18" t="s">
        <v>151</v>
      </c>
      <c r="C282" s="18" t="s">
        <v>128</v>
      </c>
      <c r="D282" s="18">
        <v>41</v>
      </c>
      <c r="E282" s="17" t="s">
        <v>139</v>
      </c>
      <c r="F282" s="19">
        <v>991</v>
      </c>
      <c r="G282" s="20">
        <f>F282+(VLOOKUP(D282,'(Semelles.Monument.€HT)'!C:G,3,FALSE()))</f>
        <v>1238</v>
      </c>
      <c r="H282" s="21">
        <f>F282+(VLOOKUP(D282,'(Semelles.Monument.€HT)'!C:G,4,FALSE()))</f>
        <v>1310</v>
      </c>
      <c r="I282" s="22">
        <f>F282+(VLOOKUP(D282,'(Semelles.Monument.€HT)'!C:G,5,FALSE()))</f>
        <v>1385</v>
      </c>
    </row>
    <row r="283" spans="1:9" ht="26" customHeight="1">
      <c r="A283" s="2" t="s">
        <v>95</v>
      </c>
      <c r="B283" s="13" t="s">
        <v>151</v>
      </c>
      <c r="C283" s="13" t="s">
        <v>128</v>
      </c>
      <c r="D283" s="13">
        <v>42</v>
      </c>
      <c r="E283" s="2" t="s">
        <v>140</v>
      </c>
      <c r="F283" s="7">
        <v>1086</v>
      </c>
      <c r="G283" s="3">
        <f>F283+(VLOOKUP(D283,'(Semelles.Monument.€HT)'!C:G,3,FALSE()))</f>
        <v>1357</v>
      </c>
      <c r="H283" s="4">
        <f>F283+(VLOOKUP(D283,'(Semelles.Monument.€HT)'!C:G,4,FALSE()))</f>
        <v>1436</v>
      </c>
      <c r="I283" s="5">
        <f>F283+(VLOOKUP(D283,'(Semelles.Monument.€HT)'!C:G,5,FALSE()))</f>
        <v>1519</v>
      </c>
    </row>
    <row r="284" spans="1:9" ht="26" customHeight="1">
      <c r="A284" s="17" t="s">
        <v>95</v>
      </c>
      <c r="B284" s="18" t="s">
        <v>151</v>
      </c>
      <c r="C284" s="18" t="s">
        <v>128</v>
      </c>
      <c r="D284" s="18">
        <v>43</v>
      </c>
      <c r="E284" s="17" t="s">
        <v>141</v>
      </c>
      <c r="F284" s="19">
        <v>1086</v>
      </c>
      <c r="G284" s="20">
        <f>F284+(VLOOKUP(D284,'(Semelles.Monument.€HT)'!C:G,3,FALSE()))</f>
        <v>1357</v>
      </c>
      <c r="H284" s="21">
        <f>F284+(VLOOKUP(D284,'(Semelles.Monument.€HT)'!C:G,4,FALSE()))</f>
        <v>1436</v>
      </c>
      <c r="I284" s="22">
        <f>F284+(VLOOKUP(D284,'(Semelles.Monument.€HT)'!C:G,5,FALSE()))</f>
        <v>1519</v>
      </c>
    </row>
    <row r="285" spans="1:9" ht="26" customHeight="1">
      <c r="A285" s="2" t="s">
        <v>95</v>
      </c>
      <c r="B285" s="13" t="s">
        <v>151</v>
      </c>
      <c r="C285" s="13" t="s">
        <v>128</v>
      </c>
      <c r="D285" s="13">
        <v>44</v>
      </c>
      <c r="E285" s="2" t="s">
        <v>142</v>
      </c>
      <c r="F285" s="7">
        <v>1098</v>
      </c>
      <c r="G285" s="3">
        <f>F285+(VLOOKUP(D285,'(Semelles.Monument.€HT)'!C:G,3,FALSE()))</f>
        <v>1373</v>
      </c>
      <c r="H285" s="4">
        <f>F285+(VLOOKUP(D285,'(Semelles.Monument.€HT)'!C:G,4,FALSE()))</f>
        <v>1452</v>
      </c>
      <c r="I285" s="5">
        <f>F285+(VLOOKUP(D285,'(Semelles.Monument.€HT)'!C:G,5,FALSE()))</f>
        <v>1536</v>
      </c>
    </row>
    <row r="286" spans="1:9" ht="26" customHeight="1">
      <c r="A286" s="17" t="s">
        <v>95</v>
      </c>
      <c r="B286" s="18" t="s">
        <v>151</v>
      </c>
      <c r="C286" s="18" t="s">
        <v>128</v>
      </c>
      <c r="D286" s="18">
        <v>45</v>
      </c>
      <c r="E286" s="17" t="s">
        <v>143</v>
      </c>
      <c r="F286" s="19">
        <v>1111</v>
      </c>
      <c r="G286" s="20">
        <f>F286+(VLOOKUP(D286,'(Semelles.Monument.€HT)'!C:G,3,FALSE()))</f>
        <v>1389</v>
      </c>
      <c r="H286" s="21">
        <f>F286+(VLOOKUP(D286,'(Semelles.Monument.€HT)'!C:G,4,FALSE()))</f>
        <v>1469</v>
      </c>
      <c r="I286" s="22">
        <f>F286+(VLOOKUP(D286,'(Semelles.Monument.€HT)'!C:G,5,FALSE()))</f>
        <v>1554</v>
      </c>
    </row>
    <row r="287" spans="1:9" ht="26" customHeight="1">
      <c r="A287" s="2" t="s">
        <v>95</v>
      </c>
      <c r="B287" s="13" t="s">
        <v>151</v>
      </c>
      <c r="C287" s="13" t="s">
        <v>128</v>
      </c>
      <c r="D287" s="13">
        <v>46</v>
      </c>
      <c r="E287" s="2" t="s">
        <v>144</v>
      </c>
      <c r="F287" s="7">
        <v>1111</v>
      </c>
      <c r="G287" s="3">
        <f>F287+(VLOOKUP(D287,'(Semelles.Monument.€HT)'!C:G,3,FALSE()))</f>
        <v>1389</v>
      </c>
      <c r="H287" s="4">
        <f>F287+(VLOOKUP(D287,'(Semelles.Monument.€HT)'!C:G,4,FALSE()))</f>
        <v>1469</v>
      </c>
      <c r="I287" s="5">
        <f>F287+(VLOOKUP(D287,'(Semelles.Monument.€HT)'!C:G,5,FALSE()))</f>
        <v>1554</v>
      </c>
    </row>
    <row r="288" spans="1:9" ht="26" customHeight="1">
      <c r="A288" s="17" t="s">
        <v>95</v>
      </c>
      <c r="B288" s="18" t="s">
        <v>151</v>
      </c>
      <c r="C288" s="18" t="s">
        <v>128</v>
      </c>
      <c r="D288" s="18">
        <v>47</v>
      </c>
      <c r="E288" s="17" t="s">
        <v>145</v>
      </c>
      <c r="F288" s="19">
        <v>1133</v>
      </c>
      <c r="G288" s="20">
        <f>F288+(VLOOKUP(D288,'(Semelles.Monument.€HT)'!C:G,3,FALSE()))</f>
        <v>1417</v>
      </c>
      <c r="H288" s="21">
        <f>F288+(VLOOKUP(D288,'(Semelles.Monument.€HT)'!C:G,4,FALSE()))</f>
        <v>1499</v>
      </c>
      <c r="I288" s="22">
        <f>F288+(VLOOKUP(D288,'(Semelles.Monument.€HT)'!C:G,5,FALSE()))</f>
        <v>1585</v>
      </c>
    </row>
    <row r="289" spans="1:9" ht="26" customHeight="1">
      <c r="A289" s="2" t="s">
        <v>95</v>
      </c>
      <c r="B289" s="13" t="s">
        <v>151</v>
      </c>
      <c r="C289" s="13" t="s">
        <v>128</v>
      </c>
      <c r="D289" s="13">
        <v>48</v>
      </c>
      <c r="E289" s="2" t="s">
        <v>146</v>
      </c>
      <c r="F289" s="7">
        <v>1146</v>
      </c>
      <c r="G289" s="3">
        <f>F289+(VLOOKUP(D289,'(Semelles.Monument.€HT)'!C:G,3,FALSE()))</f>
        <v>1433</v>
      </c>
      <c r="H289" s="4">
        <f>F289+(VLOOKUP(D289,'(Semelles.Monument.€HT)'!C:G,4,FALSE()))</f>
        <v>1516</v>
      </c>
      <c r="I289" s="5">
        <f>F289+(VLOOKUP(D289,'(Semelles.Monument.€HT)'!C:G,5,FALSE()))</f>
        <v>1603</v>
      </c>
    </row>
    <row r="290" spans="1:9" ht="26" customHeight="1">
      <c r="A290" s="17" t="s">
        <v>95</v>
      </c>
      <c r="B290" s="18" t="s">
        <v>152</v>
      </c>
      <c r="C290" s="18" t="s">
        <v>97</v>
      </c>
      <c r="D290" s="18">
        <v>1</v>
      </c>
      <c r="E290" s="17" t="s">
        <v>98</v>
      </c>
      <c r="F290" s="19">
        <v>649</v>
      </c>
      <c r="G290" s="20">
        <f>F290+(VLOOKUP(D290,'(Semelles.Monument.€HT)'!C:G,3,FALSE()))</f>
        <v>807</v>
      </c>
      <c r="H290" s="21">
        <f>F290+(VLOOKUP(D290,'(Semelles.Monument.€HT)'!C:G,4,FALSE()))</f>
        <v>853</v>
      </c>
      <c r="I290" s="22">
        <f>F290+(VLOOKUP(D290,'(Semelles.Monument.€HT)'!C:G,5,FALSE()))</f>
        <v>901</v>
      </c>
    </row>
    <row r="291" spans="1:9" ht="26" customHeight="1">
      <c r="A291" s="2" t="s">
        <v>95</v>
      </c>
      <c r="B291" s="13" t="s">
        <v>152</v>
      </c>
      <c r="C291" s="13" t="s">
        <v>97</v>
      </c>
      <c r="D291" s="13">
        <v>2</v>
      </c>
      <c r="E291" s="2" t="s">
        <v>99</v>
      </c>
      <c r="F291" s="7">
        <v>648</v>
      </c>
      <c r="G291" s="3">
        <f>F291+(VLOOKUP(D291,'(Semelles.Monument.€HT)'!C:G,3,FALSE()))</f>
        <v>806</v>
      </c>
      <c r="H291" s="4">
        <f>F291+(VLOOKUP(D291,'(Semelles.Monument.€HT)'!C:G,4,FALSE()))</f>
        <v>852</v>
      </c>
      <c r="I291" s="5">
        <f>F291+(VLOOKUP(D291,'(Semelles.Monument.€HT)'!C:G,5,FALSE()))</f>
        <v>900</v>
      </c>
    </row>
    <row r="292" spans="1:9" ht="26" customHeight="1">
      <c r="A292" s="17" t="s">
        <v>95</v>
      </c>
      <c r="B292" s="18" t="s">
        <v>152</v>
      </c>
      <c r="C292" s="18" t="s">
        <v>97</v>
      </c>
      <c r="D292" s="18">
        <v>3</v>
      </c>
      <c r="E292" s="17" t="s">
        <v>100</v>
      </c>
      <c r="F292" s="19">
        <v>721</v>
      </c>
      <c r="G292" s="20">
        <f>F292+(VLOOKUP(D292,'(Semelles.Monument.€HT)'!C:G,3,FALSE()))</f>
        <v>897</v>
      </c>
      <c r="H292" s="21">
        <f>F292+(VLOOKUP(D292,'(Semelles.Monument.€HT)'!C:G,4,FALSE()))</f>
        <v>948</v>
      </c>
      <c r="I292" s="22">
        <f>F292+(VLOOKUP(D292,'(Semelles.Monument.€HT)'!C:G,5,FALSE()))</f>
        <v>1001</v>
      </c>
    </row>
    <row r="293" spans="1:9" ht="26" customHeight="1">
      <c r="A293" s="2" t="s">
        <v>95</v>
      </c>
      <c r="B293" s="13" t="s">
        <v>152</v>
      </c>
      <c r="C293" s="13" t="s">
        <v>97</v>
      </c>
      <c r="D293" s="13">
        <v>4</v>
      </c>
      <c r="E293" s="2" t="s">
        <v>101</v>
      </c>
      <c r="F293" s="7">
        <v>733</v>
      </c>
      <c r="G293" s="3">
        <f>F293+(VLOOKUP(D293,'(Semelles.Monument.€HT)'!C:G,3,FALSE()))</f>
        <v>912</v>
      </c>
      <c r="H293" s="4">
        <f>F293+(VLOOKUP(D293,'(Semelles.Monument.€HT)'!C:G,4,FALSE()))</f>
        <v>964</v>
      </c>
      <c r="I293" s="5">
        <f>F293+(VLOOKUP(D293,'(Semelles.Monument.€HT)'!C:G,5,FALSE()))</f>
        <v>1018</v>
      </c>
    </row>
    <row r="294" spans="1:9" ht="26" customHeight="1">
      <c r="A294" s="17" t="s">
        <v>95</v>
      </c>
      <c r="B294" s="18" t="s">
        <v>152</v>
      </c>
      <c r="C294" s="18" t="s">
        <v>97</v>
      </c>
      <c r="D294" s="18">
        <v>5</v>
      </c>
      <c r="E294" s="17" t="s">
        <v>102</v>
      </c>
      <c r="F294" s="19">
        <v>733</v>
      </c>
      <c r="G294" s="20">
        <f>F294+(VLOOKUP(D294,'(Semelles.Monument.€HT)'!C:G,3,FALSE()))</f>
        <v>912</v>
      </c>
      <c r="H294" s="21">
        <f>F294+(VLOOKUP(D294,'(Semelles.Monument.€HT)'!C:G,4,FALSE()))</f>
        <v>964</v>
      </c>
      <c r="I294" s="22">
        <f>F294+(VLOOKUP(D294,'(Semelles.Monument.€HT)'!C:G,5,FALSE()))</f>
        <v>1018</v>
      </c>
    </row>
    <row r="295" spans="1:9" ht="26" customHeight="1">
      <c r="A295" s="2" t="s">
        <v>95</v>
      </c>
      <c r="B295" s="13" t="s">
        <v>152</v>
      </c>
      <c r="C295" s="13" t="s">
        <v>97</v>
      </c>
      <c r="D295" s="13">
        <v>6</v>
      </c>
      <c r="E295" s="2" t="s">
        <v>103</v>
      </c>
      <c r="F295" s="7">
        <v>737</v>
      </c>
      <c r="G295" s="3">
        <f>F295+(VLOOKUP(D295,'(Semelles.Monument.€HT)'!C:G,3,FALSE()))</f>
        <v>917</v>
      </c>
      <c r="H295" s="4">
        <f>F295+(VLOOKUP(D295,'(Semelles.Monument.€HT)'!C:G,4,FALSE()))</f>
        <v>969</v>
      </c>
      <c r="I295" s="5">
        <f>F295+(VLOOKUP(D295,'(Semelles.Monument.€HT)'!C:G,5,FALSE()))</f>
        <v>1024</v>
      </c>
    </row>
    <row r="296" spans="1:9" ht="26" customHeight="1">
      <c r="A296" s="17" t="s">
        <v>95</v>
      </c>
      <c r="B296" s="18" t="s">
        <v>152</v>
      </c>
      <c r="C296" s="18" t="s">
        <v>97</v>
      </c>
      <c r="D296" s="18">
        <v>7</v>
      </c>
      <c r="E296" s="17" t="s">
        <v>104</v>
      </c>
      <c r="F296" s="19">
        <v>737</v>
      </c>
      <c r="G296" s="20">
        <f>F296+(VLOOKUP(D296,'(Semelles.Monument.€HT)'!C:G,3,FALSE()))</f>
        <v>917</v>
      </c>
      <c r="H296" s="21">
        <f>F296+(VLOOKUP(D296,'(Semelles.Monument.€HT)'!C:G,4,FALSE()))</f>
        <v>969</v>
      </c>
      <c r="I296" s="22">
        <f>F296+(VLOOKUP(D296,'(Semelles.Monument.€HT)'!C:G,5,FALSE()))</f>
        <v>1024</v>
      </c>
    </row>
    <row r="297" spans="1:9" ht="26" customHeight="1">
      <c r="A297" s="2" t="s">
        <v>95</v>
      </c>
      <c r="B297" s="13" t="s">
        <v>152</v>
      </c>
      <c r="C297" s="13" t="s">
        <v>97</v>
      </c>
      <c r="D297" s="13">
        <v>8</v>
      </c>
      <c r="E297" s="2" t="s">
        <v>105</v>
      </c>
      <c r="F297" s="7">
        <v>737</v>
      </c>
      <c r="G297" s="3">
        <f>F297+(VLOOKUP(D297,'(Semelles.Monument.€HT)'!C:G,3,FALSE()))</f>
        <v>917</v>
      </c>
      <c r="H297" s="4">
        <f>F297+(VLOOKUP(D297,'(Semelles.Monument.€HT)'!C:G,4,FALSE()))</f>
        <v>969</v>
      </c>
      <c r="I297" s="5">
        <f>F297+(VLOOKUP(D297,'(Semelles.Monument.€HT)'!C:G,5,FALSE()))</f>
        <v>1024</v>
      </c>
    </row>
    <row r="298" spans="1:9" ht="26" customHeight="1">
      <c r="A298" s="17" t="s">
        <v>95</v>
      </c>
      <c r="B298" s="18" t="s">
        <v>152</v>
      </c>
      <c r="C298" s="18" t="s">
        <v>97</v>
      </c>
      <c r="D298" s="18">
        <v>9</v>
      </c>
      <c r="E298" s="17" t="s">
        <v>106</v>
      </c>
      <c r="F298" s="19">
        <v>737</v>
      </c>
      <c r="G298" s="20">
        <f>F298+(VLOOKUP(D298,'(Semelles.Monument.€HT)'!C:G,3,FALSE()))</f>
        <v>917</v>
      </c>
      <c r="H298" s="21">
        <f>F298+(VLOOKUP(D298,'(Semelles.Monument.€HT)'!C:G,4,FALSE()))</f>
        <v>969</v>
      </c>
      <c r="I298" s="22">
        <f>F298+(VLOOKUP(D298,'(Semelles.Monument.€HT)'!C:G,5,FALSE()))</f>
        <v>1024</v>
      </c>
    </row>
    <row r="299" spans="1:9" ht="26" customHeight="1">
      <c r="A299" s="2" t="s">
        <v>95</v>
      </c>
      <c r="B299" s="13" t="s">
        <v>152</v>
      </c>
      <c r="C299" s="13" t="s">
        <v>97</v>
      </c>
      <c r="D299" s="13">
        <v>10</v>
      </c>
      <c r="E299" s="2" t="s">
        <v>107</v>
      </c>
      <c r="F299" s="7">
        <v>737</v>
      </c>
      <c r="G299" s="3">
        <f>F299+(VLOOKUP(D299,'(Semelles.Monument.€HT)'!C:G,3,FALSE()))</f>
        <v>917</v>
      </c>
      <c r="H299" s="4">
        <f>F299+(VLOOKUP(D299,'(Semelles.Monument.€HT)'!C:G,4,FALSE()))</f>
        <v>969</v>
      </c>
      <c r="I299" s="5">
        <f>F299+(VLOOKUP(D299,'(Semelles.Monument.€HT)'!C:G,5,FALSE()))</f>
        <v>1024</v>
      </c>
    </row>
    <row r="300" spans="1:9" ht="26" customHeight="1">
      <c r="A300" s="17" t="s">
        <v>95</v>
      </c>
      <c r="B300" s="18" t="s">
        <v>152</v>
      </c>
      <c r="C300" s="18" t="s">
        <v>97</v>
      </c>
      <c r="D300" s="18">
        <v>11</v>
      </c>
      <c r="E300" s="17" t="s">
        <v>108</v>
      </c>
      <c r="F300" s="19">
        <v>737</v>
      </c>
      <c r="G300" s="20">
        <f>F300+(VLOOKUP(D300,'(Semelles.Monument.€HT)'!C:G,3,FALSE()))</f>
        <v>917</v>
      </c>
      <c r="H300" s="21">
        <f>F300+(VLOOKUP(D300,'(Semelles.Monument.€HT)'!C:G,4,FALSE()))</f>
        <v>969</v>
      </c>
      <c r="I300" s="22">
        <f>F300+(VLOOKUP(D300,'(Semelles.Monument.€HT)'!C:G,5,FALSE()))</f>
        <v>1024</v>
      </c>
    </row>
    <row r="301" spans="1:9" ht="26" customHeight="1">
      <c r="A301" s="2" t="s">
        <v>95</v>
      </c>
      <c r="B301" s="13" t="s">
        <v>152</v>
      </c>
      <c r="C301" s="13" t="s">
        <v>97</v>
      </c>
      <c r="D301" s="13">
        <v>12</v>
      </c>
      <c r="E301" s="2" t="s">
        <v>109</v>
      </c>
      <c r="F301" s="7">
        <v>748</v>
      </c>
      <c r="G301" s="3">
        <f>F301+(VLOOKUP(D301,'(Semelles.Monument.€HT)'!C:G,3,FALSE()))</f>
        <v>930</v>
      </c>
      <c r="H301" s="4">
        <f>F301+(VLOOKUP(D301,'(Semelles.Monument.€HT)'!C:G,4,FALSE()))</f>
        <v>983</v>
      </c>
      <c r="I301" s="5">
        <f>F301+(VLOOKUP(D301,'(Semelles.Monument.€HT)'!C:G,5,FALSE()))</f>
        <v>1039</v>
      </c>
    </row>
    <row r="302" spans="1:9" ht="26" customHeight="1">
      <c r="A302" s="17" t="s">
        <v>95</v>
      </c>
      <c r="B302" s="18" t="s">
        <v>152</v>
      </c>
      <c r="C302" s="18" t="s">
        <v>97</v>
      </c>
      <c r="D302" s="18">
        <v>13</v>
      </c>
      <c r="E302" s="17" t="s">
        <v>110</v>
      </c>
      <c r="F302" s="19">
        <v>748</v>
      </c>
      <c r="G302" s="20">
        <f>F302+(VLOOKUP(D302,'(Semelles.Monument.€HT)'!C:G,3,FALSE()))</f>
        <v>930</v>
      </c>
      <c r="H302" s="21">
        <f>F302+(VLOOKUP(D302,'(Semelles.Monument.€HT)'!C:G,4,FALSE()))</f>
        <v>983</v>
      </c>
      <c r="I302" s="22">
        <f>F302+(VLOOKUP(D302,'(Semelles.Monument.€HT)'!C:G,5,FALSE()))</f>
        <v>1039</v>
      </c>
    </row>
    <row r="303" spans="1:9" ht="26" customHeight="1">
      <c r="A303" s="2" t="s">
        <v>95</v>
      </c>
      <c r="B303" s="13" t="s">
        <v>152</v>
      </c>
      <c r="C303" s="13" t="s">
        <v>97</v>
      </c>
      <c r="D303" s="13">
        <v>14</v>
      </c>
      <c r="E303" s="2" t="s">
        <v>111</v>
      </c>
      <c r="F303" s="7">
        <v>750</v>
      </c>
      <c r="G303" s="3">
        <f>F303+(VLOOKUP(D303,'(Semelles.Monument.€HT)'!C:G,3,FALSE()))</f>
        <v>933</v>
      </c>
      <c r="H303" s="4">
        <f>F303+(VLOOKUP(D303,'(Semelles.Monument.€HT)'!C:G,4,FALSE()))</f>
        <v>986</v>
      </c>
      <c r="I303" s="5">
        <f>F303+(VLOOKUP(D303,'(Semelles.Monument.€HT)'!C:G,5,FALSE()))</f>
        <v>1042</v>
      </c>
    </row>
    <row r="304" spans="1:9" ht="26" customHeight="1">
      <c r="A304" s="17" t="s">
        <v>95</v>
      </c>
      <c r="B304" s="18" t="s">
        <v>152</v>
      </c>
      <c r="C304" s="18" t="s">
        <v>97</v>
      </c>
      <c r="D304" s="18">
        <v>15</v>
      </c>
      <c r="E304" s="17" t="s">
        <v>112</v>
      </c>
      <c r="F304" s="19">
        <v>750</v>
      </c>
      <c r="G304" s="20">
        <f>F304+(VLOOKUP(D304,'(Semelles.Monument.€HT)'!C:G,3,FALSE()))</f>
        <v>933</v>
      </c>
      <c r="H304" s="21">
        <f>F304+(VLOOKUP(D304,'(Semelles.Monument.€HT)'!C:G,4,FALSE()))</f>
        <v>986</v>
      </c>
      <c r="I304" s="22">
        <f>F304+(VLOOKUP(D304,'(Semelles.Monument.€HT)'!C:G,5,FALSE()))</f>
        <v>1042</v>
      </c>
    </row>
    <row r="305" spans="1:9" ht="26" customHeight="1">
      <c r="A305" s="2" t="s">
        <v>95</v>
      </c>
      <c r="B305" s="13" t="s">
        <v>152</v>
      </c>
      <c r="C305" s="13" t="s">
        <v>97</v>
      </c>
      <c r="D305" s="13">
        <v>16</v>
      </c>
      <c r="E305" s="2" t="s">
        <v>113</v>
      </c>
      <c r="F305" s="7">
        <v>750</v>
      </c>
      <c r="G305" s="3">
        <f>F305+(VLOOKUP(D305,'(Semelles.Monument.€HT)'!C:G,3,FALSE()))</f>
        <v>933</v>
      </c>
      <c r="H305" s="4">
        <f>F305+(VLOOKUP(D305,'(Semelles.Monument.€HT)'!C:G,4,FALSE()))</f>
        <v>986</v>
      </c>
      <c r="I305" s="5">
        <f>F305+(VLOOKUP(D305,'(Semelles.Monument.€HT)'!C:G,5,FALSE()))</f>
        <v>1042</v>
      </c>
    </row>
    <row r="306" spans="1:9" ht="26" customHeight="1">
      <c r="A306" s="17" t="s">
        <v>95</v>
      </c>
      <c r="B306" s="18" t="s">
        <v>152</v>
      </c>
      <c r="C306" s="18" t="s">
        <v>97</v>
      </c>
      <c r="D306" s="18">
        <v>17</v>
      </c>
      <c r="E306" s="17" t="s">
        <v>114</v>
      </c>
      <c r="F306" s="19">
        <v>763</v>
      </c>
      <c r="G306" s="20">
        <f>F306+(VLOOKUP(D306,'(Semelles.Monument.€HT)'!C:G,3,FALSE()))</f>
        <v>949</v>
      </c>
      <c r="H306" s="21">
        <f>F306+(VLOOKUP(D306,'(Semelles.Monument.€HT)'!C:G,4,FALSE()))</f>
        <v>1003</v>
      </c>
      <c r="I306" s="22">
        <f>F306+(VLOOKUP(D306,'(Semelles.Monument.€HT)'!C:G,5,FALSE()))</f>
        <v>1060</v>
      </c>
    </row>
    <row r="307" spans="1:9" ht="26" customHeight="1">
      <c r="A307" s="2" t="s">
        <v>95</v>
      </c>
      <c r="B307" s="13" t="s">
        <v>152</v>
      </c>
      <c r="C307" s="13" t="s">
        <v>97</v>
      </c>
      <c r="D307" s="13">
        <v>18</v>
      </c>
      <c r="E307" s="2" t="s">
        <v>115</v>
      </c>
      <c r="F307" s="7">
        <v>763</v>
      </c>
      <c r="G307" s="3">
        <f>F307+(VLOOKUP(D307,'(Semelles.Monument.€HT)'!C:G,3,FALSE()))</f>
        <v>949</v>
      </c>
      <c r="H307" s="4">
        <f>F307+(VLOOKUP(D307,'(Semelles.Monument.€HT)'!C:G,4,FALSE()))</f>
        <v>1003</v>
      </c>
      <c r="I307" s="5">
        <f>F307+(VLOOKUP(D307,'(Semelles.Monument.€HT)'!C:G,5,FALSE()))</f>
        <v>1060</v>
      </c>
    </row>
    <row r="308" spans="1:9" ht="26" customHeight="1">
      <c r="A308" s="17" t="s">
        <v>95</v>
      </c>
      <c r="B308" s="18" t="s">
        <v>152</v>
      </c>
      <c r="C308" s="18" t="s">
        <v>97</v>
      </c>
      <c r="D308" s="18">
        <v>19</v>
      </c>
      <c r="E308" s="17" t="s">
        <v>116</v>
      </c>
      <c r="F308" s="19">
        <v>763</v>
      </c>
      <c r="G308" s="20">
        <f>F308+(VLOOKUP(D308,'(Semelles.Monument.€HT)'!C:G,3,FALSE()))</f>
        <v>949</v>
      </c>
      <c r="H308" s="21">
        <f>F308+(VLOOKUP(D308,'(Semelles.Monument.€HT)'!C:G,4,FALSE()))</f>
        <v>1003</v>
      </c>
      <c r="I308" s="22">
        <f>F308+(VLOOKUP(D308,'(Semelles.Monument.€HT)'!C:G,5,FALSE()))</f>
        <v>1060</v>
      </c>
    </row>
    <row r="309" spans="1:9" ht="26" customHeight="1">
      <c r="A309" s="2" t="s">
        <v>95</v>
      </c>
      <c r="B309" s="13" t="s">
        <v>152</v>
      </c>
      <c r="C309" s="13" t="s">
        <v>97</v>
      </c>
      <c r="D309" s="13">
        <v>20</v>
      </c>
      <c r="E309" s="2" t="s">
        <v>117</v>
      </c>
      <c r="F309" s="7">
        <v>769</v>
      </c>
      <c r="G309" s="3">
        <f>F309+(VLOOKUP(D309,'(Semelles.Monument.€HT)'!C:G,3,FALSE()))</f>
        <v>957</v>
      </c>
      <c r="H309" s="4">
        <f>F309+(VLOOKUP(D309,'(Semelles.Monument.€HT)'!C:G,4,FALSE()))</f>
        <v>1011</v>
      </c>
      <c r="I309" s="5">
        <f>F309+(VLOOKUP(D309,'(Semelles.Monument.€HT)'!C:G,5,FALSE()))</f>
        <v>1068</v>
      </c>
    </row>
    <row r="310" spans="1:9" ht="26" customHeight="1">
      <c r="A310" s="17" t="s">
        <v>95</v>
      </c>
      <c r="B310" s="18" t="s">
        <v>152</v>
      </c>
      <c r="C310" s="18" t="s">
        <v>97</v>
      </c>
      <c r="D310" s="18">
        <v>21</v>
      </c>
      <c r="E310" s="17" t="s">
        <v>118</v>
      </c>
      <c r="F310" s="19">
        <v>774</v>
      </c>
      <c r="G310" s="20">
        <f>F310+(VLOOKUP(D310,'(Semelles.Monument.€HT)'!C:G,3,FALSE()))</f>
        <v>963</v>
      </c>
      <c r="H310" s="21">
        <f>F310+(VLOOKUP(D310,'(Semelles.Monument.€HT)'!C:G,4,FALSE()))</f>
        <v>1017</v>
      </c>
      <c r="I310" s="22">
        <f>F310+(VLOOKUP(D310,'(Semelles.Monument.€HT)'!C:G,5,FALSE()))</f>
        <v>1075</v>
      </c>
    </row>
    <row r="311" spans="1:9" ht="26" customHeight="1">
      <c r="A311" s="2" t="s">
        <v>95</v>
      </c>
      <c r="B311" s="13" t="s">
        <v>152</v>
      </c>
      <c r="C311" s="13" t="s">
        <v>97</v>
      </c>
      <c r="D311" s="13">
        <v>22</v>
      </c>
      <c r="E311" s="2" t="s">
        <v>119</v>
      </c>
      <c r="F311" s="7">
        <v>774</v>
      </c>
      <c r="G311" s="3">
        <f>F311+(VLOOKUP(D311,'(Semelles.Monument.€HT)'!C:G,3,FALSE()))</f>
        <v>963</v>
      </c>
      <c r="H311" s="4">
        <f>F311+(VLOOKUP(D311,'(Semelles.Monument.€HT)'!C:G,4,FALSE()))</f>
        <v>1017</v>
      </c>
      <c r="I311" s="5">
        <f>F311+(VLOOKUP(D311,'(Semelles.Monument.€HT)'!C:G,5,FALSE()))</f>
        <v>1075</v>
      </c>
    </row>
    <row r="312" spans="1:9" ht="26" customHeight="1">
      <c r="A312" s="17" t="s">
        <v>95</v>
      </c>
      <c r="B312" s="18" t="s">
        <v>152</v>
      </c>
      <c r="C312" s="18" t="s">
        <v>97</v>
      </c>
      <c r="D312" s="18">
        <v>23</v>
      </c>
      <c r="E312" s="17" t="s">
        <v>120</v>
      </c>
      <c r="F312" s="19">
        <v>786</v>
      </c>
      <c r="G312" s="20">
        <f>F312+(VLOOKUP(D312,'(Semelles.Monument.€HT)'!C:G,3,FALSE()))</f>
        <v>978</v>
      </c>
      <c r="H312" s="21">
        <f>F312+(VLOOKUP(D312,'(Semelles.Monument.€HT)'!C:G,4,FALSE()))</f>
        <v>1033</v>
      </c>
      <c r="I312" s="22">
        <f>F312+(VLOOKUP(D312,'(Semelles.Monument.€HT)'!C:G,5,FALSE()))</f>
        <v>1091</v>
      </c>
    </row>
    <row r="313" spans="1:9" ht="26" customHeight="1">
      <c r="A313" s="2" t="s">
        <v>95</v>
      </c>
      <c r="B313" s="13" t="s">
        <v>152</v>
      </c>
      <c r="C313" s="13" t="s">
        <v>97</v>
      </c>
      <c r="D313" s="13">
        <v>24</v>
      </c>
      <c r="E313" s="2" t="s">
        <v>121</v>
      </c>
      <c r="F313" s="7">
        <v>786</v>
      </c>
      <c r="G313" s="3">
        <f>F313+(VLOOKUP(D313,'(Semelles.Monument.€HT)'!C:G,3,FALSE()))</f>
        <v>978</v>
      </c>
      <c r="H313" s="4">
        <f>F313+(VLOOKUP(D313,'(Semelles.Monument.€HT)'!C:G,4,FALSE()))</f>
        <v>1033</v>
      </c>
      <c r="I313" s="5">
        <f>F313+(VLOOKUP(D313,'(Semelles.Monument.€HT)'!C:G,5,FALSE()))</f>
        <v>1091</v>
      </c>
    </row>
    <row r="314" spans="1:9" ht="26" customHeight="1">
      <c r="A314" s="17" t="s">
        <v>95</v>
      </c>
      <c r="B314" s="18" t="s">
        <v>152</v>
      </c>
      <c r="C314" s="18" t="s">
        <v>97</v>
      </c>
      <c r="D314" s="18">
        <v>25</v>
      </c>
      <c r="E314" s="17" t="s">
        <v>122</v>
      </c>
      <c r="F314" s="19">
        <v>786</v>
      </c>
      <c r="G314" s="20">
        <f>F314+(VLOOKUP(D314,'(Semelles.Monument.€HT)'!C:G,3,FALSE()))</f>
        <v>978</v>
      </c>
      <c r="H314" s="21">
        <f>F314+(VLOOKUP(D314,'(Semelles.Monument.€HT)'!C:G,4,FALSE()))</f>
        <v>1033</v>
      </c>
      <c r="I314" s="22">
        <f>F314+(VLOOKUP(D314,'(Semelles.Monument.€HT)'!C:G,5,FALSE()))</f>
        <v>1091</v>
      </c>
    </row>
    <row r="315" spans="1:9" ht="26" customHeight="1">
      <c r="A315" s="2" t="s">
        <v>95</v>
      </c>
      <c r="B315" s="13" t="s">
        <v>152</v>
      </c>
      <c r="C315" s="13" t="s">
        <v>97</v>
      </c>
      <c r="D315" s="13">
        <v>26</v>
      </c>
      <c r="E315" s="2" t="s">
        <v>123</v>
      </c>
      <c r="F315" s="7">
        <v>799</v>
      </c>
      <c r="G315" s="3">
        <f>F315+(VLOOKUP(D315,'(Semelles.Monument.€HT)'!C:G,3,FALSE()))</f>
        <v>994</v>
      </c>
      <c r="H315" s="4">
        <f>F315+(VLOOKUP(D315,'(Semelles.Monument.€HT)'!C:G,4,FALSE()))</f>
        <v>1050</v>
      </c>
      <c r="I315" s="5">
        <f>F315+(VLOOKUP(D315,'(Semelles.Monument.€HT)'!C:G,5,FALSE()))</f>
        <v>1109</v>
      </c>
    </row>
    <row r="316" spans="1:9" ht="26" customHeight="1">
      <c r="A316" s="17" t="s">
        <v>95</v>
      </c>
      <c r="B316" s="18" t="s">
        <v>152</v>
      </c>
      <c r="C316" s="18" t="s">
        <v>97</v>
      </c>
      <c r="D316" s="18">
        <v>27</v>
      </c>
      <c r="E316" s="17" t="s">
        <v>124</v>
      </c>
      <c r="F316" s="19">
        <v>851</v>
      </c>
      <c r="G316" s="20">
        <f>F316+(VLOOKUP(D316,'(Semelles.Monument.€HT)'!C:G,3,FALSE()))</f>
        <v>1059</v>
      </c>
      <c r="H316" s="21">
        <f>F316+(VLOOKUP(D316,'(Semelles.Monument.€HT)'!C:G,4,FALSE()))</f>
        <v>1119</v>
      </c>
      <c r="I316" s="22">
        <f>F316+(VLOOKUP(D316,'(Semelles.Monument.€HT)'!C:G,5,FALSE()))</f>
        <v>1218</v>
      </c>
    </row>
    <row r="317" spans="1:9" ht="26" customHeight="1">
      <c r="A317" s="2" t="s">
        <v>95</v>
      </c>
      <c r="B317" s="13" t="s">
        <v>152</v>
      </c>
      <c r="C317" s="13" t="s">
        <v>97</v>
      </c>
      <c r="D317" s="13">
        <v>28</v>
      </c>
      <c r="E317" s="2" t="s">
        <v>125</v>
      </c>
      <c r="F317" s="7">
        <v>943</v>
      </c>
      <c r="G317" s="3">
        <f>F317+(VLOOKUP(D317,'(Semelles.Monument.€HT)'!C:G,3,FALSE()))</f>
        <v>1173</v>
      </c>
      <c r="H317" s="4">
        <f>F317+(VLOOKUP(D317,'(Semelles.Monument.€HT)'!C:G,4,FALSE()))</f>
        <v>1240</v>
      </c>
      <c r="I317" s="5">
        <f>F317+(VLOOKUP(D317,'(Semelles.Monument.€HT)'!C:G,5,FALSE()))</f>
        <v>1310</v>
      </c>
    </row>
    <row r="318" spans="1:9" ht="26" customHeight="1">
      <c r="A318" s="17" t="s">
        <v>95</v>
      </c>
      <c r="B318" s="18" t="s">
        <v>152</v>
      </c>
      <c r="C318" s="18" t="s">
        <v>97</v>
      </c>
      <c r="D318" s="18">
        <v>29</v>
      </c>
      <c r="E318" s="17" t="s">
        <v>126</v>
      </c>
      <c r="F318" s="19">
        <v>982</v>
      </c>
      <c r="G318" s="20">
        <f>F318+(VLOOKUP(D318,'(Semelles.Monument.€HT)'!C:G,3,FALSE()))</f>
        <v>1222</v>
      </c>
      <c r="H318" s="21">
        <f>F318+(VLOOKUP(D318,'(Semelles.Monument.€HT)'!C:G,4,FALSE()))</f>
        <v>1291</v>
      </c>
      <c r="I318" s="22">
        <f>F318+(VLOOKUP(D318,'(Semelles.Monument.€HT)'!C:G,5,FALSE()))</f>
        <v>1364</v>
      </c>
    </row>
    <row r="319" spans="1:9" ht="26" customHeight="1">
      <c r="A319" s="2" t="s">
        <v>95</v>
      </c>
      <c r="B319" s="13" t="s">
        <v>152</v>
      </c>
      <c r="C319" s="13" t="s">
        <v>97</v>
      </c>
      <c r="D319" s="13">
        <v>30</v>
      </c>
      <c r="E319" s="2" t="s">
        <v>127</v>
      </c>
      <c r="F319" s="7">
        <v>982</v>
      </c>
      <c r="G319" s="3">
        <f>F319+(VLOOKUP(D319,'(Semelles.Monument.€HT)'!C:G,3,FALSE()))</f>
        <v>1222</v>
      </c>
      <c r="H319" s="4">
        <f>F319+(VLOOKUP(D319,'(Semelles.Monument.€HT)'!C:G,4,FALSE()))</f>
        <v>1291</v>
      </c>
      <c r="I319" s="5">
        <f>F319+(VLOOKUP(D319,'(Semelles.Monument.€HT)'!C:G,5,FALSE()))</f>
        <v>1364</v>
      </c>
    </row>
    <row r="320" spans="1:9" ht="26" customHeight="1">
      <c r="A320" s="17" t="s">
        <v>95</v>
      </c>
      <c r="B320" s="18" t="s">
        <v>152</v>
      </c>
      <c r="C320" s="18" t="s">
        <v>128</v>
      </c>
      <c r="D320" s="18">
        <v>31</v>
      </c>
      <c r="E320" s="17" t="s">
        <v>129</v>
      </c>
      <c r="F320" s="19">
        <v>541</v>
      </c>
      <c r="G320" s="20">
        <f>F320+(VLOOKUP(D320,'(Semelles.Monument.€HT)'!C:G,3,FALSE()))</f>
        <v>673</v>
      </c>
      <c r="H320" s="21">
        <f>F320+(VLOOKUP(D320,'(Semelles.Monument.€HT)'!C:G,4,FALSE()))</f>
        <v>711</v>
      </c>
      <c r="I320" s="22">
        <f>F320+(VLOOKUP(D320,'(Semelles.Monument.€HT)'!C:G,5,FALSE()))</f>
        <v>751</v>
      </c>
    </row>
    <row r="321" spans="1:9" ht="26" customHeight="1">
      <c r="A321" s="2" t="s">
        <v>95</v>
      </c>
      <c r="B321" s="13" t="s">
        <v>152</v>
      </c>
      <c r="C321" s="13" t="s">
        <v>128</v>
      </c>
      <c r="D321" s="13">
        <v>32</v>
      </c>
      <c r="E321" s="2" t="s">
        <v>130</v>
      </c>
      <c r="F321" s="7">
        <v>549</v>
      </c>
      <c r="G321" s="3">
        <f>F321+(VLOOKUP(D321,'(Semelles.Monument.€HT)'!C:G,3,FALSE()))</f>
        <v>683</v>
      </c>
      <c r="H321" s="4">
        <f>F321+(VLOOKUP(D321,'(Semelles.Monument.€HT)'!C:G,4,FALSE()))</f>
        <v>722</v>
      </c>
      <c r="I321" s="5">
        <f>F321+(VLOOKUP(D321,'(Semelles.Monument.€HT)'!C:G,5,FALSE()))</f>
        <v>762</v>
      </c>
    </row>
    <row r="322" spans="1:9" ht="26" customHeight="1">
      <c r="A322" s="17" t="s">
        <v>95</v>
      </c>
      <c r="B322" s="18" t="s">
        <v>152</v>
      </c>
      <c r="C322" s="18" t="s">
        <v>128</v>
      </c>
      <c r="D322" s="18">
        <v>33</v>
      </c>
      <c r="E322" s="17" t="s">
        <v>131</v>
      </c>
      <c r="F322" s="19">
        <v>549</v>
      </c>
      <c r="G322" s="20">
        <f>F322+(VLOOKUP(D322,'(Semelles.Monument.€HT)'!C:G,3,FALSE()))</f>
        <v>683</v>
      </c>
      <c r="H322" s="21">
        <f>F322+(VLOOKUP(D322,'(Semelles.Monument.€HT)'!C:G,4,FALSE()))</f>
        <v>722</v>
      </c>
      <c r="I322" s="22">
        <f>F322+(VLOOKUP(D322,'(Semelles.Monument.€HT)'!C:G,5,FALSE()))</f>
        <v>762</v>
      </c>
    </row>
    <row r="323" spans="1:9" ht="26" customHeight="1">
      <c r="A323" s="2" t="s">
        <v>95</v>
      </c>
      <c r="B323" s="13" t="s">
        <v>152</v>
      </c>
      <c r="C323" s="13" t="s">
        <v>128</v>
      </c>
      <c r="D323" s="13">
        <v>34</v>
      </c>
      <c r="E323" s="2" t="s">
        <v>132</v>
      </c>
      <c r="F323" s="7">
        <v>554</v>
      </c>
      <c r="G323" s="3">
        <f>F323+(VLOOKUP(D323,'(Semelles.Monument.€HT)'!C:G,3,FALSE()))</f>
        <v>689</v>
      </c>
      <c r="H323" s="4">
        <f>F323+(VLOOKUP(D323,'(Semelles.Monument.€HT)'!C:G,4,FALSE()))</f>
        <v>728</v>
      </c>
      <c r="I323" s="5">
        <f>F323+(VLOOKUP(D323,'(Semelles.Monument.€HT)'!C:G,5,FALSE()))</f>
        <v>769</v>
      </c>
    </row>
    <row r="324" spans="1:9" ht="26" customHeight="1">
      <c r="A324" s="17" t="s">
        <v>95</v>
      </c>
      <c r="B324" s="18" t="s">
        <v>152</v>
      </c>
      <c r="C324" s="18" t="s">
        <v>128</v>
      </c>
      <c r="D324" s="18">
        <v>35</v>
      </c>
      <c r="E324" s="17" t="s">
        <v>133</v>
      </c>
      <c r="F324" s="19">
        <v>667</v>
      </c>
      <c r="G324" s="20">
        <f>F324+(VLOOKUP(D324,'(Semelles.Monument.€HT)'!C:G,3,FALSE()))</f>
        <v>830</v>
      </c>
      <c r="H324" s="21">
        <f>F324+(VLOOKUP(D324,'(Semelles.Monument.€HT)'!C:G,4,FALSE()))</f>
        <v>877</v>
      </c>
      <c r="I324" s="22">
        <f>F324+(VLOOKUP(D324,'(Semelles.Monument.€HT)'!C:G,5,FALSE()))</f>
        <v>926</v>
      </c>
    </row>
    <row r="325" spans="1:9" ht="26" customHeight="1">
      <c r="A325" s="2" t="s">
        <v>95</v>
      </c>
      <c r="B325" s="13" t="s">
        <v>152</v>
      </c>
      <c r="C325" s="13" t="s">
        <v>128</v>
      </c>
      <c r="D325" s="13">
        <v>36</v>
      </c>
      <c r="E325" s="2" t="s">
        <v>134</v>
      </c>
      <c r="F325" s="7">
        <v>690</v>
      </c>
      <c r="G325" s="3">
        <f>F325+(VLOOKUP(D325,'(Semelles.Monument.€HT)'!C:G,3,FALSE()))</f>
        <v>858</v>
      </c>
      <c r="H325" s="4">
        <f>F325+(VLOOKUP(D325,'(Semelles.Monument.€HT)'!C:G,4,FALSE()))</f>
        <v>907</v>
      </c>
      <c r="I325" s="5">
        <f>F325+(VLOOKUP(D325,'(Semelles.Monument.€HT)'!C:G,5,FALSE()))</f>
        <v>958</v>
      </c>
    </row>
    <row r="326" spans="1:9" ht="26" customHeight="1">
      <c r="A326" s="17" t="s">
        <v>95</v>
      </c>
      <c r="B326" s="18" t="s">
        <v>152</v>
      </c>
      <c r="C326" s="18" t="s">
        <v>128</v>
      </c>
      <c r="D326" s="18">
        <v>37</v>
      </c>
      <c r="E326" s="17" t="s">
        <v>135</v>
      </c>
      <c r="F326" s="19">
        <v>853</v>
      </c>
      <c r="G326" s="20">
        <f>F326+(VLOOKUP(D326,'(Semelles.Monument.€HT)'!C:G,3,FALSE()))</f>
        <v>1061</v>
      </c>
      <c r="H326" s="21">
        <f>F326+(VLOOKUP(D326,'(Semelles.Monument.€HT)'!C:G,4,FALSE()))</f>
        <v>1121</v>
      </c>
      <c r="I326" s="22">
        <f>F326+(VLOOKUP(D326,'(Semelles.Monument.€HT)'!C:G,5,FALSE()))</f>
        <v>1185</v>
      </c>
    </row>
    <row r="327" spans="1:9" ht="26" customHeight="1">
      <c r="A327" s="2" t="s">
        <v>95</v>
      </c>
      <c r="B327" s="13" t="s">
        <v>152</v>
      </c>
      <c r="C327" s="13" t="s">
        <v>128</v>
      </c>
      <c r="D327" s="13">
        <v>38</v>
      </c>
      <c r="E327" s="2" t="s">
        <v>136</v>
      </c>
      <c r="F327" s="7">
        <v>903</v>
      </c>
      <c r="G327" s="3">
        <f>F327+(VLOOKUP(D327,'(Semelles.Monument.€HT)'!C:G,3,FALSE()))</f>
        <v>1123</v>
      </c>
      <c r="H327" s="4">
        <f>F327+(VLOOKUP(D327,'(Semelles.Monument.€HT)'!C:G,4,FALSE()))</f>
        <v>1187</v>
      </c>
      <c r="I327" s="5">
        <f>F327+(VLOOKUP(D327,'(Semelles.Monument.€HT)'!C:G,5,FALSE()))</f>
        <v>1254</v>
      </c>
    </row>
    <row r="328" spans="1:9" ht="26" customHeight="1">
      <c r="A328" s="17" t="s">
        <v>95</v>
      </c>
      <c r="B328" s="18" t="s">
        <v>152</v>
      </c>
      <c r="C328" s="18" t="s">
        <v>128</v>
      </c>
      <c r="D328" s="18">
        <v>39</v>
      </c>
      <c r="E328" s="17" t="s">
        <v>137</v>
      </c>
      <c r="F328" s="19">
        <v>927</v>
      </c>
      <c r="G328" s="20">
        <f>F328+(VLOOKUP(D328,'(Semelles.Monument.€HT)'!C:G,3,FALSE()))</f>
        <v>1153</v>
      </c>
      <c r="H328" s="21">
        <f>F328+(VLOOKUP(D328,'(Semelles.Monument.€HT)'!C:G,4,FALSE()))</f>
        <v>1218</v>
      </c>
      <c r="I328" s="22">
        <f>F328+(VLOOKUP(D328,'(Semelles.Monument.€HT)'!C:G,5,FALSE()))</f>
        <v>1287</v>
      </c>
    </row>
    <row r="329" spans="1:9" ht="26" customHeight="1">
      <c r="A329" s="2" t="s">
        <v>95</v>
      </c>
      <c r="B329" s="13" t="s">
        <v>152</v>
      </c>
      <c r="C329" s="13" t="s">
        <v>128</v>
      </c>
      <c r="D329" s="13">
        <v>40</v>
      </c>
      <c r="E329" s="2" t="s">
        <v>138</v>
      </c>
      <c r="F329" s="7">
        <v>953</v>
      </c>
      <c r="G329" s="3">
        <f>F329+(VLOOKUP(D329,'(Semelles.Monument.€HT)'!C:G,3,FALSE()))</f>
        <v>1185</v>
      </c>
      <c r="H329" s="4">
        <f>F329+(VLOOKUP(D329,'(Semelles.Monument.€HT)'!C:G,4,FALSE()))</f>
        <v>1253</v>
      </c>
      <c r="I329" s="5">
        <f>F329+(VLOOKUP(D329,'(Semelles.Monument.€HT)'!C:G,5,FALSE()))</f>
        <v>1323</v>
      </c>
    </row>
    <row r="330" spans="1:9" ht="26" customHeight="1">
      <c r="A330" s="17" t="s">
        <v>95</v>
      </c>
      <c r="B330" s="18" t="s">
        <v>152</v>
      </c>
      <c r="C330" s="18" t="s">
        <v>128</v>
      </c>
      <c r="D330" s="18">
        <v>41</v>
      </c>
      <c r="E330" s="17" t="s">
        <v>139</v>
      </c>
      <c r="F330" s="19">
        <v>1013</v>
      </c>
      <c r="G330" s="20">
        <f>F330+(VLOOKUP(D330,'(Semelles.Monument.€HT)'!C:G,3,FALSE()))</f>
        <v>1260</v>
      </c>
      <c r="H330" s="21">
        <f>F330+(VLOOKUP(D330,'(Semelles.Monument.€HT)'!C:G,4,FALSE()))</f>
        <v>1332</v>
      </c>
      <c r="I330" s="22">
        <f>F330+(VLOOKUP(D330,'(Semelles.Monument.€HT)'!C:G,5,FALSE()))</f>
        <v>1407</v>
      </c>
    </row>
    <row r="331" spans="1:9" ht="26" customHeight="1">
      <c r="A331" s="2" t="s">
        <v>95</v>
      </c>
      <c r="B331" s="13" t="s">
        <v>152</v>
      </c>
      <c r="C331" s="13" t="s">
        <v>128</v>
      </c>
      <c r="D331" s="13">
        <v>42</v>
      </c>
      <c r="E331" s="2" t="s">
        <v>140</v>
      </c>
      <c r="F331" s="7">
        <v>1113</v>
      </c>
      <c r="G331" s="3">
        <f>F331+(VLOOKUP(D331,'(Semelles.Monument.€HT)'!C:G,3,FALSE()))</f>
        <v>1384</v>
      </c>
      <c r="H331" s="4">
        <f>F331+(VLOOKUP(D331,'(Semelles.Monument.€HT)'!C:G,4,FALSE()))</f>
        <v>1463</v>
      </c>
      <c r="I331" s="5">
        <f>F331+(VLOOKUP(D331,'(Semelles.Monument.€HT)'!C:G,5,FALSE()))</f>
        <v>1546</v>
      </c>
    </row>
    <row r="332" spans="1:9" ht="26" customHeight="1">
      <c r="A332" s="17" t="s">
        <v>95</v>
      </c>
      <c r="B332" s="18" t="s">
        <v>152</v>
      </c>
      <c r="C332" s="18" t="s">
        <v>128</v>
      </c>
      <c r="D332" s="18">
        <v>43</v>
      </c>
      <c r="E332" s="17" t="s">
        <v>141</v>
      </c>
      <c r="F332" s="19">
        <v>1113</v>
      </c>
      <c r="G332" s="20">
        <f>F332+(VLOOKUP(D332,'(Semelles.Monument.€HT)'!C:G,3,FALSE()))</f>
        <v>1384</v>
      </c>
      <c r="H332" s="21">
        <f>F332+(VLOOKUP(D332,'(Semelles.Monument.€HT)'!C:G,4,FALSE()))</f>
        <v>1463</v>
      </c>
      <c r="I332" s="22">
        <f>F332+(VLOOKUP(D332,'(Semelles.Monument.€HT)'!C:G,5,FALSE()))</f>
        <v>1546</v>
      </c>
    </row>
    <row r="333" spans="1:9" ht="26" customHeight="1">
      <c r="A333" s="2" t="s">
        <v>95</v>
      </c>
      <c r="B333" s="13" t="s">
        <v>152</v>
      </c>
      <c r="C333" s="13" t="s">
        <v>128</v>
      </c>
      <c r="D333" s="13">
        <v>44</v>
      </c>
      <c r="E333" s="2" t="s">
        <v>142</v>
      </c>
      <c r="F333" s="7">
        <v>1126</v>
      </c>
      <c r="G333" s="3">
        <f>F333+(VLOOKUP(D333,'(Semelles.Monument.€HT)'!C:G,3,FALSE()))</f>
        <v>1401</v>
      </c>
      <c r="H333" s="4">
        <f>F333+(VLOOKUP(D333,'(Semelles.Monument.€HT)'!C:G,4,FALSE()))</f>
        <v>1480</v>
      </c>
      <c r="I333" s="5">
        <f>F333+(VLOOKUP(D333,'(Semelles.Monument.€HT)'!C:G,5,FALSE()))</f>
        <v>1564</v>
      </c>
    </row>
    <row r="334" spans="1:9" ht="26" customHeight="1">
      <c r="A334" s="17" t="s">
        <v>95</v>
      </c>
      <c r="B334" s="18" t="s">
        <v>152</v>
      </c>
      <c r="C334" s="18" t="s">
        <v>128</v>
      </c>
      <c r="D334" s="18">
        <v>45</v>
      </c>
      <c r="E334" s="17" t="s">
        <v>143</v>
      </c>
      <c r="F334" s="19">
        <v>1139</v>
      </c>
      <c r="G334" s="20">
        <f>F334+(VLOOKUP(D334,'(Semelles.Monument.€HT)'!C:G,3,FALSE()))</f>
        <v>1417</v>
      </c>
      <c r="H334" s="21">
        <f>F334+(VLOOKUP(D334,'(Semelles.Monument.€HT)'!C:G,4,FALSE()))</f>
        <v>1497</v>
      </c>
      <c r="I334" s="22">
        <f>F334+(VLOOKUP(D334,'(Semelles.Monument.€HT)'!C:G,5,FALSE()))</f>
        <v>1582</v>
      </c>
    </row>
    <row r="335" spans="1:9" ht="26" customHeight="1">
      <c r="A335" s="2" t="s">
        <v>95</v>
      </c>
      <c r="B335" s="13" t="s">
        <v>152</v>
      </c>
      <c r="C335" s="13" t="s">
        <v>128</v>
      </c>
      <c r="D335" s="13">
        <v>46</v>
      </c>
      <c r="E335" s="2" t="s">
        <v>144</v>
      </c>
      <c r="F335" s="7">
        <v>1139</v>
      </c>
      <c r="G335" s="3">
        <f>F335+(VLOOKUP(D335,'(Semelles.Monument.€HT)'!C:G,3,FALSE()))</f>
        <v>1417</v>
      </c>
      <c r="H335" s="4">
        <f>F335+(VLOOKUP(D335,'(Semelles.Monument.€HT)'!C:G,4,FALSE()))</f>
        <v>1497</v>
      </c>
      <c r="I335" s="5">
        <f>F335+(VLOOKUP(D335,'(Semelles.Monument.€HT)'!C:G,5,FALSE()))</f>
        <v>1582</v>
      </c>
    </row>
    <row r="336" spans="1:9" ht="26" customHeight="1">
      <c r="A336" s="17" t="s">
        <v>95</v>
      </c>
      <c r="B336" s="18" t="s">
        <v>152</v>
      </c>
      <c r="C336" s="18" t="s">
        <v>128</v>
      </c>
      <c r="D336" s="18">
        <v>47</v>
      </c>
      <c r="E336" s="17" t="s">
        <v>145</v>
      </c>
      <c r="F336" s="19">
        <v>1163</v>
      </c>
      <c r="G336" s="20">
        <f>F336+(VLOOKUP(D336,'(Semelles.Monument.€HT)'!C:G,3,FALSE()))</f>
        <v>1447</v>
      </c>
      <c r="H336" s="21">
        <f>F336+(VLOOKUP(D336,'(Semelles.Monument.€HT)'!C:G,4,FALSE()))</f>
        <v>1529</v>
      </c>
      <c r="I336" s="22">
        <f>F336+(VLOOKUP(D336,'(Semelles.Monument.€HT)'!C:G,5,FALSE()))</f>
        <v>1615</v>
      </c>
    </row>
    <row r="337" spans="1:9" ht="26" customHeight="1">
      <c r="A337" s="2" t="s">
        <v>95</v>
      </c>
      <c r="B337" s="13" t="s">
        <v>152</v>
      </c>
      <c r="C337" s="13" t="s">
        <v>128</v>
      </c>
      <c r="D337" s="13">
        <v>48</v>
      </c>
      <c r="E337" s="2" t="s">
        <v>146</v>
      </c>
      <c r="F337" s="7">
        <v>1176</v>
      </c>
      <c r="G337" s="3">
        <f>F337+(VLOOKUP(D337,'(Semelles.Monument.€HT)'!C:G,3,FALSE()))</f>
        <v>1463</v>
      </c>
      <c r="H337" s="4">
        <f>F337+(VLOOKUP(D337,'(Semelles.Monument.€HT)'!C:G,4,FALSE()))</f>
        <v>1546</v>
      </c>
      <c r="I337" s="5">
        <f>F337+(VLOOKUP(D337,'(Semelles.Monument.€HT)'!C:G,5,FALSE()))</f>
        <v>1633</v>
      </c>
    </row>
    <row r="338" spans="1:9" ht="26" customHeight="1">
      <c r="A338" s="17" t="s">
        <v>95</v>
      </c>
      <c r="B338" s="18" t="s">
        <v>153</v>
      </c>
      <c r="C338" s="18" t="s">
        <v>97</v>
      </c>
      <c r="D338" s="18">
        <v>1</v>
      </c>
      <c r="E338" s="17" t="s">
        <v>98</v>
      </c>
      <c r="F338" s="19">
        <v>649</v>
      </c>
      <c r="G338" s="20">
        <f>F338+(VLOOKUP(D338,'(Semelles.Monument.€HT)'!C:G,3,FALSE()))</f>
        <v>807</v>
      </c>
      <c r="H338" s="21">
        <f>F338+(VLOOKUP(D338,'(Semelles.Monument.€HT)'!C:G,4,FALSE()))</f>
        <v>853</v>
      </c>
      <c r="I338" s="22">
        <f>F338+(VLOOKUP(D338,'(Semelles.Monument.€HT)'!C:G,5,FALSE()))</f>
        <v>901</v>
      </c>
    </row>
    <row r="339" spans="1:9" ht="26" customHeight="1">
      <c r="A339" s="2" t="s">
        <v>95</v>
      </c>
      <c r="B339" s="13" t="s">
        <v>153</v>
      </c>
      <c r="C339" s="13" t="s">
        <v>97</v>
      </c>
      <c r="D339" s="13">
        <v>2</v>
      </c>
      <c r="E339" s="2" t="s">
        <v>99</v>
      </c>
      <c r="F339" s="7">
        <v>648</v>
      </c>
      <c r="G339" s="3">
        <f>F339+(VLOOKUP(D339,'(Semelles.Monument.€HT)'!C:G,3,FALSE()))</f>
        <v>806</v>
      </c>
      <c r="H339" s="4">
        <f>F339+(VLOOKUP(D339,'(Semelles.Monument.€HT)'!C:G,4,FALSE()))</f>
        <v>852</v>
      </c>
      <c r="I339" s="5">
        <f>F339+(VLOOKUP(D339,'(Semelles.Monument.€HT)'!C:G,5,FALSE()))</f>
        <v>900</v>
      </c>
    </row>
    <row r="340" spans="1:9" ht="26" customHeight="1">
      <c r="A340" s="17" t="s">
        <v>95</v>
      </c>
      <c r="B340" s="18" t="s">
        <v>153</v>
      </c>
      <c r="C340" s="18" t="s">
        <v>97</v>
      </c>
      <c r="D340" s="18">
        <v>3</v>
      </c>
      <c r="E340" s="17" t="s">
        <v>100</v>
      </c>
      <c r="F340" s="19">
        <v>721</v>
      </c>
      <c r="G340" s="20">
        <f>F340+(VLOOKUP(D340,'(Semelles.Monument.€HT)'!C:G,3,FALSE()))</f>
        <v>897</v>
      </c>
      <c r="H340" s="21">
        <f>F340+(VLOOKUP(D340,'(Semelles.Monument.€HT)'!C:G,4,FALSE()))</f>
        <v>948</v>
      </c>
      <c r="I340" s="22">
        <f>F340+(VLOOKUP(D340,'(Semelles.Monument.€HT)'!C:G,5,FALSE()))</f>
        <v>1001</v>
      </c>
    </row>
    <row r="341" spans="1:9" ht="26" customHeight="1">
      <c r="A341" s="2" t="s">
        <v>95</v>
      </c>
      <c r="B341" s="13" t="s">
        <v>153</v>
      </c>
      <c r="C341" s="13" t="s">
        <v>97</v>
      </c>
      <c r="D341" s="13">
        <v>4</v>
      </c>
      <c r="E341" s="2" t="s">
        <v>101</v>
      </c>
      <c r="F341" s="7">
        <v>733</v>
      </c>
      <c r="G341" s="3">
        <f>F341+(VLOOKUP(D341,'(Semelles.Monument.€HT)'!C:G,3,FALSE()))</f>
        <v>912</v>
      </c>
      <c r="H341" s="4">
        <f>F341+(VLOOKUP(D341,'(Semelles.Monument.€HT)'!C:G,4,FALSE()))</f>
        <v>964</v>
      </c>
      <c r="I341" s="5">
        <f>F341+(VLOOKUP(D341,'(Semelles.Monument.€HT)'!C:G,5,FALSE()))</f>
        <v>1018</v>
      </c>
    </row>
    <row r="342" spans="1:9" ht="26" customHeight="1">
      <c r="A342" s="17" t="s">
        <v>95</v>
      </c>
      <c r="B342" s="18" t="s">
        <v>153</v>
      </c>
      <c r="C342" s="18" t="s">
        <v>97</v>
      </c>
      <c r="D342" s="18">
        <v>5</v>
      </c>
      <c r="E342" s="17" t="s">
        <v>102</v>
      </c>
      <c r="F342" s="19">
        <v>733</v>
      </c>
      <c r="G342" s="20">
        <f>F342+(VLOOKUP(D342,'(Semelles.Monument.€HT)'!C:G,3,FALSE()))</f>
        <v>912</v>
      </c>
      <c r="H342" s="21">
        <f>F342+(VLOOKUP(D342,'(Semelles.Monument.€HT)'!C:G,4,FALSE()))</f>
        <v>964</v>
      </c>
      <c r="I342" s="22">
        <f>F342+(VLOOKUP(D342,'(Semelles.Monument.€HT)'!C:G,5,FALSE()))</f>
        <v>1018</v>
      </c>
    </row>
    <row r="343" spans="1:9" ht="26" customHeight="1">
      <c r="A343" s="2" t="s">
        <v>95</v>
      </c>
      <c r="B343" s="13" t="s">
        <v>153</v>
      </c>
      <c r="C343" s="13" t="s">
        <v>97</v>
      </c>
      <c r="D343" s="13">
        <v>6</v>
      </c>
      <c r="E343" s="2" t="s">
        <v>103</v>
      </c>
      <c r="F343" s="7">
        <v>737</v>
      </c>
      <c r="G343" s="3">
        <f>F343+(VLOOKUP(D343,'(Semelles.Monument.€HT)'!C:G,3,FALSE()))</f>
        <v>917</v>
      </c>
      <c r="H343" s="4">
        <f>F343+(VLOOKUP(D343,'(Semelles.Monument.€HT)'!C:G,4,FALSE()))</f>
        <v>969</v>
      </c>
      <c r="I343" s="5">
        <f>F343+(VLOOKUP(D343,'(Semelles.Monument.€HT)'!C:G,5,FALSE()))</f>
        <v>1024</v>
      </c>
    </row>
    <row r="344" spans="1:9" ht="26" customHeight="1">
      <c r="A344" s="17" t="s">
        <v>95</v>
      </c>
      <c r="B344" s="18" t="s">
        <v>153</v>
      </c>
      <c r="C344" s="18" t="s">
        <v>97</v>
      </c>
      <c r="D344" s="18">
        <v>7</v>
      </c>
      <c r="E344" s="17" t="s">
        <v>104</v>
      </c>
      <c r="F344" s="19">
        <v>737</v>
      </c>
      <c r="G344" s="20">
        <f>F344+(VLOOKUP(D344,'(Semelles.Monument.€HT)'!C:G,3,FALSE()))</f>
        <v>917</v>
      </c>
      <c r="H344" s="21">
        <f>F344+(VLOOKUP(D344,'(Semelles.Monument.€HT)'!C:G,4,FALSE()))</f>
        <v>969</v>
      </c>
      <c r="I344" s="22">
        <f>F344+(VLOOKUP(D344,'(Semelles.Monument.€HT)'!C:G,5,FALSE()))</f>
        <v>1024</v>
      </c>
    </row>
    <row r="345" spans="1:9" ht="26" customHeight="1">
      <c r="A345" s="2" t="s">
        <v>95</v>
      </c>
      <c r="B345" s="13" t="s">
        <v>153</v>
      </c>
      <c r="C345" s="13" t="s">
        <v>97</v>
      </c>
      <c r="D345" s="13">
        <v>8</v>
      </c>
      <c r="E345" s="2" t="s">
        <v>105</v>
      </c>
      <c r="F345" s="7">
        <v>737</v>
      </c>
      <c r="G345" s="3">
        <f>F345+(VLOOKUP(D345,'(Semelles.Monument.€HT)'!C:G,3,FALSE()))</f>
        <v>917</v>
      </c>
      <c r="H345" s="4">
        <f>F345+(VLOOKUP(D345,'(Semelles.Monument.€HT)'!C:G,4,FALSE()))</f>
        <v>969</v>
      </c>
      <c r="I345" s="5">
        <f>F345+(VLOOKUP(D345,'(Semelles.Monument.€HT)'!C:G,5,FALSE()))</f>
        <v>1024</v>
      </c>
    </row>
    <row r="346" spans="1:9" ht="26" customHeight="1">
      <c r="A346" s="17" t="s">
        <v>95</v>
      </c>
      <c r="B346" s="18" t="s">
        <v>153</v>
      </c>
      <c r="C346" s="18" t="s">
        <v>97</v>
      </c>
      <c r="D346" s="18">
        <v>9</v>
      </c>
      <c r="E346" s="17" t="s">
        <v>106</v>
      </c>
      <c r="F346" s="19">
        <v>737</v>
      </c>
      <c r="G346" s="20">
        <f>F346+(VLOOKUP(D346,'(Semelles.Monument.€HT)'!C:G,3,FALSE()))</f>
        <v>917</v>
      </c>
      <c r="H346" s="21">
        <f>F346+(VLOOKUP(D346,'(Semelles.Monument.€HT)'!C:G,4,FALSE()))</f>
        <v>969</v>
      </c>
      <c r="I346" s="22">
        <f>F346+(VLOOKUP(D346,'(Semelles.Monument.€HT)'!C:G,5,FALSE()))</f>
        <v>1024</v>
      </c>
    </row>
    <row r="347" spans="1:9" ht="26" customHeight="1">
      <c r="A347" s="2" t="s">
        <v>95</v>
      </c>
      <c r="B347" s="13" t="s">
        <v>153</v>
      </c>
      <c r="C347" s="13" t="s">
        <v>97</v>
      </c>
      <c r="D347" s="13">
        <v>10</v>
      </c>
      <c r="E347" s="2" t="s">
        <v>107</v>
      </c>
      <c r="F347" s="7">
        <v>737</v>
      </c>
      <c r="G347" s="3">
        <f>F347+(VLOOKUP(D347,'(Semelles.Monument.€HT)'!C:G,3,FALSE()))</f>
        <v>917</v>
      </c>
      <c r="H347" s="4">
        <f>F347+(VLOOKUP(D347,'(Semelles.Monument.€HT)'!C:G,4,FALSE()))</f>
        <v>969</v>
      </c>
      <c r="I347" s="5">
        <f>F347+(VLOOKUP(D347,'(Semelles.Monument.€HT)'!C:G,5,FALSE()))</f>
        <v>1024</v>
      </c>
    </row>
    <row r="348" spans="1:9" ht="26" customHeight="1">
      <c r="A348" s="17" t="s">
        <v>95</v>
      </c>
      <c r="B348" s="18" t="s">
        <v>153</v>
      </c>
      <c r="C348" s="18" t="s">
        <v>97</v>
      </c>
      <c r="D348" s="18">
        <v>11</v>
      </c>
      <c r="E348" s="17" t="s">
        <v>108</v>
      </c>
      <c r="F348" s="19">
        <v>737</v>
      </c>
      <c r="G348" s="20">
        <f>F348+(VLOOKUP(D348,'(Semelles.Monument.€HT)'!C:G,3,FALSE()))</f>
        <v>917</v>
      </c>
      <c r="H348" s="21">
        <f>F348+(VLOOKUP(D348,'(Semelles.Monument.€HT)'!C:G,4,FALSE()))</f>
        <v>969</v>
      </c>
      <c r="I348" s="22">
        <f>F348+(VLOOKUP(D348,'(Semelles.Monument.€HT)'!C:G,5,FALSE()))</f>
        <v>1024</v>
      </c>
    </row>
    <row r="349" spans="1:9" ht="26" customHeight="1">
      <c r="A349" s="2" t="s">
        <v>95</v>
      </c>
      <c r="B349" s="13" t="s">
        <v>153</v>
      </c>
      <c r="C349" s="13" t="s">
        <v>97</v>
      </c>
      <c r="D349" s="13">
        <v>12</v>
      </c>
      <c r="E349" s="2" t="s">
        <v>109</v>
      </c>
      <c r="F349" s="7">
        <v>748</v>
      </c>
      <c r="G349" s="3">
        <f>F349+(VLOOKUP(D349,'(Semelles.Monument.€HT)'!C:G,3,FALSE()))</f>
        <v>930</v>
      </c>
      <c r="H349" s="4">
        <f>F349+(VLOOKUP(D349,'(Semelles.Monument.€HT)'!C:G,4,FALSE()))</f>
        <v>983</v>
      </c>
      <c r="I349" s="5">
        <f>F349+(VLOOKUP(D349,'(Semelles.Monument.€HT)'!C:G,5,FALSE()))</f>
        <v>1039</v>
      </c>
    </row>
    <row r="350" spans="1:9" ht="26" customHeight="1">
      <c r="A350" s="17" t="s">
        <v>95</v>
      </c>
      <c r="B350" s="18" t="s">
        <v>153</v>
      </c>
      <c r="C350" s="18" t="s">
        <v>97</v>
      </c>
      <c r="D350" s="18">
        <v>13</v>
      </c>
      <c r="E350" s="17" t="s">
        <v>110</v>
      </c>
      <c r="F350" s="19">
        <v>748</v>
      </c>
      <c r="G350" s="20">
        <f>F350+(VLOOKUP(D350,'(Semelles.Monument.€HT)'!C:G,3,FALSE()))</f>
        <v>930</v>
      </c>
      <c r="H350" s="21">
        <f>F350+(VLOOKUP(D350,'(Semelles.Monument.€HT)'!C:G,4,FALSE()))</f>
        <v>983</v>
      </c>
      <c r="I350" s="22">
        <f>F350+(VLOOKUP(D350,'(Semelles.Monument.€HT)'!C:G,5,FALSE()))</f>
        <v>1039</v>
      </c>
    </row>
    <row r="351" spans="1:9" ht="26" customHeight="1">
      <c r="A351" s="2" t="s">
        <v>95</v>
      </c>
      <c r="B351" s="13" t="s">
        <v>153</v>
      </c>
      <c r="C351" s="13" t="s">
        <v>97</v>
      </c>
      <c r="D351" s="13">
        <v>14</v>
      </c>
      <c r="E351" s="2" t="s">
        <v>111</v>
      </c>
      <c r="F351" s="7">
        <v>750</v>
      </c>
      <c r="G351" s="3">
        <f>F351+(VLOOKUP(D351,'(Semelles.Monument.€HT)'!C:G,3,FALSE()))</f>
        <v>933</v>
      </c>
      <c r="H351" s="4">
        <f>F351+(VLOOKUP(D351,'(Semelles.Monument.€HT)'!C:G,4,FALSE()))</f>
        <v>986</v>
      </c>
      <c r="I351" s="5">
        <f>F351+(VLOOKUP(D351,'(Semelles.Monument.€HT)'!C:G,5,FALSE()))</f>
        <v>1042</v>
      </c>
    </row>
    <row r="352" spans="1:9" ht="26" customHeight="1">
      <c r="A352" s="17" t="s">
        <v>95</v>
      </c>
      <c r="B352" s="18" t="s">
        <v>153</v>
      </c>
      <c r="C352" s="18" t="s">
        <v>97</v>
      </c>
      <c r="D352" s="18">
        <v>15</v>
      </c>
      <c r="E352" s="17" t="s">
        <v>112</v>
      </c>
      <c r="F352" s="19">
        <v>750</v>
      </c>
      <c r="G352" s="20">
        <f>F352+(VLOOKUP(D352,'(Semelles.Monument.€HT)'!C:G,3,FALSE()))</f>
        <v>933</v>
      </c>
      <c r="H352" s="21">
        <f>F352+(VLOOKUP(D352,'(Semelles.Monument.€HT)'!C:G,4,FALSE()))</f>
        <v>986</v>
      </c>
      <c r="I352" s="22">
        <f>F352+(VLOOKUP(D352,'(Semelles.Monument.€HT)'!C:G,5,FALSE()))</f>
        <v>1042</v>
      </c>
    </row>
    <row r="353" spans="1:9" ht="26" customHeight="1">
      <c r="A353" s="2" t="s">
        <v>95</v>
      </c>
      <c r="B353" s="13" t="s">
        <v>153</v>
      </c>
      <c r="C353" s="13" t="s">
        <v>97</v>
      </c>
      <c r="D353" s="13">
        <v>16</v>
      </c>
      <c r="E353" s="2" t="s">
        <v>113</v>
      </c>
      <c r="F353" s="7">
        <v>750</v>
      </c>
      <c r="G353" s="3">
        <f>F353+(VLOOKUP(D353,'(Semelles.Monument.€HT)'!C:G,3,FALSE()))</f>
        <v>933</v>
      </c>
      <c r="H353" s="4">
        <f>F353+(VLOOKUP(D353,'(Semelles.Monument.€HT)'!C:G,4,FALSE()))</f>
        <v>986</v>
      </c>
      <c r="I353" s="5">
        <f>F353+(VLOOKUP(D353,'(Semelles.Monument.€HT)'!C:G,5,FALSE()))</f>
        <v>1042</v>
      </c>
    </row>
    <row r="354" spans="1:9" ht="26" customHeight="1">
      <c r="A354" s="17" t="s">
        <v>95</v>
      </c>
      <c r="B354" s="18" t="s">
        <v>153</v>
      </c>
      <c r="C354" s="18" t="s">
        <v>97</v>
      </c>
      <c r="D354" s="18">
        <v>17</v>
      </c>
      <c r="E354" s="17" t="s">
        <v>114</v>
      </c>
      <c r="F354" s="19">
        <v>763</v>
      </c>
      <c r="G354" s="20">
        <f>F354+(VLOOKUP(D354,'(Semelles.Monument.€HT)'!C:G,3,FALSE()))</f>
        <v>949</v>
      </c>
      <c r="H354" s="21">
        <f>F354+(VLOOKUP(D354,'(Semelles.Monument.€HT)'!C:G,4,FALSE()))</f>
        <v>1003</v>
      </c>
      <c r="I354" s="22">
        <f>F354+(VLOOKUP(D354,'(Semelles.Monument.€HT)'!C:G,5,FALSE()))</f>
        <v>1060</v>
      </c>
    </row>
    <row r="355" spans="1:9" ht="26" customHeight="1">
      <c r="A355" s="2" t="s">
        <v>95</v>
      </c>
      <c r="B355" s="13" t="s">
        <v>153</v>
      </c>
      <c r="C355" s="13" t="s">
        <v>97</v>
      </c>
      <c r="D355" s="13">
        <v>18</v>
      </c>
      <c r="E355" s="2" t="s">
        <v>115</v>
      </c>
      <c r="F355" s="7">
        <v>763</v>
      </c>
      <c r="G355" s="3">
        <f>F355+(VLOOKUP(D355,'(Semelles.Monument.€HT)'!C:G,3,FALSE()))</f>
        <v>949</v>
      </c>
      <c r="H355" s="4">
        <f>F355+(VLOOKUP(D355,'(Semelles.Monument.€HT)'!C:G,4,FALSE()))</f>
        <v>1003</v>
      </c>
      <c r="I355" s="5">
        <f>F355+(VLOOKUP(D355,'(Semelles.Monument.€HT)'!C:G,5,FALSE()))</f>
        <v>1060</v>
      </c>
    </row>
    <row r="356" spans="1:9" ht="26" customHeight="1">
      <c r="A356" s="17" t="s">
        <v>95</v>
      </c>
      <c r="B356" s="18" t="s">
        <v>153</v>
      </c>
      <c r="C356" s="18" t="s">
        <v>97</v>
      </c>
      <c r="D356" s="18">
        <v>19</v>
      </c>
      <c r="E356" s="17" t="s">
        <v>116</v>
      </c>
      <c r="F356" s="19">
        <v>763</v>
      </c>
      <c r="G356" s="20">
        <f>F356+(VLOOKUP(D356,'(Semelles.Monument.€HT)'!C:G,3,FALSE()))</f>
        <v>949</v>
      </c>
      <c r="H356" s="21">
        <f>F356+(VLOOKUP(D356,'(Semelles.Monument.€HT)'!C:G,4,FALSE()))</f>
        <v>1003</v>
      </c>
      <c r="I356" s="22">
        <f>F356+(VLOOKUP(D356,'(Semelles.Monument.€HT)'!C:G,5,FALSE()))</f>
        <v>1060</v>
      </c>
    </row>
    <row r="357" spans="1:9" ht="26" customHeight="1">
      <c r="A357" s="2" t="s">
        <v>95</v>
      </c>
      <c r="B357" s="13" t="s">
        <v>153</v>
      </c>
      <c r="C357" s="13" t="s">
        <v>97</v>
      </c>
      <c r="D357" s="13">
        <v>20</v>
      </c>
      <c r="E357" s="2" t="s">
        <v>117</v>
      </c>
      <c r="F357" s="7">
        <v>769</v>
      </c>
      <c r="G357" s="3">
        <f>F357+(VLOOKUP(D357,'(Semelles.Monument.€HT)'!C:G,3,FALSE()))</f>
        <v>957</v>
      </c>
      <c r="H357" s="4">
        <f>F357+(VLOOKUP(D357,'(Semelles.Monument.€HT)'!C:G,4,FALSE()))</f>
        <v>1011</v>
      </c>
      <c r="I357" s="5">
        <f>F357+(VLOOKUP(D357,'(Semelles.Monument.€HT)'!C:G,5,FALSE()))</f>
        <v>1068</v>
      </c>
    </row>
    <row r="358" spans="1:9" ht="26" customHeight="1">
      <c r="A358" s="17" t="s">
        <v>95</v>
      </c>
      <c r="B358" s="18" t="s">
        <v>153</v>
      </c>
      <c r="C358" s="18" t="s">
        <v>97</v>
      </c>
      <c r="D358" s="18">
        <v>21</v>
      </c>
      <c r="E358" s="17" t="s">
        <v>118</v>
      </c>
      <c r="F358" s="19">
        <v>774</v>
      </c>
      <c r="G358" s="20">
        <f>F358+(VLOOKUP(D358,'(Semelles.Monument.€HT)'!C:G,3,FALSE()))</f>
        <v>963</v>
      </c>
      <c r="H358" s="21">
        <f>F358+(VLOOKUP(D358,'(Semelles.Monument.€HT)'!C:G,4,FALSE()))</f>
        <v>1017</v>
      </c>
      <c r="I358" s="22">
        <f>F358+(VLOOKUP(D358,'(Semelles.Monument.€HT)'!C:G,5,FALSE()))</f>
        <v>1075</v>
      </c>
    </row>
    <row r="359" spans="1:9" ht="26" customHeight="1">
      <c r="A359" s="2" t="s">
        <v>95</v>
      </c>
      <c r="B359" s="13" t="s">
        <v>153</v>
      </c>
      <c r="C359" s="13" t="s">
        <v>97</v>
      </c>
      <c r="D359" s="13">
        <v>22</v>
      </c>
      <c r="E359" s="2" t="s">
        <v>119</v>
      </c>
      <c r="F359" s="7">
        <v>774</v>
      </c>
      <c r="G359" s="3">
        <f>F359+(VLOOKUP(D359,'(Semelles.Monument.€HT)'!C:G,3,FALSE()))</f>
        <v>963</v>
      </c>
      <c r="H359" s="4">
        <f>F359+(VLOOKUP(D359,'(Semelles.Monument.€HT)'!C:G,4,FALSE()))</f>
        <v>1017</v>
      </c>
      <c r="I359" s="5">
        <f>F359+(VLOOKUP(D359,'(Semelles.Monument.€HT)'!C:G,5,FALSE()))</f>
        <v>1075</v>
      </c>
    </row>
    <row r="360" spans="1:9" ht="26" customHeight="1">
      <c r="A360" s="17" t="s">
        <v>95</v>
      </c>
      <c r="B360" s="18" t="s">
        <v>153</v>
      </c>
      <c r="C360" s="18" t="s">
        <v>97</v>
      </c>
      <c r="D360" s="18">
        <v>23</v>
      </c>
      <c r="E360" s="17" t="s">
        <v>120</v>
      </c>
      <c r="F360" s="19">
        <v>786</v>
      </c>
      <c r="G360" s="20">
        <f>F360+(VLOOKUP(D360,'(Semelles.Monument.€HT)'!C:G,3,FALSE()))</f>
        <v>978</v>
      </c>
      <c r="H360" s="21">
        <f>F360+(VLOOKUP(D360,'(Semelles.Monument.€HT)'!C:G,4,FALSE()))</f>
        <v>1033</v>
      </c>
      <c r="I360" s="22">
        <f>F360+(VLOOKUP(D360,'(Semelles.Monument.€HT)'!C:G,5,FALSE()))</f>
        <v>1091</v>
      </c>
    </row>
    <row r="361" spans="1:9" ht="26" customHeight="1">
      <c r="A361" s="2" t="s">
        <v>95</v>
      </c>
      <c r="B361" s="13" t="s">
        <v>153</v>
      </c>
      <c r="C361" s="13" t="s">
        <v>97</v>
      </c>
      <c r="D361" s="13">
        <v>24</v>
      </c>
      <c r="E361" s="2" t="s">
        <v>121</v>
      </c>
      <c r="F361" s="7">
        <v>786</v>
      </c>
      <c r="G361" s="3">
        <f>F361+(VLOOKUP(D361,'(Semelles.Monument.€HT)'!C:G,3,FALSE()))</f>
        <v>978</v>
      </c>
      <c r="H361" s="4">
        <f>F361+(VLOOKUP(D361,'(Semelles.Monument.€HT)'!C:G,4,FALSE()))</f>
        <v>1033</v>
      </c>
      <c r="I361" s="5">
        <f>F361+(VLOOKUP(D361,'(Semelles.Monument.€HT)'!C:G,5,FALSE()))</f>
        <v>1091</v>
      </c>
    </row>
    <row r="362" spans="1:9" ht="26" customHeight="1">
      <c r="A362" s="17" t="s">
        <v>95</v>
      </c>
      <c r="B362" s="18" t="s">
        <v>153</v>
      </c>
      <c r="C362" s="18" t="s">
        <v>97</v>
      </c>
      <c r="D362" s="18">
        <v>25</v>
      </c>
      <c r="E362" s="17" t="s">
        <v>122</v>
      </c>
      <c r="F362" s="19">
        <v>786</v>
      </c>
      <c r="G362" s="20">
        <f>F362+(VLOOKUP(D362,'(Semelles.Monument.€HT)'!C:G,3,FALSE()))</f>
        <v>978</v>
      </c>
      <c r="H362" s="21">
        <f>F362+(VLOOKUP(D362,'(Semelles.Monument.€HT)'!C:G,4,FALSE()))</f>
        <v>1033</v>
      </c>
      <c r="I362" s="22">
        <f>F362+(VLOOKUP(D362,'(Semelles.Monument.€HT)'!C:G,5,FALSE()))</f>
        <v>1091</v>
      </c>
    </row>
    <row r="363" spans="1:9" ht="26" customHeight="1">
      <c r="A363" s="2" t="s">
        <v>95</v>
      </c>
      <c r="B363" s="13" t="s">
        <v>153</v>
      </c>
      <c r="C363" s="13" t="s">
        <v>97</v>
      </c>
      <c r="D363" s="13">
        <v>26</v>
      </c>
      <c r="E363" s="2" t="s">
        <v>123</v>
      </c>
      <c r="F363" s="7">
        <v>799</v>
      </c>
      <c r="G363" s="3">
        <f>F363+(VLOOKUP(D363,'(Semelles.Monument.€HT)'!C:G,3,FALSE()))</f>
        <v>994</v>
      </c>
      <c r="H363" s="4">
        <f>F363+(VLOOKUP(D363,'(Semelles.Monument.€HT)'!C:G,4,FALSE()))</f>
        <v>1050</v>
      </c>
      <c r="I363" s="5">
        <f>F363+(VLOOKUP(D363,'(Semelles.Monument.€HT)'!C:G,5,FALSE()))</f>
        <v>1109</v>
      </c>
    </row>
    <row r="364" spans="1:9" ht="26" customHeight="1">
      <c r="A364" s="17" t="s">
        <v>95</v>
      </c>
      <c r="B364" s="18" t="s">
        <v>153</v>
      </c>
      <c r="C364" s="18" t="s">
        <v>97</v>
      </c>
      <c r="D364" s="18">
        <v>27</v>
      </c>
      <c r="E364" s="17" t="s">
        <v>124</v>
      </c>
      <c r="F364" s="19">
        <v>851</v>
      </c>
      <c r="G364" s="20">
        <f>F364+(VLOOKUP(D364,'(Semelles.Monument.€HT)'!C:G,3,FALSE()))</f>
        <v>1059</v>
      </c>
      <c r="H364" s="21">
        <f>F364+(VLOOKUP(D364,'(Semelles.Monument.€HT)'!C:G,4,FALSE()))</f>
        <v>1119</v>
      </c>
      <c r="I364" s="22">
        <f>F364+(VLOOKUP(D364,'(Semelles.Monument.€HT)'!C:G,5,FALSE()))</f>
        <v>1218</v>
      </c>
    </row>
    <row r="365" spans="1:9" ht="26" customHeight="1">
      <c r="A365" s="2" t="s">
        <v>95</v>
      </c>
      <c r="B365" s="13" t="s">
        <v>153</v>
      </c>
      <c r="C365" s="13" t="s">
        <v>97</v>
      </c>
      <c r="D365" s="13">
        <v>28</v>
      </c>
      <c r="E365" s="2" t="s">
        <v>125</v>
      </c>
      <c r="F365" s="7">
        <v>943</v>
      </c>
      <c r="G365" s="3">
        <f>F365+(VLOOKUP(D365,'(Semelles.Monument.€HT)'!C:G,3,FALSE()))</f>
        <v>1173</v>
      </c>
      <c r="H365" s="4">
        <f>F365+(VLOOKUP(D365,'(Semelles.Monument.€HT)'!C:G,4,FALSE()))</f>
        <v>1240</v>
      </c>
      <c r="I365" s="5">
        <f>F365+(VLOOKUP(D365,'(Semelles.Monument.€HT)'!C:G,5,FALSE()))</f>
        <v>1310</v>
      </c>
    </row>
    <row r="366" spans="1:9" ht="26" customHeight="1">
      <c r="A366" s="17" t="s">
        <v>95</v>
      </c>
      <c r="B366" s="18" t="s">
        <v>153</v>
      </c>
      <c r="C366" s="18" t="s">
        <v>97</v>
      </c>
      <c r="D366" s="18">
        <v>29</v>
      </c>
      <c r="E366" s="17" t="s">
        <v>126</v>
      </c>
      <c r="F366" s="19">
        <v>982</v>
      </c>
      <c r="G366" s="20">
        <f>F366+(VLOOKUP(D366,'(Semelles.Monument.€HT)'!C:G,3,FALSE()))</f>
        <v>1222</v>
      </c>
      <c r="H366" s="21">
        <f>F366+(VLOOKUP(D366,'(Semelles.Monument.€HT)'!C:G,4,FALSE()))</f>
        <v>1291</v>
      </c>
      <c r="I366" s="22">
        <f>F366+(VLOOKUP(D366,'(Semelles.Monument.€HT)'!C:G,5,FALSE()))</f>
        <v>1364</v>
      </c>
    </row>
    <row r="367" spans="1:9" ht="26" customHeight="1">
      <c r="A367" s="2" t="s">
        <v>95</v>
      </c>
      <c r="B367" s="13" t="s">
        <v>153</v>
      </c>
      <c r="C367" s="13" t="s">
        <v>97</v>
      </c>
      <c r="D367" s="13">
        <v>30</v>
      </c>
      <c r="E367" s="2" t="s">
        <v>127</v>
      </c>
      <c r="F367" s="7">
        <v>982</v>
      </c>
      <c r="G367" s="3">
        <f>F367+(VLOOKUP(D367,'(Semelles.Monument.€HT)'!C:G,3,FALSE()))</f>
        <v>1222</v>
      </c>
      <c r="H367" s="4">
        <f>F367+(VLOOKUP(D367,'(Semelles.Monument.€HT)'!C:G,4,FALSE()))</f>
        <v>1291</v>
      </c>
      <c r="I367" s="5">
        <f>F367+(VLOOKUP(D367,'(Semelles.Monument.€HT)'!C:G,5,FALSE()))</f>
        <v>1364</v>
      </c>
    </row>
    <row r="368" spans="1:9" ht="26" customHeight="1">
      <c r="A368" s="17" t="s">
        <v>95</v>
      </c>
      <c r="B368" s="18" t="s">
        <v>153</v>
      </c>
      <c r="C368" s="18" t="s">
        <v>128</v>
      </c>
      <c r="D368" s="18">
        <v>31</v>
      </c>
      <c r="E368" s="17" t="s">
        <v>129</v>
      </c>
      <c r="F368" s="19">
        <v>541</v>
      </c>
      <c r="G368" s="20">
        <f>F368+(VLOOKUP(D368,'(Semelles.Monument.€HT)'!C:G,3,FALSE()))</f>
        <v>673</v>
      </c>
      <c r="H368" s="21">
        <f>F368+(VLOOKUP(D368,'(Semelles.Monument.€HT)'!C:G,4,FALSE()))</f>
        <v>711</v>
      </c>
      <c r="I368" s="22">
        <f>F368+(VLOOKUP(D368,'(Semelles.Monument.€HT)'!C:G,5,FALSE()))</f>
        <v>751</v>
      </c>
    </row>
    <row r="369" spans="1:9" ht="26" customHeight="1">
      <c r="A369" s="2" t="s">
        <v>95</v>
      </c>
      <c r="B369" s="13" t="s">
        <v>153</v>
      </c>
      <c r="C369" s="13" t="s">
        <v>128</v>
      </c>
      <c r="D369" s="13">
        <v>32</v>
      </c>
      <c r="E369" s="2" t="s">
        <v>130</v>
      </c>
      <c r="F369" s="7">
        <v>549</v>
      </c>
      <c r="G369" s="3">
        <f>F369+(VLOOKUP(D369,'(Semelles.Monument.€HT)'!C:G,3,FALSE()))</f>
        <v>683</v>
      </c>
      <c r="H369" s="4">
        <f>F369+(VLOOKUP(D369,'(Semelles.Monument.€HT)'!C:G,4,FALSE()))</f>
        <v>722</v>
      </c>
      <c r="I369" s="5">
        <f>F369+(VLOOKUP(D369,'(Semelles.Monument.€HT)'!C:G,5,FALSE()))</f>
        <v>762</v>
      </c>
    </row>
    <row r="370" spans="1:9" ht="26" customHeight="1">
      <c r="A370" s="17" t="s">
        <v>95</v>
      </c>
      <c r="B370" s="18" t="s">
        <v>153</v>
      </c>
      <c r="C370" s="18" t="s">
        <v>128</v>
      </c>
      <c r="D370" s="18">
        <v>33</v>
      </c>
      <c r="E370" s="17" t="s">
        <v>131</v>
      </c>
      <c r="F370" s="19">
        <v>549</v>
      </c>
      <c r="G370" s="20">
        <f>F370+(VLOOKUP(D370,'(Semelles.Monument.€HT)'!C:G,3,FALSE()))</f>
        <v>683</v>
      </c>
      <c r="H370" s="21">
        <f>F370+(VLOOKUP(D370,'(Semelles.Monument.€HT)'!C:G,4,FALSE()))</f>
        <v>722</v>
      </c>
      <c r="I370" s="22">
        <f>F370+(VLOOKUP(D370,'(Semelles.Monument.€HT)'!C:G,5,FALSE()))</f>
        <v>762</v>
      </c>
    </row>
    <row r="371" spans="1:9" ht="26" customHeight="1">
      <c r="A371" s="2" t="s">
        <v>95</v>
      </c>
      <c r="B371" s="13" t="s">
        <v>153</v>
      </c>
      <c r="C371" s="13" t="s">
        <v>128</v>
      </c>
      <c r="D371" s="13">
        <v>34</v>
      </c>
      <c r="E371" s="2" t="s">
        <v>132</v>
      </c>
      <c r="F371" s="7">
        <v>554</v>
      </c>
      <c r="G371" s="3">
        <f>F371+(VLOOKUP(D371,'(Semelles.Monument.€HT)'!C:G,3,FALSE()))</f>
        <v>689</v>
      </c>
      <c r="H371" s="4">
        <f>F371+(VLOOKUP(D371,'(Semelles.Monument.€HT)'!C:G,4,FALSE()))</f>
        <v>728</v>
      </c>
      <c r="I371" s="5">
        <f>F371+(VLOOKUP(D371,'(Semelles.Monument.€HT)'!C:G,5,FALSE()))</f>
        <v>769</v>
      </c>
    </row>
    <row r="372" spans="1:9" ht="26" customHeight="1">
      <c r="A372" s="17" t="s">
        <v>95</v>
      </c>
      <c r="B372" s="18" t="s">
        <v>153</v>
      </c>
      <c r="C372" s="18" t="s">
        <v>128</v>
      </c>
      <c r="D372" s="18">
        <v>35</v>
      </c>
      <c r="E372" s="17" t="s">
        <v>133</v>
      </c>
      <c r="F372" s="19">
        <v>667</v>
      </c>
      <c r="G372" s="20">
        <f>F372+(VLOOKUP(D372,'(Semelles.Monument.€HT)'!C:G,3,FALSE()))</f>
        <v>830</v>
      </c>
      <c r="H372" s="21">
        <f>F372+(VLOOKUP(D372,'(Semelles.Monument.€HT)'!C:G,4,FALSE()))</f>
        <v>877</v>
      </c>
      <c r="I372" s="22">
        <f>F372+(VLOOKUP(D372,'(Semelles.Monument.€HT)'!C:G,5,FALSE()))</f>
        <v>926</v>
      </c>
    </row>
    <row r="373" spans="1:9" ht="26" customHeight="1">
      <c r="A373" s="2" t="s">
        <v>95</v>
      </c>
      <c r="B373" s="13" t="s">
        <v>153</v>
      </c>
      <c r="C373" s="13" t="s">
        <v>128</v>
      </c>
      <c r="D373" s="13">
        <v>36</v>
      </c>
      <c r="E373" s="2" t="s">
        <v>134</v>
      </c>
      <c r="F373" s="7">
        <v>690</v>
      </c>
      <c r="G373" s="3">
        <f>F373+(VLOOKUP(D373,'(Semelles.Monument.€HT)'!C:G,3,FALSE()))</f>
        <v>858</v>
      </c>
      <c r="H373" s="4">
        <f>F373+(VLOOKUP(D373,'(Semelles.Monument.€HT)'!C:G,4,FALSE()))</f>
        <v>907</v>
      </c>
      <c r="I373" s="5">
        <f>F373+(VLOOKUP(D373,'(Semelles.Monument.€HT)'!C:G,5,FALSE()))</f>
        <v>958</v>
      </c>
    </row>
    <row r="374" spans="1:9" ht="26" customHeight="1">
      <c r="A374" s="17" t="s">
        <v>95</v>
      </c>
      <c r="B374" s="18" t="s">
        <v>153</v>
      </c>
      <c r="C374" s="18" t="s">
        <v>128</v>
      </c>
      <c r="D374" s="18">
        <v>37</v>
      </c>
      <c r="E374" s="17" t="s">
        <v>135</v>
      </c>
      <c r="F374" s="19">
        <v>853</v>
      </c>
      <c r="G374" s="20">
        <f>F374+(VLOOKUP(D374,'(Semelles.Monument.€HT)'!C:G,3,FALSE()))</f>
        <v>1061</v>
      </c>
      <c r="H374" s="21">
        <f>F374+(VLOOKUP(D374,'(Semelles.Monument.€HT)'!C:G,4,FALSE()))</f>
        <v>1121</v>
      </c>
      <c r="I374" s="22">
        <f>F374+(VLOOKUP(D374,'(Semelles.Monument.€HT)'!C:G,5,FALSE()))</f>
        <v>1185</v>
      </c>
    </row>
    <row r="375" spans="1:9" ht="26" customHeight="1">
      <c r="A375" s="2" t="s">
        <v>95</v>
      </c>
      <c r="B375" s="13" t="s">
        <v>153</v>
      </c>
      <c r="C375" s="13" t="s">
        <v>128</v>
      </c>
      <c r="D375" s="13">
        <v>38</v>
      </c>
      <c r="E375" s="2" t="s">
        <v>136</v>
      </c>
      <c r="F375" s="7">
        <v>903</v>
      </c>
      <c r="G375" s="3">
        <f>F375+(VLOOKUP(D375,'(Semelles.Monument.€HT)'!C:G,3,FALSE()))</f>
        <v>1123</v>
      </c>
      <c r="H375" s="4">
        <f>F375+(VLOOKUP(D375,'(Semelles.Monument.€HT)'!C:G,4,FALSE()))</f>
        <v>1187</v>
      </c>
      <c r="I375" s="5">
        <f>F375+(VLOOKUP(D375,'(Semelles.Monument.€HT)'!C:G,5,FALSE()))</f>
        <v>1254</v>
      </c>
    </row>
    <row r="376" spans="1:9" ht="26" customHeight="1">
      <c r="A376" s="17" t="s">
        <v>95</v>
      </c>
      <c r="B376" s="18" t="s">
        <v>153</v>
      </c>
      <c r="C376" s="18" t="s">
        <v>128</v>
      </c>
      <c r="D376" s="18">
        <v>39</v>
      </c>
      <c r="E376" s="17" t="s">
        <v>137</v>
      </c>
      <c r="F376" s="19">
        <v>927</v>
      </c>
      <c r="G376" s="20">
        <f>F376+(VLOOKUP(D376,'(Semelles.Monument.€HT)'!C:G,3,FALSE()))</f>
        <v>1153</v>
      </c>
      <c r="H376" s="21">
        <f>F376+(VLOOKUP(D376,'(Semelles.Monument.€HT)'!C:G,4,FALSE()))</f>
        <v>1218</v>
      </c>
      <c r="I376" s="22">
        <f>F376+(VLOOKUP(D376,'(Semelles.Monument.€HT)'!C:G,5,FALSE()))</f>
        <v>1287</v>
      </c>
    </row>
    <row r="377" spans="1:9" ht="26" customHeight="1">
      <c r="A377" s="2" t="s">
        <v>95</v>
      </c>
      <c r="B377" s="13" t="s">
        <v>153</v>
      </c>
      <c r="C377" s="13" t="s">
        <v>128</v>
      </c>
      <c r="D377" s="13">
        <v>40</v>
      </c>
      <c r="E377" s="2" t="s">
        <v>138</v>
      </c>
      <c r="F377" s="7">
        <v>953</v>
      </c>
      <c r="G377" s="3">
        <f>F377+(VLOOKUP(D377,'(Semelles.Monument.€HT)'!C:G,3,FALSE()))</f>
        <v>1185</v>
      </c>
      <c r="H377" s="4">
        <f>F377+(VLOOKUP(D377,'(Semelles.Monument.€HT)'!C:G,4,FALSE()))</f>
        <v>1253</v>
      </c>
      <c r="I377" s="5">
        <f>F377+(VLOOKUP(D377,'(Semelles.Monument.€HT)'!C:G,5,FALSE()))</f>
        <v>1323</v>
      </c>
    </row>
    <row r="378" spans="1:9" ht="26" customHeight="1">
      <c r="A378" s="17" t="s">
        <v>95</v>
      </c>
      <c r="B378" s="18" t="s">
        <v>153</v>
      </c>
      <c r="C378" s="18" t="s">
        <v>128</v>
      </c>
      <c r="D378" s="18">
        <v>41</v>
      </c>
      <c r="E378" s="17" t="s">
        <v>139</v>
      </c>
      <c r="F378" s="19">
        <v>1013</v>
      </c>
      <c r="G378" s="20">
        <f>F378+(VLOOKUP(D378,'(Semelles.Monument.€HT)'!C:G,3,FALSE()))</f>
        <v>1260</v>
      </c>
      <c r="H378" s="21">
        <f>F378+(VLOOKUP(D378,'(Semelles.Monument.€HT)'!C:G,4,FALSE()))</f>
        <v>1332</v>
      </c>
      <c r="I378" s="22">
        <f>F378+(VLOOKUP(D378,'(Semelles.Monument.€HT)'!C:G,5,FALSE()))</f>
        <v>1407</v>
      </c>
    </row>
    <row r="379" spans="1:9" ht="26" customHeight="1">
      <c r="A379" s="2" t="s">
        <v>95</v>
      </c>
      <c r="B379" s="13" t="s">
        <v>153</v>
      </c>
      <c r="C379" s="13" t="s">
        <v>128</v>
      </c>
      <c r="D379" s="13">
        <v>42</v>
      </c>
      <c r="E379" s="2" t="s">
        <v>140</v>
      </c>
      <c r="F379" s="7">
        <v>1113</v>
      </c>
      <c r="G379" s="3">
        <f>F379+(VLOOKUP(D379,'(Semelles.Monument.€HT)'!C:G,3,FALSE()))</f>
        <v>1384</v>
      </c>
      <c r="H379" s="4">
        <f>F379+(VLOOKUP(D379,'(Semelles.Monument.€HT)'!C:G,4,FALSE()))</f>
        <v>1463</v>
      </c>
      <c r="I379" s="5">
        <f>F379+(VLOOKUP(D379,'(Semelles.Monument.€HT)'!C:G,5,FALSE()))</f>
        <v>1546</v>
      </c>
    </row>
    <row r="380" spans="1:9" ht="26" customHeight="1">
      <c r="A380" s="17" t="s">
        <v>95</v>
      </c>
      <c r="B380" s="18" t="s">
        <v>153</v>
      </c>
      <c r="C380" s="18" t="s">
        <v>128</v>
      </c>
      <c r="D380" s="18">
        <v>43</v>
      </c>
      <c r="E380" s="17" t="s">
        <v>141</v>
      </c>
      <c r="F380" s="19">
        <v>1113</v>
      </c>
      <c r="G380" s="20">
        <f>F380+(VLOOKUP(D380,'(Semelles.Monument.€HT)'!C:G,3,FALSE()))</f>
        <v>1384</v>
      </c>
      <c r="H380" s="21">
        <f>F380+(VLOOKUP(D380,'(Semelles.Monument.€HT)'!C:G,4,FALSE()))</f>
        <v>1463</v>
      </c>
      <c r="I380" s="22">
        <f>F380+(VLOOKUP(D380,'(Semelles.Monument.€HT)'!C:G,5,FALSE()))</f>
        <v>1546</v>
      </c>
    </row>
    <row r="381" spans="1:9" ht="26" customHeight="1">
      <c r="A381" s="2" t="s">
        <v>95</v>
      </c>
      <c r="B381" s="13" t="s">
        <v>153</v>
      </c>
      <c r="C381" s="13" t="s">
        <v>128</v>
      </c>
      <c r="D381" s="13">
        <v>44</v>
      </c>
      <c r="E381" s="2" t="s">
        <v>142</v>
      </c>
      <c r="F381" s="7">
        <v>1126</v>
      </c>
      <c r="G381" s="3">
        <f>F381+(VLOOKUP(D381,'(Semelles.Monument.€HT)'!C:G,3,FALSE()))</f>
        <v>1401</v>
      </c>
      <c r="H381" s="4">
        <f>F381+(VLOOKUP(D381,'(Semelles.Monument.€HT)'!C:G,4,FALSE()))</f>
        <v>1480</v>
      </c>
      <c r="I381" s="5">
        <f>F381+(VLOOKUP(D381,'(Semelles.Monument.€HT)'!C:G,5,FALSE()))</f>
        <v>1564</v>
      </c>
    </row>
    <row r="382" spans="1:9" ht="26" customHeight="1">
      <c r="A382" s="17" t="s">
        <v>95</v>
      </c>
      <c r="B382" s="18" t="s">
        <v>153</v>
      </c>
      <c r="C382" s="18" t="s">
        <v>128</v>
      </c>
      <c r="D382" s="18">
        <v>45</v>
      </c>
      <c r="E382" s="17" t="s">
        <v>143</v>
      </c>
      <c r="F382" s="19">
        <v>1139</v>
      </c>
      <c r="G382" s="20">
        <f>F382+(VLOOKUP(D382,'(Semelles.Monument.€HT)'!C:G,3,FALSE()))</f>
        <v>1417</v>
      </c>
      <c r="H382" s="21">
        <f>F382+(VLOOKUP(D382,'(Semelles.Monument.€HT)'!C:G,4,FALSE()))</f>
        <v>1497</v>
      </c>
      <c r="I382" s="22">
        <f>F382+(VLOOKUP(D382,'(Semelles.Monument.€HT)'!C:G,5,FALSE()))</f>
        <v>1582</v>
      </c>
    </row>
    <row r="383" spans="1:9" ht="26" customHeight="1">
      <c r="A383" s="2" t="s">
        <v>95</v>
      </c>
      <c r="B383" s="13" t="s">
        <v>153</v>
      </c>
      <c r="C383" s="13" t="s">
        <v>128</v>
      </c>
      <c r="D383" s="13">
        <v>46</v>
      </c>
      <c r="E383" s="2" t="s">
        <v>144</v>
      </c>
      <c r="F383" s="7">
        <v>1139</v>
      </c>
      <c r="G383" s="3">
        <f>F383+(VLOOKUP(D383,'(Semelles.Monument.€HT)'!C:G,3,FALSE()))</f>
        <v>1417</v>
      </c>
      <c r="H383" s="4">
        <f>F383+(VLOOKUP(D383,'(Semelles.Monument.€HT)'!C:G,4,FALSE()))</f>
        <v>1497</v>
      </c>
      <c r="I383" s="5">
        <f>F383+(VLOOKUP(D383,'(Semelles.Monument.€HT)'!C:G,5,FALSE()))</f>
        <v>1582</v>
      </c>
    </row>
    <row r="384" spans="1:9" ht="26" customHeight="1">
      <c r="A384" s="17" t="s">
        <v>95</v>
      </c>
      <c r="B384" s="18" t="s">
        <v>153</v>
      </c>
      <c r="C384" s="18" t="s">
        <v>128</v>
      </c>
      <c r="D384" s="18">
        <v>47</v>
      </c>
      <c r="E384" s="17" t="s">
        <v>145</v>
      </c>
      <c r="F384" s="19">
        <v>1163</v>
      </c>
      <c r="G384" s="20">
        <f>F384+(VLOOKUP(D384,'(Semelles.Monument.€HT)'!C:G,3,FALSE()))</f>
        <v>1447</v>
      </c>
      <c r="H384" s="21">
        <f>F384+(VLOOKUP(D384,'(Semelles.Monument.€HT)'!C:G,4,FALSE()))</f>
        <v>1529</v>
      </c>
      <c r="I384" s="22">
        <f>F384+(VLOOKUP(D384,'(Semelles.Monument.€HT)'!C:G,5,FALSE()))</f>
        <v>1615</v>
      </c>
    </row>
    <row r="385" spans="1:9" ht="26" customHeight="1">
      <c r="A385" s="2" t="s">
        <v>95</v>
      </c>
      <c r="B385" s="13" t="s">
        <v>153</v>
      </c>
      <c r="C385" s="13" t="s">
        <v>128</v>
      </c>
      <c r="D385" s="13">
        <v>48</v>
      </c>
      <c r="E385" s="2" t="s">
        <v>146</v>
      </c>
      <c r="F385" s="7">
        <v>1176</v>
      </c>
      <c r="G385" s="3">
        <f>F385+(VLOOKUP(D385,'(Semelles.Monument.€HT)'!C:G,3,FALSE()))</f>
        <v>1463</v>
      </c>
      <c r="H385" s="4">
        <f>F385+(VLOOKUP(D385,'(Semelles.Monument.€HT)'!C:G,4,FALSE()))</f>
        <v>1546</v>
      </c>
      <c r="I385" s="5">
        <f>F385+(VLOOKUP(D385,'(Semelles.Monument.€HT)'!C:G,5,FALSE()))</f>
        <v>1633</v>
      </c>
    </row>
    <row r="386" spans="1:9" ht="26" customHeight="1">
      <c r="A386" s="17" t="s">
        <v>95</v>
      </c>
      <c r="B386" s="18" t="s">
        <v>154</v>
      </c>
      <c r="C386" s="18" t="s">
        <v>97</v>
      </c>
      <c r="D386" s="18">
        <v>1</v>
      </c>
      <c r="E386" s="17" t="s">
        <v>98</v>
      </c>
      <c r="F386" s="19">
        <v>702</v>
      </c>
      <c r="G386" s="20">
        <f>F386+(VLOOKUP(D386,'(Semelles.Monument.€HT)'!C:G,3,FALSE()))</f>
        <v>860</v>
      </c>
      <c r="H386" s="21">
        <f>F386+(VLOOKUP(D386,'(Semelles.Monument.€HT)'!C:G,4,FALSE()))</f>
        <v>906</v>
      </c>
      <c r="I386" s="22">
        <f>F386+(VLOOKUP(D386,'(Semelles.Monument.€HT)'!C:G,5,FALSE()))</f>
        <v>954</v>
      </c>
    </row>
    <row r="387" spans="1:9" ht="26" customHeight="1">
      <c r="A387" s="2" t="s">
        <v>95</v>
      </c>
      <c r="B387" s="13" t="s">
        <v>154</v>
      </c>
      <c r="C387" s="13" t="s">
        <v>97</v>
      </c>
      <c r="D387" s="13">
        <v>2</v>
      </c>
      <c r="E387" s="2" t="s">
        <v>99</v>
      </c>
      <c r="F387" s="7">
        <v>701</v>
      </c>
      <c r="G387" s="3">
        <f>F387+(VLOOKUP(D387,'(Semelles.Monument.€HT)'!C:G,3,FALSE()))</f>
        <v>859</v>
      </c>
      <c r="H387" s="4">
        <f>F387+(VLOOKUP(D387,'(Semelles.Monument.€HT)'!C:G,4,FALSE()))</f>
        <v>905</v>
      </c>
      <c r="I387" s="5">
        <f>F387+(VLOOKUP(D387,'(Semelles.Monument.€HT)'!C:G,5,FALSE()))</f>
        <v>953</v>
      </c>
    </row>
    <row r="388" spans="1:9" ht="26" customHeight="1">
      <c r="A388" s="17" t="s">
        <v>95</v>
      </c>
      <c r="B388" s="18" t="s">
        <v>154</v>
      </c>
      <c r="C388" s="18" t="s">
        <v>97</v>
      </c>
      <c r="D388" s="18">
        <v>3</v>
      </c>
      <c r="E388" s="17" t="s">
        <v>100</v>
      </c>
      <c r="F388" s="19">
        <v>780</v>
      </c>
      <c r="G388" s="20">
        <f>F388+(VLOOKUP(D388,'(Semelles.Monument.€HT)'!C:G,3,FALSE()))</f>
        <v>956</v>
      </c>
      <c r="H388" s="21">
        <f>F388+(VLOOKUP(D388,'(Semelles.Monument.€HT)'!C:G,4,FALSE()))</f>
        <v>1007</v>
      </c>
      <c r="I388" s="22">
        <f>F388+(VLOOKUP(D388,'(Semelles.Monument.€HT)'!C:G,5,FALSE()))</f>
        <v>1060</v>
      </c>
    </row>
    <row r="389" spans="1:9" ht="26" customHeight="1">
      <c r="A389" s="2" t="s">
        <v>95</v>
      </c>
      <c r="B389" s="13" t="s">
        <v>154</v>
      </c>
      <c r="C389" s="13" t="s">
        <v>97</v>
      </c>
      <c r="D389" s="13">
        <v>4</v>
      </c>
      <c r="E389" s="2" t="s">
        <v>101</v>
      </c>
      <c r="F389" s="7">
        <v>793</v>
      </c>
      <c r="G389" s="3">
        <f>F389+(VLOOKUP(D389,'(Semelles.Monument.€HT)'!C:G,3,FALSE()))</f>
        <v>972</v>
      </c>
      <c r="H389" s="4">
        <f>F389+(VLOOKUP(D389,'(Semelles.Monument.€HT)'!C:G,4,FALSE()))</f>
        <v>1024</v>
      </c>
      <c r="I389" s="5">
        <f>F389+(VLOOKUP(D389,'(Semelles.Monument.€HT)'!C:G,5,FALSE()))</f>
        <v>1078</v>
      </c>
    </row>
    <row r="390" spans="1:9" ht="26" customHeight="1">
      <c r="A390" s="17" t="s">
        <v>95</v>
      </c>
      <c r="B390" s="18" t="s">
        <v>154</v>
      </c>
      <c r="C390" s="18" t="s">
        <v>97</v>
      </c>
      <c r="D390" s="18">
        <v>5</v>
      </c>
      <c r="E390" s="17" t="s">
        <v>102</v>
      </c>
      <c r="F390" s="19">
        <v>793</v>
      </c>
      <c r="G390" s="20">
        <f>F390+(VLOOKUP(D390,'(Semelles.Monument.€HT)'!C:G,3,FALSE()))</f>
        <v>972</v>
      </c>
      <c r="H390" s="21">
        <f>F390+(VLOOKUP(D390,'(Semelles.Monument.€HT)'!C:G,4,FALSE()))</f>
        <v>1024</v>
      </c>
      <c r="I390" s="22">
        <f>F390+(VLOOKUP(D390,'(Semelles.Monument.€HT)'!C:G,5,FALSE()))</f>
        <v>1078</v>
      </c>
    </row>
    <row r="391" spans="1:9" ht="26" customHeight="1">
      <c r="A391" s="2" t="s">
        <v>95</v>
      </c>
      <c r="B391" s="13" t="s">
        <v>154</v>
      </c>
      <c r="C391" s="13" t="s">
        <v>97</v>
      </c>
      <c r="D391" s="13">
        <v>6</v>
      </c>
      <c r="E391" s="2" t="s">
        <v>103</v>
      </c>
      <c r="F391" s="7">
        <v>797</v>
      </c>
      <c r="G391" s="3">
        <f>F391+(VLOOKUP(D391,'(Semelles.Monument.€HT)'!C:G,3,FALSE()))</f>
        <v>977</v>
      </c>
      <c r="H391" s="4">
        <f>F391+(VLOOKUP(D391,'(Semelles.Monument.€HT)'!C:G,4,FALSE()))</f>
        <v>1029</v>
      </c>
      <c r="I391" s="5">
        <f>F391+(VLOOKUP(D391,'(Semelles.Monument.€HT)'!C:G,5,FALSE()))</f>
        <v>1084</v>
      </c>
    </row>
    <row r="392" spans="1:9" ht="26" customHeight="1">
      <c r="A392" s="17" t="s">
        <v>95</v>
      </c>
      <c r="B392" s="18" t="s">
        <v>154</v>
      </c>
      <c r="C392" s="18" t="s">
        <v>97</v>
      </c>
      <c r="D392" s="18">
        <v>7</v>
      </c>
      <c r="E392" s="17" t="s">
        <v>104</v>
      </c>
      <c r="F392" s="19">
        <v>797</v>
      </c>
      <c r="G392" s="20">
        <f>F392+(VLOOKUP(D392,'(Semelles.Monument.€HT)'!C:G,3,FALSE()))</f>
        <v>977</v>
      </c>
      <c r="H392" s="21">
        <f>F392+(VLOOKUP(D392,'(Semelles.Monument.€HT)'!C:G,4,FALSE()))</f>
        <v>1029</v>
      </c>
      <c r="I392" s="22">
        <f>F392+(VLOOKUP(D392,'(Semelles.Monument.€HT)'!C:G,5,FALSE()))</f>
        <v>1084</v>
      </c>
    </row>
    <row r="393" spans="1:9" ht="26" customHeight="1">
      <c r="A393" s="2" t="s">
        <v>95</v>
      </c>
      <c r="B393" s="13" t="s">
        <v>154</v>
      </c>
      <c r="C393" s="13" t="s">
        <v>97</v>
      </c>
      <c r="D393" s="13">
        <v>8</v>
      </c>
      <c r="E393" s="2" t="s">
        <v>105</v>
      </c>
      <c r="F393" s="7">
        <v>797</v>
      </c>
      <c r="G393" s="3">
        <f>F393+(VLOOKUP(D393,'(Semelles.Monument.€HT)'!C:G,3,FALSE()))</f>
        <v>977</v>
      </c>
      <c r="H393" s="4">
        <f>F393+(VLOOKUP(D393,'(Semelles.Monument.€HT)'!C:G,4,FALSE()))</f>
        <v>1029</v>
      </c>
      <c r="I393" s="5">
        <f>F393+(VLOOKUP(D393,'(Semelles.Monument.€HT)'!C:G,5,FALSE()))</f>
        <v>1084</v>
      </c>
    </row>
    <row r="394" spans="1:9" ht="26" customHeight="1">
      <c r="A394" s="17" t="s">
        <v>95</v>
      </c>
      <c r="B394" s="18" t="s">
        <v>154</v>
      </c>
      <c r="C394" s="18" t="s">
        <v>97</v>
      </c>
      <c r="D394" s="18">
        <v>9</v>
      </c>
      <c r="E394" s="17" t="s">
        <v>106</v>
      </c>
      <c r="F394" s="19">
        <v>797</v>
      </c>
      <c r="G394" s="20">
        <f>F394+(VLOOKUP(D394,'(Semelles.Monument.€HT)'!C:G,3,FALSE()))</f>
        <v>977</v>
      </c>
      <c r="H394" s="21">
        <f>F394+(VLOOKUP(D394,'(Semelles.Monument.€HT)'!C:G,4,FALSE()))</f>
        <v>1029</v>
      </c>
      <c r="I394" s="22">
        <f>F394+(VLOOKUP(D394,'(Semelles.Monument.€HT)'!C:G,5,FALSE()))</f>
        <v>1084</v>
      </c>
    </row>
    <row r="395" spans="1:9" ht="26" customHeight="1">
      <c r="A395" s="2" t="s">
        <v>95</v>
      </c>
      <c r="B395" s="13" t="s">
        <v>154</v>
      </c>
      <c r="C395" s="13" t="s">
        <v>97</v>
      </c>
      <c r="D395" s="13">
        <v>10</v>
      </c>
      <c r="E395" s="2" t="s">
        <v>107</v>
      </c>
      <c r="F395" s="7">
        <v>797</v>
      </c>
      <c r="G395" s="3">
        <f>F395+(VLOOKUP(D395,'(Semelles.Monument.€HT)'!C:G,3,FALSE()))</f>
        <v>977</v>
      </c>
      <c r="H395" s="4">
        <f>F395+(VLOOKUP(D395,'(Semelles.Monument.€HT)'!C:G,4,FALSE()))</f>
        <v>1029</v>
      </c>
      <c r="I395" s="5">
        <f>F395+(VLOOKUP(D395,'(Semelles.Monument.€HT)'!C:G,5,FALSE()))</f>
        <v>1084</v>
      </c>
    </row>
    <row r="396" spans="1:9" ht="26" customHeight="1">
      <c r="A396" s="17" t="s">
        <v>95</v>
      </c>
      <c r="B396" s="18" t="s">
        <v>154</v>
      </c>
      <c r="C396" s="18" t="s">
        <v>97</v>
      </c>
      <c r="D396" s="18">
        <v>11</v>
      </c>
      <c r="E396" s="17" t="s">
        <v>108</v>
      </c>
      <c r="F396" s="19">
        <v>797</v>
      </c>
      <c r="G396" s="20">
        <f>F396+(VLOOKUP(D396,'(Semelles.Monument.€HT)'!C:G,3,FALSE()))</f>
        <v>977</v>
      </c>
      <c r="H396" s="21">
        <f>F396+(VLOOKUP(D396,'(Semelles.Monument.€HT)'!C:G,4,FALSE()))</f>
        <v>1029</v>
      </c>
      <c r="I396" s="22">
        <f>F396+(VLOOKUP(D396,'(Semelles.Monument.€HT)'!C:G,5,FALSE()))</f>
        <v>1084</v>
      </c>
    </row>
    <row r="397" spans="1:9" ht="26" customHeight="1">
      <c r="A397" s="2" t="s">
        <v>95</v>
      </c>
      <c r="B397" s="13" t="s">
        <v>154</v>
      </c>
      <c r="C397" s="13" t="s">
        <v>97</v>
      </c>
      <c r="D397" s="13">
        <v>12</v>
      </c>
      <c r="E397" s="2" t="s">
        <v>109</v>
      </c>
      <c r="F397" s="7">
        <v>808</v>
      </c>
      <c r="G397" s="3">
        <f>F397+(VLOOKUP(D397,'(Semelles.Monument.€HT)'!C:G,3,FALSE()))</f>
        <v>990</v>
      </c>
      <c r="H397" s="4">
        <f>F397+(VLOOKUP(D397,'(Semelles.Monument.€HT)'!C:G,4,FALSE()))</f>
        <v>1043</v>
      </c>
      <c r="I397" s="5">
        <f>F397+(VLOOKUP(D397,'(Semelles.Monument.€HT)'!C:G,5,FALSE()))</f>
        <v>1099</v>
      </c>
    </row>
    <row r="398" spans="1:9" ht="26" customHeight="1">
      <c r="A398" s="17" t="s">
        <v>95</v>
      </c>
      <c r="B398" s="18" t="s">
        <v>154</v>
      </c>
      <c r="C398" s="18" t="s">
        <v>97</v>
      </c>
      <c r="D398" s="18">
        <v>13</v>
      </c>
      <c r="E398" s="17" t="s">
        <v>110</v>
      </c>
      <c r="F398" s="19">
        <v>808</v>
      </c>
      <c r="G398" s="20">
        <f>F398+(VLOOKUP(D398,'(Semelles.Monument.€HT)'!C:G,3,FALSE()))</f>
        <v>990</v>
      </c>
      <c r="H398" s="21">
        <f>F398+(VLOOKUP(D398,'(Semelles.Monument.€HT)'!C:G,4,FALSE()))</f>
        <v>1043</v>
      </c>
      <c r="I398" s="22">
        <f>F398+(VLOOKUP(D398,'(Semelles.Monument.€HT)'!C:G,5,FALSE()))</f>
        <v>1099</v>
      </c>
    </row>
    <row r="399" spans="1:9" ht="26" customHeight="1">
      <c r="A399" s="2" t="s">
        <v>95</v>
      </c>
      <c r="B399" s="13" t="s">
        <v>154</v>
      </c>
      <c r="C399" s="13" t="s">
        <v>97</v>
      </c>
      <c r="D399" s="13">
        <v>14</v>
      </c>
      <c r="E399" s="2" t="s">
        <v>111</v>
      </c>
      <c r="F399" s="7">
        <v>811</v>
      </c>
      <c r="G399" s="3">
        <f>F399+(VLOOKUP(D399,'(Semelles.Monument.€HT)'!C:G,3,FALSE()))</f>
        <v>994</v>
      </c>
      <c r="H399" s="4">
        <f>F399+(VLOOKUP(D399,'(Semelles.Monument.€HT)'!C:G,4,FALSE()))</f>
        <v>1047</v>
      </c>
      <c r="I399" s="5">
        <f>F399+(VLOOKUP(D399,'(Semelles.Monument.€HT)'!C:G,5,FALSE()))</f>
        <v>1103</v>
      </c>
    </row>
    <row r="400" spans="1:9" ht="26" customHeight="1">
      <c r="A400" s="17" t="s">
        <v>95</v>
      </c>
      <c r="B400" s="18" t="s">
        <v>154</v>
      </c>
      <c r="C400" s="18" t="s">
        <v>97</v>
      </c>
      <c r="D400" s="18">
        <v>15</v>
      </c>
      <c r="E400" s="17" t="s">
        <v>112</v>
      </c>
      <c r="F400" s="19">
        <v>811</v>
      </c>
      <c r="G400" s="20">
        <f>F400+(VLOOKUP(D400,'(Semelles.Monument.€HT)'!C:G,3,FALSE()))</f>
        <v>994</v>
      </c>
      <c r="H400" s="21">
        <f>F400+(VLOOKUP(D400,'(Semelles.Monument.€HT)'!C:G,4,FALSE()))</f>
        <v>1047</v>
      </c>
      <c r="I400" s="22">
        <f>F400+(VLOOKUP(D400,'(Semelles.Monument.€HT)'!C:G,5,FALSE()))</f>
        <v>1103</v>
      </c>
    </row>
    <row r="401" spans="1:9" ht="26" customHeight="1">
      <c r="A401" s="2" t="s">
        <v>95</v>
      </c>
      <c r="B401" s="13" t="s">
        <v>154</v>
      </c>
      <c r="C401" s="13" t="s">
        <v>97</v>
      </c>
      <c r="D401" s="13">
        <v>16</v>
      </c>
      <c r="E401" s="2" t="s">
        <v>113</v>
      </c>
      <c r="F401" s="7">
        <v>811</v>
      </c>
      <c r="G401" s="3">
        <f>F401+(VLOOKUP(D401,'(Semelles.Monument.€HT)'!C:G,3,FALSE()))</f>
        <v>994</v>
      </c>
      <c r="H401" s="4">
        <f>F401+(VLOOKUP(D401,'(Semelles.Monument.€HT)'!C:G,4,FALSE()))</f>
        <v>1047</v>
      </c>
      <c r="I401" s="5">
        <f>F401+(VLOOKUP(D401,'(Semelles.Monument.€HT)'!C:G,5,FALSE()))</f>
        <v>1103</v>
      </c>
    </row>
    <row r="402" spans="1:9" ht="26" customHeight="1">
      <c r="A402" s="17" t="s">
        <v>95</v>
      </c>
      <c r="B402" s="18" t="s">
        <v>154</v>
      </c>
      <c r="C402" s="18" t="s">
        <v>97</v>
      </c>
      <c r="D402" s="18">
        <v>17</v>
      </c>
      <c r="E402" s="17" t="s">
        <v>114</v>
      </c>
      <c r="F402" s="19">
        <v>825</v>
      </c>
      <c r="G402" s="20">
        <f>F402+(VLOOKUP(D402,'(Semelles.Monument.€HT)'!C:G,3,FALSE()))</f>
        <v>1011</v>
      </c>
      <c r="H402" s="21">
        <f>F402+(VLOOKUP(D402,'(Semelles.Monument.€HT)'!C:G,4,FALSE()))</f>
        <v>1065</v>
      </c>
      <c r="I402" s="22">
        <f>F402+(VLOOKUP(D402,'(Semelles.Monument.€HT)'!C:G,5,FALSE()))</f>
        <v>1122</v>
      </c>
    </row>
    <row r="403" spans="1:9" ht="26" customHeight="1">
      <c r="A403" s="2" t="s">
        <v>95</v>
      </c>
      <c r="B403" s="13" t="s">
        <v>154</v>
      </c>
      <c r="C403" s="13" t="s">
        <v>97</v>
      </c>
      <c r="D403" s="13">
        <v>18</v>
      </c>
      <c r="E403" s="2" t="s">
        <v>115</v>
      </c>
      <c r="F403" s="7">
        <v>825</v>
      </c>
      <c r="G403" s="3">
        <f>F403+(VLOOKUP(D403,'(Semelles.Monument.€HT)'!C:G,3,FALSE()))</f>
        <v>1011</v>
      </c>
      <c r="H403" s="4">
        <f>F403+(VLOOKUP(D403,'(Semelles.Monument.€HT)'!C:G,4,FALSE()))</f>
        <v>1065</v>
      </c>
      <c r="I403" s="5">
        <f>F403+(VLOOKUP(D403,'(Semelles.Monument.€HT)'!C:G,5,FALSE()))</f>
        <v>1122</v>
      </c>
    </row>
    <row r="404" spans="1:9" ht="26" customHeight="1">
      <c r="A404" s="17" t="s">
        <v>95</v>
      </c>
      <c r="B404" s="18" t="s">
        <v>154</v>
      </c>
      <c r="C404" s="18" t="s">
        <v>97</v>
      </c>
      <c r="D404" s="18">
        <v>19</v>
      </c>
      <c r="E404" s="17" t="s">
        <v>116</v>
      </c>
      <c r="F404" s="19">
        <v>825</v>
      </c>
      <c r="G404" s="20">
        <f>F404+(VLOOKUP(D404,'(Semelles.Monument.€HT)'!C:G,3,FALSE()))</f>
        <v>1011</v>
      </c>
      <c r="H404" s="21">
        <f>F404+(VLOOKUP(D404,'(Semelles.Monument.€HT)'!C:G,4,FALSE()))</f>
        <v>1065</v>
      </c>
      <c r="I404" s="22">
        <f>F404+(VLOOKUP(D404,'(Semelles.Monument.€HT)'!C:G,5,FALSE()))</f>
        <v>1122</v>
      </c>
    </row>
    <row r="405" spans="1:9" ht="26" customHeight="1">
      <c r="A405" s="2" t="s">
        <v>95</v>
      </c>
      <c r="B405" s="13" t="s">
        <v>154</v>
      </c>
      <c r="C405" s="13" t="s">
        <v>97</v>
      </c>
      <c r="D405" s="13">
        <v>20</v>
      </c>
      <c r="E405" s="2" t="s">
        <v>117</v>
      </c>
      <c r="F405" s="7">
        <v>832</v>
      </c>
      <c r="G405" s="3">
        <f>F405+(VLOOKUP(D405,'(Semelles.Monument.€HT)'!C:G,3,FALSE()))</f>
        <v>1020</v>
      </c>
      <c r="H405" s="4">
        <f>F405+(VLOOKUP(D405,'(Semelles.Monument.€HT)'!C:G,4,FALSE()))</f>
        <v>1074</v>
      </c>
      <c r="I405" s="5">
        <f>F405+(VLOOKUP(D405,'(Semelles.Monument.€HT)'!C:G,5,FALSE()))</f>
        <v>1131</v>
      </c>
    </row>
    <row r="406" spans="1:9" ht="26" customHeight="1">
      <c r="A406" s="17" t="s">
        <v>95</v>
      </c>
      <c r="B406" s="18" t="s">
        <v>154</v>
      </c>
      <c r="C406" s="18" t="s">
        <v>97</v>
      </c>
      <c r="D406" s="18">
        <v>21</v>
      </c>
      <c r="E406" s="17" t="s">
        <v>118</v>
      </c>
      <c r="F406" s="19">
        <v>837</v>
      </c>
      <c r="G406" s="20">
        <f>F406+(VLOOKUP(D406,'(Semelles.Monument.€HT)'!C:G,3,FALSE()))</f>
        <v>1026</v>
      </c>
      <c r="H406" s="21">
        <f>F406+(VLOOKUP(D406,'(Semelles.Monument.€HT)'!C:G,4,FALSE()))</f>
        <v>1080</v>
      </c>
      <c r="I406" s="22">
        <f>F406+(VLOOKUP(D406,'(Semelles.Monument.€HT)'!C:G,5,FALSE()))</f>
        <v>1138</v>
      </c>
    </row>
    <row r="407" spans="1:9" ht="26" customHeight="1">
      <c r="A407" s="2" t="s">
        <v>95</v>
      </c>
      <c r="B407" s="13" t="s">
        <v>154</v>
      </c>
      <c r="C407" s="13" t="s">
        <v>97</v>
      </c>
      <c r="D407" s="13">
        <v>22</v>
      </c>
      <c r="E407" s="2" t="s">
        <v>119</v>
      </c>
      <c r="F407" s="7">
        <v>837</v>
      </c>
      <c r="G407" s="3">
        <f>F407+(VLOOKUP(D407,'(Semelles.Monument.€HT)'!C:G,3,FALSE()))</f>
        <v>1026</v>
      </c>
      <c r="H407" s="4">
        <f>F407+(VLOOKUP(D407,'(Semelles.Monument.€HT)'!C:G,4,FALSE()))</f>
        <v>1080</v>
      </c>
      <c r="I407" s="5">
        <f>F407+(VLOOKUP(D407,'(Semelles.Monument.€HT)'!C:G,5,FALSE()))</f>
        <v>1138</v>
      </c>
    </row>
    <row r="408" spans="1:9" ht="26" customHeight="1">
      <c r="A408" s="17" t="s">
        <v>95</v>
      </c>
      <c r="B408" s="18" t="s">
        <v>154</v>
      </c>
      <c r="C408" s="18" t="s">
        <v>97</v>
      </c>
      <c r="D408" s="18">
        <v>23</v>
      </c>
      <c r="E408" s="17" t="s">
        <v>120</v>
      </c>
      <c r="F408" s="19">
        <v>849</v>
      </c>
      <c r="G408" s="20">
        <f>F408+(VLOOKUP(D408,'(Semelles.Monument.€HT)'!C:G,3,FALSE()))</f>
        <v>1041</v>
      </c>
      <c r="H408" s="21">
        <f>F408+(VLOOKUP(D408,'(Semelles.Monument.€HT)'!C:G,4,FALSE()))</f>
        <v>1096</v>
      </c>
      <c r="I408" s="22">
        <f>F408+(VLOOKUP(D408,'(Semelles.Monument.€HT)'!C:G,5,FALSE()))</f>
        <v>1154</v>
      </c>
    </row>
    <row r="409" spans="1:9" ht="26" customHeight="1">
      <c r="A409" s="2" t="s">
        <v>95</v>
      </c>
      <c r="B409" s="13" t="s">
        <v>154</v>
      </c>
      <c r="C409" s="13" t="s">
        <v>97</v>
      </c>
      <c r="D409" s="13">
        <v>24</v>
      </c>
      <c r="E409" s="2" t="s">
        <v>121</v>
      </c>
      <c r="F409" s="7">
        <v>849</v>
      </c>
      <c r="G409" s="3">
        <f>F409+(VLOOKUP(D409,'(Semelles.Monument.€HT)'!C:G,3,FALSE()))</f>
        <v>1041</v>
      </c>
      <c r="H409" s="4">
        <f>F409+(VLOOKUP(D409,'(Semelles.Monument.€HT)'!C:G,4,FALSE()))</f>
        <v>1096</v>
      </c>
      <c r="I409" s="5">
        <f>F409+(VLOOKUP(D409,'(Semelles.Monument.€HT)'!C:G,5,FALSE()))</f>
        <v>1154</v>
      </c>
    </row>
    <row r="410" spans="1:9" ht="26" customHeight="1">
      <c r="A410" s="17" t="s">
        <v>95</v>
      </c>
      <c r="B410" s="18" t="s">
        <v>154</v>
      </c>
      <c r="C410" s="18" t="s">
        <v>97</v>
      </c>
      <c r="D410" s="18">
        <v>25</v>
      </c>
      <c r="E410" s="17" t="s">
        <v>122</v>
      </c>
      <c r="F410" s="19">
        <v>849</v>
      </c>
      <c r="G410" s="20">
        <f>F410+(VLOOKUP(D410,'(Semelles.Monument.€HT)'!C:G,3,FALSE()))</f>
        <v>1041</v>
      </c>
      <c r="H410" s="21">
        <f>F410+(VLOOKUP(D410,'(Semelles.Monument.€HT)'!C:G,4,FALSE()))</f>
        <v>1096</v>
      </c>
      <c r="I410" s="22">
        <f>F410+(VLOOKUP(D410,'(Semelles.Monument.€HT)'!C:G,5,FALSE()))</f>
        <v>1154</v>
      </c>
    </row>
    <row r="411" spans="1:9" ht="26" customHeight="1">
      <c r="A411" s="2" t="s">
        <v>95</v>
      </c>
      <c r="B411" s="13" t="s">
        <v>154</v>
      </c>
      <c r="C411" s="13" t="s">
        <v>97</v>
      </c>
      <c r="D411" s="13">
        <v>26</v>
      </c>
      <c r="E411" s="2" t="s">
        <v>123</v>
      </c>
      <c r="F411" s="7">
        <v>864</v>
      </c>
      <c r="G411" s="3">
        <f>F411+(VLOOKUP(D411,'(Semelles.Monument.€HT)'!C:G,3,FALSE()))</f>
        <v>1059</v>
      </c>
      <c r="H411" s="4">
        <f>F411+(VLOOKUP(D411,'(Semelles.Monument.€HT)'!C:G,4,FALSE()))</f>
        <v>1115</v>
      </c>
      <c r="I411" s="5">
        <f>F411+(VLOOKUP(D411,'(Semelles.Monument.€HT)'!C:G,5,FALSE()))</f>
        <v>1174</v>
      </c>
    </row>
    <row r="412" spans="1:9" ht="26" customHeight="1">
      <c r="A412" s="17" t="s">
        <v>95</v>
      </c>
      <c r="B412" s="18" t="s">
        <v>154</v>
      </c>
      <c r="C412" s="18" t="s">
        <v>97</v>
      </c>
      <c r="D412" s="18">
        <v>27</v>
      </c>
      <c r="E412" s="17" t="s">
        <v>124</v>
      </c>
      <c r="F412" s="19">
        <v>920</v>
      </c>
      <c r="G412" s="20">
        <f>F412+(VLOOKUP(D412,'(Semelles.Monument.€HT)'!C:G,3,FALSE()))</f>
        <v>1128</v>
      </c>
      <c r="H412" s="21">
        <f>F412+(VLOOKUP(D412,'(Semelles.Monument.€HT)'!C:G,4,FALSE()))</f>
        <v>1188</v>
      </c>
      <c r="I412" s="22">
        <f>F412+(VLOOKUP(D412,'(Semelles.Monument.€HT)'!C:G,5,FALSE()))</f>
        <v>1287</v>
      </c>
    </row>
    <row r="413" spans="1:9" ht="26" customHeight="1">
      <c r="A413" s="2" t="s">
        <v>95</v>
      </c>
      <c r="B413" s="13" t="s">
        <v>154</v>
      </c>
      <c r="C413" s="13" t="s">
        <v>97</v>
      </c>
      <c r="D413" s="13">
        <v>28</v>
      </c>
      <c r="E413" s="2" t="s">
        <v>125</v>
      </c>
      <c r="F413" s="7">
        <v>1020</v>
      </c>
      <c r="G413" s="3">
        <f>F413+(VLOOKUP(D413,'(Semelles.Monument.€HT)'!C:G,3,FALSE()))</f>
        <v>1250</v>
      </c>
      <c r="H413" s="4">
        <f>F413+(VLOOKUP(D413,'(Semelles.Monument.€HT)'!C:G,4,FALSE()))</f>
        <v>1317</v>
      </c>
      <c r="I413" s="5">
        <f>F413+(VLOOKUP(D413,'(Semelles.Monument.€HT)'!C:G,5,FALSE()))</f>
        <v>1387</v>
      </c>
    </row>
    <row r="414" spans="1:9" ht="26" customHeight="1">
      <c r="A414" s="17" t="s">
        <v>95</v>
      </c>
      <c r="B414" s="18" t="s">
        <v>154</v>
      </c>
      <c r="C414" s="18" t="s">
        <v>97</v>
      </c>
      <c r="D414" s="18">
        <v>29</v>
      </c>
      <c r="E414" s="17" t="s">
        <v>126</v>
      </c>
      <c r="F414" s="19">
        <v>1062</v>
      </c>
      <c r="G414" s="20">
        <f>F414+(VLOOKUP(D414,'(Semelles.Monument.€HT)'!C:G,3,FALSE()))</f>
        <v>1302</v>
      </c>
      <c r="H414" s="21">
        <f>F414+(VLOOKUP(D414,'(Semelles.Monument.€HT)'!C:G,4,FALSE()))</f>
        <v>1371</v>
      </c>
      <c r="I414" s="22">
        <f>F414+(VLOOKUP(D414,'(Semelles.Monument.€HT)'!C:G,5,FALSE()))</f>
        <v>1444</v>
      </c>
    </row>
    <row r="415" spans="1:9" ht="26" customHeight="1">
      <c r="A415" s="2" t="s">
        <v>95</v>
      </c>
      <c r="B415" s="13" t="s">
        <v>154</v>
      </c>
      <c r="C415" s="13" t="s">
        <v>97</v>
      </c>
      <c r="D415" s="13">
        <v>30</v>
      </c>
      <c r="E415" s="2" t="s">
        <v>127</v>
      </c>
      <c r="F415" s="7">
        <v>1062</v>
      </c>
      <c r="G415" s="3">
        <f>F415+(VLOOKUP(D415,'(Semelles.Monument.€HT)'!C:G,3,FALSE()))</f>
        <v>1302</v>
      </c>
      <c r="H415" s="4">
        <f>F415+(VLOOKUP(D415,'(Semelles.Monument.€HT)'!C:G,4,FALSE()))</f>
        <v>1371</v>
      </c>
      <c r="I415" s="5">
        <f>F415+(VLOOKUP(D415,'(Semelles.Monument.€HT)'!C:G,5,FALSE()))</f>
        <v>1444</v>
      </c>
    </row>
    <row r="416" spans="1:9" ht="26" customHeight="1">
      <c r="A416" s="17" t="s">
        <v>95</v>
      </c>
      <c r="B416" s="18" t="s">
        <v>154</v>
      </c>
      <c r="C416" s="18" t="s">
        <v>128</v>
      </c>
      <c r="D416" s="18">
        <v>31</v>
      </c>
      <c r="E416" s="17" t="s">
        <v>129</v>
      </c>
      <c r="F416" s="19">
        <v>605</v>
      </c>
      <c r="G416" s="20">
        <f>F416+(VLOOKUP(D416,'(Semelles.Monument.€HT)'!C:G,3,FALSE()))</f>
        <v>737</v>
      </c>
      <c r="H416" s="21">
        <f>F416+(VLOOKUP(D416,'(Semelles.Monument.€HT)'!C:G,4,FALSE()))</f>
        <v>775</v>
      </c>
      <c r="I416" s="22">
        <f>F416+(VLOOKUP(D416,'(Semelles.Monument.€HT)'!C:G,5,FALSE()))</f>
        <v>815</v>
      </c>
    </row>
    <row r="417" spans="1:9" ht="26" customHeight="1">
      <c r="A417" s="2" t="s">
        <v>95</v>
      </c>
      <c r="B417" s="13" t="s">
        <v>154</v>
      </c>
      <c r="C417" s="13" t="s">
        <v>128</v>
      </c>
      <c r="D417" s="13">
        <v>32</v>
      </c>
      <c r="E417" s="2" t="s">
        <v>130</v>
      </c>
      <c r="F417" s="7">
        <v>613</v>
      </c>
      <c r="G417" s="3">
        <f>F417+(VLOOKUP(D417,'(Semelles.Monument.€HT)'!C:G,3,FALSE()))</f>
        <v>747</v>
      </c>
      <c r="H417" s="4">
        <f>F417+(VLOOKUP(D417,'(Semelles.Monument.€HT)'!C:G,4,FALSE()))</f>
        <v>786</v>
      </c>
      <c r="I417" s="5">
        <f>F417+(VLOOKUP(D417,'(Semelles.Monument.€HT)'!C:G,5,FALSE()))</f>
        <v>826</v>
      </c>
    </row>
    <row r="418" spans="1:9" ht="26" customHeight="1">
      <c r="A418" s="17" t="s">
        <v>95</v>
      </c>
      <c r="B418" s="18" t="s">
        <v>154</v>
      </c>
      <c r="C418" s="18" t="s">
        <v>128</v>
      </c>
      <c r="D418" s="18">
        <v>33</v>
      </c>
      <c r="E418" s="17" t="s">
        <v>131</v>
      </c>
      <c r="F418" s="19">
        <v>613</v>
      </c>
      <c r="G418" s="20">
        <f>F418+(VLOOKUP(D418,'(Semelles.Monument.€HT)'!C:G,3,FALSE()))</f>
        <v>747</v>
      </c>
      <c r="H418" s="21">
        <f>F418+(VLOOKUP(D418,'(Semelles.Monument.€HT)'!C:G,4,FALSE()))</f>
        <v>786</v>
      </c>
      <c r="I418" s="22">
        <f>F418+(VLOOKUP(D418,'(Semelles.Monument.€HT)'!C:G,5,FALSE()))</f>
        <v>826</v>
      </c>
    </row>
    <row r="419" spans="1:9" ht="26" customHeight="1">
      <c r="A419" s="2" t="s">
        <v>95</v>
      </c>
      <c r="B419" s="13" t="s">
        <v>154</v>
      </c>
      <c r="C419" s="13" t="s">
        <v>128</v>
      </c>
      <c r="D419" s="13">
        <v>34</v>
      </c>
      <c r="E419" s="2" t="s">
        <v>132</v>
      </c>
      <c r="F419" s="7">
        <v>619</v>
      </c>
      <c r="G419" s="3">
        <f>F419+(VLOOKUP(D419,'(Semelles.Monument.€HT)'!C:G,3,FALSE()))</f>
        <v>754</v>
      </c>
      <c r="H419" s="4">
        <f>F419+(VLOOKUP(D419,'(Semelles.Monument.€HT)'!C:G,4,FALSE()))</f>
        <v>793</v>
      </c>
      <c r="I419" s="5">
        <f>F419+(VLOOKUP(D419,'(Semelles.Monument.€HT)'!C:G,5,FALSE()))</f>
        <v>834</v>
      </c>
    </row>
    <row r="420" spans="1:9" ht="26" customHeight="1">
      <c r="A420" s="17" t="s">
        <v>95</v>
      </c>
      <c r="B420" s="18" t="s">
        <v>154</v>
      </c>
      <c r="C420" s="18" t="s">
        <v>128</v>
      </c>
      <c r="D420" s="18">
        <v>35</v>
      </c>
      <c r="E420" s="17" t="s">
        <v>133</v>
      </c>
      <c r="F420" s="19">
        <v>741</v>
      </c>
      <c r="G420" s="20">
        <f>F420+(VLOOKUP(D420,'(Semelles.Monument.€HT)'!C:G,3,FALSE()))</f>
        <v>904</v>
      </c>
      <c r="H420" s="21">
        <f>F420+(VLOOKUP(D420,'(Semelles.Monument.€HT)'!C:G,4,FALSE()))</f>
        <v>951</v>
      </c>
      <c r="I420" s="22">
        <f>F420+(VLOOKUP(D420,'(Semelles.Monument.€HT)'!C:G,5,FALSE()))</f>
        <v>1000</v>
      </c>
    </row>
    <row r="421" spans="1:9" ht="26" customHeight="1">
      <c r="A421" s="2" t="s">
        <v>95</v>
      </c>
      <c r="B421" s="13" t="s">
        <v>154</v>
      </c>
      <c r="C421" s="13" t="s">
        <v>128</v>
      </c>
      <c r="D421" s="13">
        <v>36</v>
      </c>
      <c r="E421" s="2" t="s">
        <v>134</v>
      </c>
      <c r="F421" s="7">
        <v>766</v>
      </c>
      <c r="G421" s="3">
        <f>F421+(VLOOKUP(D421,'(Semelles.Monument.€HT)'!C:G,3,FALSE()))</f>
        <v>934</v>
      </c>
      <c r="H421" s="4">
        <f>F421+(VLOOKUP(D421,'(Semelles.Monument.€HT)'!C:G,4,FALSE()))</f>
        <v>983</v>
      </c>
      <c r="I421" s="5">
        <f>F421+(VLOOKUP(D421,'(Semelles.Monument.€HT)'!C:G,5,FALSE()))</f>
        <v>1034</v>
      </c>
    </row>
    <row r="422" spans="1:9" ht="26" customHeight="1">
      <c r="A422" s="17" t="s">
        <v>95</v>
      </c>
      <c r="B422" s="18" t="s">
        <v>154</v>
      </c>
      <c r="C422" s="18" t="s">
        <v>128</v>
      </c>
      <c r="D422" s="18">
        <v>37</v>
      </c>
      <c r="E422" s="17" t="s">
        <v>135</v>
      </c>
      <c r="F422" s="19">
        <v>942</v>
      </c>
      <c r="G422" s="20">
        <f>F422+(VLOOKUP(D422,'(Semelles.Monument.€HT)'!C:G,3,FALSE()))</f>
        <v>1150</v>
      </c>
      <c r="H422" s="21">
        <f>F422+(VLOOKUP(D422,'(Semelles.Monument.€HT)'!C:G,4,FALSE()))</f>
        <v>1210</v>
      </c>
      <c r="I422" s="22">
        <f>F422+(VLOOKUP(D422,'(Semelles.Monument.€HT)'!C:G,5,FALSE()))</f>
        <v>1274</v>
      </c>
    </row>
    <row r="423" spans="1:9" ht="26" customHeight="1">
      <c r="A423" s="2" t="s">
        <v>95</v>
      </c>
      <c r="B423" s="13" t="s">
        <v>154</v>
      </c>
      <c r="C423" s="13" t="s">
        <v>128</v>
      </c>
      <c r="D423" s="13">
        <v>38</v>
      </c>
      <c r="E423" s="2" t="s">
        <v>136</v>
      </c>
      <c r="F423" s="7">
        <v>996</v>
      </c>
      <c r="G423" s="3">
        <f>F423+(VLOOKUP(D423,'(Semelles.Monument.€HT)'!C:G,3,FALSE()))</f>
        <v>1216</v>
      </c>
      <c r="H423" s="4">
        <f>F423+(VLOOKUP(D423,'(Semelles.Monument.€HT)'!C:G,4,FALSE()))</f>
        <v>1280</v>
      </c>
      <c r="I423" s="5">
        <f>F423+(VLOOKUP(D423,'(Semelles.Monument.€HT)'!C:G,5,FALSE()))</f>
        <v>1347</v>
      </c>
    </row>
    <row r="424" spans="1:9" ht="26" customHeight="1">
      <c r="A424" s="17" t="s">
        <v>95</v>
      </c>
      <c r="B424" s="18" t="s">
        <v>154</v>
      </c>
      <c r="C424" s="18" t="s">
        <v>128</v>
      </c>
      <c r="D424" s="18">
        <v>39</v>
      </c>
      <c r="E424" s="17" t="s">
        <v>137</v>
      </c>
      <c r="F424" s="19">
        <v>1022</v>
      </c>
      <c r="G424" s="20">
        <f>F424+(VLOOKUP(D424,'(Semelles.Monument.€HT)'!C:G,3,FALSE()))</f>
        <v>1248</v>
      </c>
      <c r="H424" s="21">
        <f>F424+(VLOOKUP(D424,'(Semelles.Monument.€HT)'!C:G,4,FALSE()))</f>
        <v>1313</v>
      </c>
      <c r="I424" s="22">
        <f>F424+(VLOOKUP(D424,'(Semelles.Monument.€HT)'!C:G,5,FALSE()))</f>
        <v>1382</v>
      </c>
    </row>
    <row r="425" spans="1:9" ht="26" customHeight="1">
      <c r="A425" s="2" t="s">
        <v>95</v>
      </c>
      <c r="B425" s="13" t="s">
        <v>154</v>
      </c>
      <c r="C425" s="13" t="s">
        <v>128</v>
      </c>
      <c r="D425" s="13">
        <v>40</v>
      </c>
      <c r="E425" s="2" t="s">
        <v>138</v>
      </c>
      <c r="F425" s="7">
        <v>1050</v>
      </c>
      <c r="G425" s="3">
        <f>F425+(VLOOKUP(D425,'(Semelles.Monument.€HT)'!C:G,3,FALSE()))</f>
        <v>1282</v>
      </c>
      <c r="H425" s="4">
        <f>F425+(VLOOKUP(D425,'(Semelles.Monument.€HT)'!C:G,4,FALSE()))</f>
        <v>1350</v>
      </c>
      <c r="I425" s="5">
        <f>F425+(VLOOKUP(D425,'(Semelles.Monument.€HT)'!C:G,5,FALSE()))</f>
        <v>1420</v>
      </c>
    </row>
    <row r="426" spans="1:9" ht="26" customHeight="1">
      <c r="A426" s="17" t="s">
        <v>95</v>
      </c>
      <c r="B426" s="18" t="s">
        <v>154</v>
      </c>
      <c r="C426" s="18" t="s">
        <v>128</v>
      </c>
      <c r="D426" s="18">
        <v>41</v>
      </c>
      <c r="E426" s="17" t="s">
        <v>139</v>
      </c>
      <c r="F426" s="19">
        <v>1115</v>
      </c>
      <c r="G426" s="20">
        <f>F426+(VLOOKUP(D426,'(Semelles.Monument.€HT)'!C:G,3,FALSE()))</f>
        <v>1362</v>
      </c>
      <c r="H426" s="21">
        <f>F426+(VLOOKUP(D426,'(Semelles.Monument.€HT)'!C:G,4,FALSE()))</f>
        <v>1434</v>
      </c>
      <c r="I426" s="22">
        <f>F426+(VLOOKUP(D426,'(Semelles.Monument.€HT)'!C:G,5,FALSE()))</f>
        <v>1509</v>
      </c>
    </row>
    <row r="427" spans="1:9" ht="26" customHeight="1">
      <c r="A427" s="2" t="s">
        <v>95</v>
      </c>
      <c r="B427" s="13" t="s">
        <v>154</v>
      </c>
      <c r="C427" s="13" t="s">
        <v>128</v>
      </c>
      <c r="D427" s="13">
        <v>42</v>
      </c>
      <c r="E427" s="2" t="s">
        <v>140</v>
      </c>
      <c r="F427" s="7">
        <v>1223</v>
      </c>
      <c r="G427" s="3">
        <f>F427+(VLOOKUP(D427,'(Semelles.Monument.€HT)'!C:G,3,FALSE()))</f>
        <v>1494</v>
      </c>
      <c r="H427" s="4">
        <f>F427+(VLOOKUP(D427,'(Semelles.Monument.€HT)'!C:G,4,FALSE()))</f>
        <v>1573</v>
      </c>
      <c r="I427" s="5">
        <f>F427+(VLOOKUP(D427,'(Semelles.Monument.€HT)'!C:G,5,FALSE()))</f>
        <v>1656</v>
      </c>
    </row>
    <row r="428" spans="1:9" ht="26" customHeight="1">
      <c r="A428" s="17" t="s">
        <v>95</v>
      </c>
      <c r="B428" s="18" t="s">
        <v>154</v>
      </c>
      <c r="C428" s="18" t="s">
        <v>128</v>
      </c>
      <c r="D428" s="18">
        <v>43</v>
      </c>
      <c r="E428" s="17" t="s">
        <v>141</v>
      </c>
      <c r="F428" s="19">
        <v>1223</v>
      </c>
      <c r="G428" s="20">
        <f>F428+(VLOOKUP(D428,'(Semelles.Monument.€HT)'!C:G,3,FALSE()))</f>
        <v>1494</v>
      </c>
      <c r="H428" s="21">
        <f>F428+(VLOOKUP(D428,'(Semelles.Monument.€HT)'!C:G,4,FALSE()))</f>
        <v>1573</v>
      </c>
      <c r="I428" s="22">
        <f>F428+(VLOOKUP(D428,'(Semelles.Monument.€HT)'!C:G,5,FALSE()))</f>
        <v>1656</v>
      </c>
    </row>
    <row r="429" spans="1:9" ht="26" customHeight="1">
      <c r="A429" s="2" t="s">
        <v>95</v>
      </c>
      <c r="B429" s="13" t="s">
        <v>154</v>
      </c>
      <c r="C429" s="13" t="s">
        <v>128</v>
      </c>
      <c r="D429" s="13">
        <v>44</v>
      </c>
      <c r="E429" s="2" t="s">
        <v>142</v>
      </c>
      <c r="F429" s="7">
        <v>1237</v>
      </c>
      <c r="G429" s="3">
        <f>F429+(VLOOKUP(D429,'(Semelles.Monument.€HT)'!C:G,3,FALSE()))</f>
        <v>1512</v>
      </c>
      <c r="H429" s="4">
        <f>F429+(VLOOKUP(D429,'(Semelles.Monument.€HT)'!C:G,4,FALSE()))</f>
        <v>1591</v>
      </c>
      <c r="I429" s="5">
        <f>F429+(VLOOKUP(D429,'(Semelles.Monument.€HT)'!C:G,5,FALSE()))</f>
        <v>1675</v>
      </c>
    </row>
    <row r="430" spans="1:9" ht="26" customHeight="1">
      <c r="A430" s="17" t="s">
        <v>95</v>
      </c>
      <c r="B430" s="18" t="s">
        <v>154</v>
      </c>
      <c r="C430" s="18" t="s">
        <v>128</v>
      </c>
      <c r="D430" s="18">
        <v>45</v>
      </c>
      <c r="E430" s="17" t="s">
        <v>143</v>
      </c>
      <c r="F430" s="19">
        <v>1252</v>
      </c>
      <c r="G430" s="20">
        <f>F430+(VLOOKUP(D430,'(Semelles.Monument.€HT)'!C:G,3,FALSE()))</f>
        <v>1530</v>
      </c>
      <c r="H430" s="21">
        <f>F430+(VLOOKUP(D430,'(Semelles.Monument.€HT)'!C:G,4,FALSE()))</f>
        <v>1610</v>
      </c>
      <c r="I430" s="22">
        <f>F430+(VLOOKUP(D430,'(Semelles.Monument.€HT)'!C:G,5,FALSE()))</f>
        <v>1695</v>
      </c>
    </row>
    <row r="431" spans="1:9" ht="26" customHeight="1">
      <c r="A431" s="2" t="s">
        <v>95</v>
      </c>
      <c r="B431" s="13" t="s">
        <v>154</v>
      </c>
      <c r="C431" s="13" t="s">
        <v>128</v>
      </c>
      <c r="D431" s="13">
        <v>46</v>
      </c>
      <c r="E431" s="2" t="s">
        <v>144</v>
      </c>
      <c r="F431" s="7">
        <v>1252</v>
      </c>
      <c r="G431" s="3">
        <f>F431+(VLOOKUP(D431,'(Semelles.Monument.€HT)'!C:G,3,FALSE()))</f>
        <v>1530</v>
      </c>
      <c r="H431" s="4">
        <f>F431+(VLOOKUP(D431,'(Semelles.Monument.€HT)'!C:G,4,FALSE()))</f>
        <v>1610</v>
      </c>
      <c r="I431" s="5">
        <f>F431+(VLOOKUP(D431,'(Semelles.Monument.€HT)'!C:G,5,FALSE()))</f>
        <v>1695</v>
      </c>
    </row>
    <row r="432" spans="1:9" ht="26" customHeight="1">
      <c r="A432" s="17" t="s">
        <v>95</v>
      </c>
      <c r="B432" s="18" t="s">
        <v>154</v>
      </c>
      <c r="C432" s="18" t="s">
        <v>128</v>
      </c>
      <c r="D432" s="18">
        <v>47</v>
      </c>
      <c r="E432" s="17" t="s">
        <v>145</v>
      </c>
      <c r="F432" s="19">
        <v>1277</v>
      </c>
      <c r="G432" s="20">
        <f>F432+(VLOOKUP(D432,'(Semelles.Monument.€HT)'!C:G,3,FALSE()))</f>
        <v>1561</v>
      </c>
      <c r="H432" s="21">
        <f>F432+(VLOOKUP(D432,'(Semelles.Monument.€HT)'!C:G,4,FALSE()))</f>
        <v>1643</v>
      </c>
      <c r="I432" s="22">
        <f>F432+(VLOOKUP(D432,'(Semelles.Monument.€HT)'!C:G,5,FALSE()))</f>
        <v>1729</v>
      </c>
    </row>
    <row r="433" spans="1:9" ht="26" customHeight="1">
      <c r="A433" s="2" t="s">
        <v>95</v>
      </c>
      <c r="B433" s="13" t="s">
        <v>154</v>
      </c>
      <c r="C433" s="13" t="s">
        <v>128</v>
      </c>
      <c r="D433" s="13">
        <v>48</v>
      </c>
      <c r="E433" s="2" t="s">
        <v>146</v>
      </c>
      <c r="F433" s="7">
        <v>1291</v>
      </c>
      <c r="G433" s="3">
        <f>F433+(VLOOKUP(D433,'(Semelles.Monument.€HT)'!C:G,3,FALSE()))</f>
        <v>1578</v>
      </c>
      <c r="H433" s="4">
        <f>F433+(VLOOKUP(D433,'(Semelles.Monument.€HT)'!C:G,4,FALSE()))</f>
        <v>1661</v>
      </c>
      <c r="I433" s="5">
        <f>F433+(VLOOKUP(D433,'(Semelles.Monument.€HT)'!C:G,5,FALSE()))</f>
        <v>1748</v>
      </c>
    </row>
    <row r="434" spans="1:9" ht="26" customHeight="1">
      <c r="A434" s="17" t="s">
        <v>95</v>
      </c>
      <c r="B434" s="18" t="s">
        <v>155</v>
      </c>
      <c r="C434" s="18" t="s">
        <v>97</v>
      </c>
      <c r="D434" s="18">
        <v>1</v>
      </c>
      <c r="E434" s="17" t="s">
        <v>98</v>
      </c>
      <c r="F434" s="19">
        <v>590</v>
      </c>
      <c r="G434" s="20">
        <f>F434+(VLOOKUP(D434,'(Semelles.Monument.€HT)'!C:G,3,FALSE()))</f>
        <v>748</v>
      </c>
      <c r="H434" s="21">
        <f>F434+(VLOOKUP(D434,'(Semelles.Monument.€HT)'!C:G,4,FALSE()))</f>
        <v>794</v>
      </c>
      <c r="I434" s="22">
        <f>F434+(VLOOKUP(D434,'(Semelles.Monument.€HT)'!C:G,5,FALSE()))</f>
        <v>842</v>
      </c>
    </row>
    <row r="435" spans="1:9" ht="26" customHeight="1">
      <c r="A435" s="2" t="s">
        <v>95</v>
      </c>
      <c r="B435" s="13" t="s">
        <v>155</v>
      </c>
      <c r="C435" s="13" t="s">
        <v>97</v>
      </c>
      <c r="D435" s="13">
        <v>2</v>
      </c>
      <c r="E435" s="2" t="s">
        <v>99</v>
      </c>
      <c r="F435" s="7">
        <v>589</v>
      </c>
      <c r="G435" s="3">
        <f>F435+(VLOOKUP(D435,'(Semelles.Monument.€HT)'!C:G,3,FALSE()))</f>
        <v>747</v>
      </c>
      <c r="H435" s="4">
        <f>F435+(VLOOKUP(D435,'(Semelles.Monument.€HT)'!C:G,4,FALSE()))</f>
        <v>793</v>
      </c>
      <c r="I435" s="5">
        <f>F435+(VLOOKUP(D435,'(Semelles.Monument.€HT)'!C:G,5,FALSE()))</f>
        <v>841</v>
      </c>
    </row>
    <row r="436" spans="1:9" ht="26" customHeight="1">
      <c r="A436" s="17" t="s">
        <v>95</v>
      </c>
      <c r="B436" s="18" t="s">
        <v>155</v>
      </c>
      <c r="C436" s="18" t="s">
        <v>97</v>
      </c>
      <c r="D436" s="18">
        <v>3</v>
      </c>
      <c r="E436" s="17" t="s">
        <v>100</v>
      </c>
      <c r="F436" s="19">
        <v>655</v>
      </c>
      <c r="G436" s="20">
        <f>F436+(VLOOKUP(D436,'(Semelles.Monument.€HT)'!C:G,3,FALSE()))</f>
        <v>831</v>
      </c>
      <c r="H436" s="21">
        <f>F436+(VLOOKUP(D436,'(Semelles.Monument.€HT)'!C:G,4,FALSE()))</f>
        <v>882</v>
      </c>
      <c r="I436" s="22">
        <f>F436+(VLOOKUP(D436,'(Semelles.Monument.€HT)'!C:G,5,FALSE()))</f>
        <v>935</v>
      </c>
    </row>
    <row r="437" spans="1:9" ht="26" customHeight="1">
      <c r="A437" s="2" t="s">
        <v>95</v>
      </c>
      <c r="B437" s="13" t="s">
        <v>155</v>
      </c>
      <c r="C437" s="13" t="s">
        <v>97</v>
      </c>
      <c r="D437" s="13">
        <v>4</v>
      </c>
      <c r="E437" s="2" t="s">
        <v>101</v>
      </c>
      <c r="F437" s="7">
        <v>666</v>
      </c>
      <c r="G437" s="3">
        <f>F437+(VLOOKUP(D437,'(Semelles.Monument.€HT)'!C:G,3,FALSE()))</f>
        <v>845</v>
      </c>
      <c r="H437" s="4">
        <f>F437+(VLOOKUP(D437,'(Semelles.Monument.€HT)'!C:G,4,FALSE()))</f>
        <v>897</v>
      </c>
      <c r="I437" s="5">
        <f>F437+(VLOOKUP(D437,'(Semelles.Monument.€HT)'!C:G,5,FALSE()))</f>
        <v>951</v>
      </c>
    </row>
    <row r="438" spans="1:9" ht="26" customHeight="1">
      <c r="A438" s="17" t="s">
        <v>95</v>
      </c>
      <c r="B438" s="18" t="s">
        <v>155</v>
      </c>
      <c r="C438" s="18" t="s">
        <v>97</v>
      </c>
      <c r="D438" s="18">
        <v>5</v>
      </c>
      <c r="E438" s="17" t="s">
        <v>102</v>
      </c>
      <c r="F438" s="19">
        <v>666</v>
      </c>
      <c r="G438" s="20">
        <f>F438+(VLOOKUP(D438,'(Semelles.Monument.€HT)'!C:G,3,FALSE()))</f>
        <v>845</v>
      </c>
      <c r="H438" s="21">
        <f>F438+(VLOOKUP(D438,'(Semelles.Monument.€HT)'!C:G,4,FALSE()))</f>
        <v>897</v>
      </c>
      <c r="I438" s="22">
        <f>F438+(VLOOKUP(D438,'(Semelles.Monument.€HT)'!C:G,5,FALSE()))</f>
        <v>951</v>
      </c>
    </row>
    <row r="439" spans="1:9" ht="26" customHeight="1">
      <c r="A439" s="2" t="s">
        <v>95</v>
      </c>
      <c r="B439" s="13" t="s">
        <v>155</v>
      </c>
      <c r="C439" s="13" t="s">
        <v>97</v>
      </c>
      <c r="D439" s="13">
        <v>6</v>
      </c>
      <c r="E439" s="2" t="s">
        <v>103</v>
      </c>
      <c r="F439" s="7">
        <v>669</v>
      </c>
      <c r="G439" s="3">
        <f>F439+(VLOOKUP(D439,'(Semelles.Monument.€HT)'!C:G,3,FALSE()))</f>
        <v>849</v>
      </c>
      <c r="H439" s="4">
        <f>F439+(VLOOKUP(D439,'(Semelles.Monument.€HT)'!C:G,4,FALSE()))</f>
        <v>901</v>
      </c>
      <c r="I439" s="5">
        <f>F439+(VLOOKUP(D439,'(Semelles.Monument.€HT)'!C:G,5,FALSE()))</f>
        <v>956</v>
      </c>
    </row>
    <row r="440" spans="1:9" ht="26" customHeight="1">
      <c r="A440" s="17" t="s">
        <v>95</v>
      </c>
      <c r="B440" s="18" t="s">
        <v>155</v>
      </c>
      <c r="C440" s="18" t="s">
        <v>97</v>
      </c>
      <c r="D440" s="18">
        <v>7</v>
      </c>
      <c r="E440" s="17" t="s">
        <v>104</v>
      </c>
      <c r="F440" s="19">
        <v>669</v>
      </c>
      <c r="G440" s="20">
        <f>F440+(VLOOKUP(D440,'(Semelles.Monument.€HT)'!C:G,3,FALSE()))</f>
        <v>849</v>
      </c>
      <c r="H440" s="21">
        <f>F440+(VLOOKUP(D440,'(Semelles.Monument.€HT)'!C:G,4,FALSE()))</f>
        <v>901</v>
      </c>
      <c r="I440" s="22">
        <f>F440+(VLOOKUP(D440,'(Semelles.Monument.€HT)'!C:G,5,FALSE()))</f>
        <v>956</v>
      </c>
    </row>
    <row r="441" spans="1:9" ht="26" customHeight="1">
      <c r="A441" s="2" t="s">
        <v>95</v>
      </c>
      <c r="B441" s="13" t="s">
        <v>155</v>
      </c>
      <c r="C441" s="13" t="s">
        <v>97</v>
      </c>
      <c r="D441" s="13">
        <v>8</v>
      </c>
      <c r="E441" s="2" t="s">
        <v>105</v>
      </c>
      <c r="F441" s="7">
        <v>669</v>
      </c>
      <c r="G441" s="3">
        <f>F441+(VLOOKUP(D441,'(Semelles.Monument.€HT)'!C:G,3,FALSE()))</f>
        <v>849</v>
      </c>
      <c r="H441" s="4">
        <f>F441+(VLOOKUP(D441,'(Semelles.Monument.€HT)'!C:G,4,FALSE()))</f>
        <v>901</v>
      </c>
      <c r="I441" s="5">
        <f>F441+(VLOOKUP(D441,'(Semelles.Monument.€HT)'!C:G,5,FALSE()))</f>
        <v>956</v>
      </c>
    </row>
    <row r="442" spans="1:9" ht="26" customHeight="1">
      <c r="A442" s="17" t="s">
        <v>95</v>
      </c>
      <c r="B442" s="18" t="s">
        <v>155</v>
      </c>
      <c r="C442" s="18" t="s">
        <v>97</v>
      </c>
      <c r="D442" s="18">
        <v>9</v>
      </c>
      <c r="E442" s="17" t="s">
        <v>106</v>
      </c>
      <c r="F442" s="19">
        <v>669</v>
      </c>
      <c r="G442" s="20">
        <f>F442+(VLOOKUP(D442,'(Semelles.Monument.€HT)'!C:G,3,FALSE()))</f>
        <v>849</v>
      </c>
      <c r="H442" s="21">
        <f>F442+(VLOOKUP(D442,'(Semelles.Monument.€HT)'!C:G,4,FALSE()))</f>
        <v>901</v>
      </c>
      <c r="I442" s="22">
        <f>F442+(VLOOKUP(D442,'(Semelles.Monument.€HT)'!C:G,5,FALSE()))</f>
        <v>956</v>
      </c>
    </row>
    <row r="443" spans="1:9" ht="26" customHeight="1">
      <c r="A443" s="2" t="s">
        <v>95</v>
      </c>
      <c r="B443" s="13" t="s">
        <v>155</v>
      </c>
      <c r="C443" s="13" t="s">
        <v>97</v>
      </c>
      <c r="D443" s="13">
        <v>10</v>
      </c>
      <c r="E443" s="2" t="s">
        <v>107</v>
      </c>
      <c r="F443" s="7">
        <v>669</v>
      </c>
      <c r="G443" s="3">
        <f>F443+(VLOOKUP(D443,'(Semelles.Monument.€HT)'!C:G,3,FALSE()))</f>
        <v>849</v>
      </c>
      <c r="H443" s="4">
        <f>F443+(VLOOKUP(D443,'(Semelles.Monument.€HT)'!C:G,4,FALSE()))</f>
        <v>901</v>
      </c>
      <c r="I443" s="5">
        <f>F443+(VLOOKUP(D443,'(Semelles.Monument.€HT)'!C:G,5,FALSE()))</f>
        <v>956</v>
      </c>
    </row>
    <row r="444" spans="1:9" ht="26" customHeight="1">
      <c r="A444" s="17" t="s">
        <v>95</v>
      </c>
      <c r="B444" s="18" t="s">
        <v>155</v>
      </c>
      <c r="C444" s="18" t="s">
        <v>97</v>
      </c>
      <c r="D444" s="18">
        <v>11</v>
      </c>
      <c r="E444" s="17" t="s">
        <v>108</v>
      </c>
      <c r="F444" s="19">
        <v>669</v>
      </c>
      <c r="G444" s="20">
        <f>F444+(VLOOKUP(D444,'(Semelles.Monument.€HT)'!C:G,3,FALSE()))</f>
        <v>849</v>
      </c>
      <c r="H444" s="21">
        <f>F444+(VLOOKUP(D444,'(Semelles.Monument.€HT)'!C:G,4,FALSE()))</f>
        <v>901</v>
      </c>
      <c r="I444" s="22">
        <f>F444+(VLOOKUP(D444,'(Semelles.Monument.€HT)'!C:G,5,FALSE()))</f>
        <v>956</v>
      </c>
    </row>
    <row r="445" spans="1:9" ht="26" customHeight="1">
      <c r="A445" s="2" t="s">
        <v>95</v>
      </c>
      <c r="B445" s="13" t="s">
        <v>155</v>
      </c>
      <c r="C445" s="13" t="s">
        <v>97</v>
      </c>
      <c r="D445" s="13">
        <v>12</v>
      </c>
      <c r="E445" s="2" t="s">
        <v>109</v>
      </c>
      <c r="F445" s="7">
        <v>679</v>
      </c>
      <c r="G445" s="3">
        <f>F445+(VLOOKUP(D445,'(Semelles.Monument.€HT)'!C:G,3,FALSE()))</f>
        <v>861</v>
      </c>
      <c r="H445" s="4">
        <f>F445+(VLOOKUP(D445,'(Semelles.Monument.€HT)'!C:G,4,FALSE()))</f>
        <v>914</v>
      </c>
      <c r="I445" s="5">
        <f>F445+(VLOOKUP(D445,'(Semelles.Monument.€HT)'!C:G,5,FALSE()))</f>
        <v>970</v>
      </c>
    </row>
    <row r="446" spans="1:9" ht="26" customHeight="1">
      <c r="A446" s="17" t="s">
        <v>95</v>
      </c>
      <c r="B446" s="18" t="s">
        <v>155</v>
      </c>
      <c r="C446" s="18" t="s">
        <v>97</v>
      </c>
      <c r="D446" s="18">
        <v>13</v>
      </c>
      <c r="E446" s="17" t="s">
        <v>110</v>
      </c>
      <c r="F446" s="19">
        <v>679</v>
      </c>
      <c r="G446" s="20">
        <f>F446+(VLOOKUP(D446,'(Semelles.Monument.€HT)'!C:G,3,FALSE()))</f>
        <v>861</v>
      </c>
      <c r="H446" s="21">
        <f>F446+(VLOOKUP(D446,'(Semelles.Monument.€HT)'!C:G,4,FALSE()))</f>
        <v>914</v>
      </c>
      <c r="I446" s="22">
        <f>F446+(VLOOKUP(D446,'(Semelles.Monument.€HT)'!C:G,5,FALSE()))</f>
        <v>970</v>
      </c>
    </row>
    <row r="447" spans="1:9" ht="26" customHeight="1">
      <c r="A447" s="2" t="s">
        <v>95</v>
      </c>
      <c r="B447" s="13" t="s">
        <v>155</v>
      </c>
      <c r="C447" s="13" t="s">
        <v>97</v>
      </c>
      <c r="D447" s="13">
        <v>14</v>
      </c>
      <c r="E447" s="2" t="s">
        <v>111</v>
      </c>
      <c r="F447" s="7">
        <v>681</v>
      </c>
      <c r="G447" s="3">
        <f>F447+(VLOOKUP(D447,'(Semelles.Monument.€HT)'!C:G,3,FALSE()))</f>
        <v>864</v>
      </c>
      <c r="H447" s="4">
        <f>F447+(VLOOKUP(D447,'(Semelles.Monument.€HT)'!C:G,4,FALSE()))</f>
        <v>917</v>
      </c>
      <c r="I447" s="5">
        <f>F447+(VLOOKUP(D447,'(Semelles.Monument.€HT)'!C:G,5,FALSE()))</f>
        <v>973</v>
      </c>
    </row>
    <row r="448" spans="1:9" ht="26" customHeight="1">
      <c r="A448" s="17" t="s">
        <v>95</v>
      </c>
      <c r="B448" s="18" t="s">
        <v>155</v>
      </c>
      <c r="C448" s="18" t="s">
        <v>97</v>
      </c>
      <c r="D448" s="18">
        <v>15</v>
      </c>
      <c r="E448" s="17" t="s">
        <v>112</v>
      </c>
      <c r="F448" s="19">
        <v>681</v>
      </c>
      <c r="G448" s="20">
        <f>F448+(VLOOKUP(D448,'(Semelles.Monument.€HT)'!C:G,3,FALSE()))</f>
        <v>864</v>
      </c>
      <c r="H448" s="21">
        <f>F448+(VLOOKUP(D448,'(Semelles.Monument.€HT)'!C:G,4,FALSE()))</f>
        <v>917</v>
      </c>
      <c r="I448" s="22">
        <f>F448+(VLOOKUP(D448,'(Semelles.Monument.€HT)'!C:G,5,FALSE()))</f>
        <v>973</v>
      </c>
    </row>
    <row r="449" spans="1:9" ht="26" customHeight="1">
      <c r="A449" s="2" t="s">
        <v>95</v>
      </c>
      <c r="B449" s="13" t="s">
        <v>155</v>
      </c>
      <c r="C449" s="13" t="s">
        <v>97</v>
      </c>
      <c r="D449" s="13">
        <v>16</v>
      </c>
      <c r="E449" s="2" t="s">
        <v>113</v>
      </c>
      <c r="F449" s="7">
        <v>681</v>
      </c>
      <c r="G449" s="3">
        <f>F449+(VLOOKUP(D449,'(Semelles.Monument.€HT)'!C:G,3,FALSE()))</f>
        <v>864</v>
      </c>
      <c r="H449" s="4">
        <f>F449+(VLOOKUP(D449,'(Semelles.Monument.€HT)'!C:G,4,FALSE()))</f>
        <v>917</v>
      </c>
      <c r="I449" s="5">
        <f>F449+(VLOOKUP(D449,'(Semelles.Monument.€HT)'!C:G,5,FALSE()))</f>
        <v>973</v>
      </c>
    </row>
    <row r="450" spans="1:9" ht="26" customHeight="1">
      <c r="A450" s="17" t="s">
        <v>95</v>
      </c>
      <c r="B450" s="18" t="s">
        <v>155</v>
      </c>
      <c r="C450" s="18" t="s">
        <v>97</v>
      </c>
      <c r="D450" s="18">
        <v>17</v>
      </c>
      <c r="E450" s="17" t="s">
        <v>114</v>
      </c>
      <c r="F450" s="19">
        <v>693</v>
      </c>
      <c r="G450" s="20">
        <f>F450+(VLOOKUP(D450,'(Semelles.Monument.€HT)'!C:G,3,FALSE()))</f>
        <v>879</v>
      </c>
      <c r="H450" s="21">
        <f>F450+(VLOOKUP(D450,'(Semelles.Monument.€HT)'!C:G,4,FALSE()))</f>
        <v>933</v>
      </c>
      <c r="I450" s="22">
        <f>F450+(VLOOKUP(D450,'(Semelles.Monument.€HT)'!C:G,5,FALSE()))</f>
        <v>990</v>
      </c>
    </row>
    <row r="451" spans="1:9" ht="26" customHeight="1">
      <c r="A451" s="2" t="s">
        <v>95</v>
      </c>
      <c r="B451" s="13" t="s">
        <v>155</v>
      </c>
      <c r="C451" s="13" t="s">
        <v>97</v>
      </c>
      <c r="D451" s="13">
        <v>18</v>
      </c>
      <c r="E451" s="2" t="s">
        <v>115</v>
      </c>
      <c r="F451" s="7">
        <v>693</v>
      </c>
      <c r="G451" s="3">
        <f>F451+(VLOOKUP(D451,'(Semelles.Monument.€HT)'!C:G,3,FALSE()))</f>
        <v>879</v>
      </c>
      <c r="H451" s="4">
        <f>F451+(VLOOKUP(D451,'(Semelles.Monument.€HT)'!C:G,4,FALSE()))</f>
        <v>933</v>
      </c>
      <c r="I451" s="5">
        <f>F451+(VLOOKUP(D451,'(Semelles.Monument.€HT)'!C:G,5,FALSE()))</f>
        <v>990</v>
      </c>
    </row>
    <row r="452" spans="1:9" ht="26" customHeight="1">
      <c r="A452" s="17" t="s">
        <v>95</v>
      </c>
      <c r="B452" s="18" t="s">
        <v>155</v>
      </c>
      <c r="C452" s="18" t="s">
        <v>97</v>
      </c>
      <c r="D452" s="18">
        <v>19</v>
      </c>
      <c r="E452" s="17" t="s">
        <v>116</v>
      </c>
      <c r="F452" s="19">
        <v>693</v>
      </c>
      <c r="G452" s="20">
        <f>F452+(VLOOKUP(D452,'(Semelles.Monument.€HT)'!C:G,3,FALSE()))</f>
        <v>879</v>
      </c>
      <c r="H452" s="21">
        <f>F452+(VLOOKUP(D452,'(Semelles.Monument.€HT)'!C:G,4,FALSE()))</f>
        <v>933</v>
      </c>
      <c r="I452" s="22">
        <f>F452+(VLOOKUP(D452,'(Semelles.Monument.€HT)'!C:G,5,FALSE()))</f>
        <v>990</v>
      </c>
    </row>
    <row r="453" spans="1:9" ht="26" customHeight="1">
      <c r="A453" s="2" t="s">
        <v>95</v>
      </c>
      <c r="B453" s="13" t="s">
        <v>155</v>
      </c>
      <c r="C453" s="13" t="s">
        <v>97</v>
      </c>
      <c r="D453" s="13">
        <v>20</v>
      </c>
      <c r="E453" s="2" t="s">
        <v>117</v>
      </c>
      <c r="F453" s="7">
        <v>698</v>
      </c>
      <c r="G453" s="3">
        <f>F453+(VLOOKUP(D453,'(Semelles.Monument.€HT)'!C:G,3,FALSE()))</f>
        <v>886</v>
      </c>
      <c r="H453" s="4">
        <f>F453+(VLOOKUP(D453,'(Semelles.Monument.€HT)'!C:G,4,FALSE()))</f>
        <v>940</v>
      </c>
      <c r="I453" s="5">
        <f>F453+(VLOOKUP(D453,'(Semelles.Monument.€HT)'!C:G,5,FALSE()))</f>
        <v>997</v>
      </c>
    </row>
    <row r="454" spans="1:9" ht="26" customHeight="1">
      <c r="A454" s="17" t="s">
        <v>95</v>
      </c>
      <c r="B454" s="18" t="s">
        <v>155</v>
      </c>
      <c r="C454" s="18" t="s">
        <v>97</v>
      </c>
      <c r="D454" s="18">
        <v>21</v>
      </c>
      <c r="E454" s="17" t="s">
        <v>118</v>
      </c>
      <c r="F454" s="19">
        <v>703</v>
      </c>
      <c r="G454" s="20">
        <f>F454+(VLOOKUP(D454,'(Semelles.Monument.€HT)'!C:G,3,FALSE()))</f>
        <v>892</v>
      </c>
      <c r="H454" s="21">
        <f>F454+(VLOOKUP(D454,'(Semelles.Monument.€HT)'!C:G,4,FALSE()))</f>
        <v>946</v>
      </c>
      <c r="I454" s="22">
        <f>F454+(VLOOKUP(D454,'(Semelles.Monument.€HT)'!C:G,5,FALSE()))</f>
        <v>1004</v>
      </c>
    </row>
    <row r="455" spans="1:9" ht="26" customHeight="1">
      <c r="A455" s="2" t="s">
        <v>95</v>
      </c>
      <c r="B455" s="13" t="s">
        <v>155</v>
      </c>
      <c r="C455" s="13" t="s">
        <v>97</v>
      </c>
      <c r="D455" s="13">
        <v>22</v>
      </c>
      <c r="E455" s="2" t="s">
        <v>119</v>
      </c>
      <c r="F455" s="7">
        <v>703</v>
      </c>
      <c r="G455" s="3">
        <f>F455+(VLOOKUP(D455,'(Semelles.Monument.€HT)'!C:G,3,FALSE()))</f>
        <v>892</v>
      </c>
      <c r="H455" s="4">
        <f>F455+(VLOOKUP(D455,'(Semelles.Monument.€HT)'!C:G,4,FALSE()))</f>
        <v>946</v>
      </c>
      <c r="I455" s="5">
        <f>F455+(VLOOKUP(D455,'(Semelles.Monument.€HT)'!C:G,5,FALSE()))</f>
        <v>1004</v>
      </c>
    </row>
    <row r="456" spans="1:9" ht="26" customHeight="1">
      <c r="A456" s="17" t="s">
        <v>95</v>
      </c>
      <c r="B456" s="18" t="s">
        <v>155</v>
      </c>
      <c r="C456" s="18" t="s">
        <v>97</v>
      </c>
      <c r="D456" s="18">
        <v>23</v>
      </c>
      <c r="E456" s="17" t="s">
        <v>120</v>
      </c>
      <c r="F456" s="19">
        <v>713</v>
      </c>
      <c r="G456" s="20">
        <f>F456+(VLOOKUP(D456,'(Semelles.Monument.€HT)'!C:G,3,FALSE()))</f>
        <v>905</v>
      </c>
      <c r="H456" s="21">
        <f>F456+(VLOOKUP(D456,'(Semelles.Monument.€HT)'!C:G,4,FALSE()))</f>
        <v>960</v>
      </c>
      <c r="I456" s="22">
        <f>F456+(VLOOKUP(D456,'(Semelles.Monument.€HT)'!C:G,5,FALSE()))</f>
        <v>1018</v>
      </c>
    </row>
    <row r="457" spans="1:9" ht="26" customHeight="1">
      <c r="A457" s="2" t="s">
        <v>95</v>
      </c>
      <c r="B457" s="13" t="s">
        <v>155</v>
      </c>
      <c r="C457" s="13" t="s">
        <v>97</v>
      </c>
      <c r="D457" s="13">
        <v>24</v>
      </c>
      <c r="E457" s="2" t="s">
        <v>121</v>
      </c>
      <c r="F457" s="7">
        <v>713</v>
      </c>
      <c r="G457" s="3">
        <f>F457+(VLOOKUP(D457,'(Semelles.Monument.€HT)'!C:G,3,FALSE()))</f>
        <v>905</v>
      </c>
      <c r="H457" s="4">
        <f>F457+(VLOOKUP(D457,'(Semelles.Monument.€HT)'!C:G,4,FALSE()))</f>
        <v>960</v>
      </c>
      <c r="I457" s="5">
        <f>F457+(VLOOKUP(D457,'(Semelles.Monument.€HT)'!C:G,5,FALSE()))</f>
        <v>1018</v>
      </c>
    </row>
    <row r="458" spans="1:9" ht="26" customHeight="1">
      <c r="A458" s="17" t="s">
        <v>95</v>
      </c>
      <c r="B458" s="18" t="s">
        <v>155</v>
      </c>
      <c r="C458" s="18" t="s">
        <v>97</v>
      </c>
      <c r="D458" s="18">
        <v>25</v>
      </c>
      <c r="E458" s="17" t="s">
        <v>122</v>
      </c>
      <c r="F458" s="19">
        <v>713</v>
      </c>
      <c r="G458" s="20">
        <f>F458+(VLOOKUP(D458,'(Semelles.Monument.€HT)'!C:G,3,FALSE()))</f>
        <v>905</v>
      </c>
      <c r="H458" s="21">
        <f>F458+(VLOOKUP(D458,'(Semelles.Monument.€HT)'!C:G,4,FALSE()))</f>
        <v>960</v>
      </c>
      <c r="I458" s="22">
        <f>F458+(VLOOKUP(D458,'(Semelles.Monument.€HT)'!C:G,5,FALSE()))</f>
        <v>1018</v>
      </c>
    </row>
    <row r="459" spans="1:9" ht="26" customHeight="1">
      <c r="A459" s="2" t="s">
        <v>95</v>
      </c>
      <c r="B459" s="13" t="s">
        <v>155</v>
      </c>
      <c r="C459" s="13" t="s">
        <v>97</v>
      </c>
      <c r="D459" s="13">
        <v>26</v>
      </c>
      <c r="E459" s="2" t="s">
        <v>123</v>
      </c>
      <c r="F459" s="7">
        <v>725</v>
      </c>
      <c r="G459" s="3">
        <f>F459+(VLOOKUP(D459,'(Semelles.Monument.€HT)'!C:G,3,FALSE()))</f>
        <v>920</v>
      </c>
      <c r="H459" s="4">
        <f>F459+(VLOOKUP(D459,'(Semelles.Monument.€HT)'!C:G,4,FALSE()))</f>
        <v>976</v>
      </c>
      <c r="I459" s="5">
        <f>F459+(VLOOKUP(D459,'(Semelles.Monument.€HT)'!C:G,5,FALSE()))</f>
        <v>1035</v>
      </c>
    </row>
    <row r="460" spans="1:9" ht="26" customHeight="1">
      <c r="A460" s="17" t="s">
        <v>95</v>
      </c>
      <c r="B460" s="18" t="s">
        <v>155</v>
      </c>
      <c r="C460" s="18" t="s">
        <v>97</v>
      </c>
      <c r="D460" s="18">
        <v>27</v>
      </c>
      <c r="E460" s="17" t="s">
        <v>124</v>
      </c>
      <c r="F460" s="19">
        <v>773</v>
      </c>
      <c r="G460" s="20">
        <f>F460+(VLOOKUP(D460,'(Semelles.Monument.€HT)'!C:G,3,FALSE()))</f>
        <v>981</v>
      </c>
      <c r="H460" s="21">
        <f>F460+(VLOOKUP(D460,'(Semelles.Monument.€HT)'!C:G,4,FALSE()))</f>
        <v>1041</v>
      </c>
      <c r="I460" s="22">
        <f>F460+(VLOOKUP(D460,'(Semelles.Monument.€HT)'!C:G,5,FALSE()))</f>
        <v>1140</v>
      </c>
    </row>
    <row r="461" spans="1:9" ht="26" customHeight="1">
      <c r="A461" s="2" t="s">
        <v>95</v>
      </c>
      <c r="B461" s="13" t="s">
        <v>155</v>
      </c>
      <c r="C461" s="13" t="s">
        <v>97</v>
      </c>
      <c r="D461" s="13">
        <v>28</v>
      </c>
      <c r="E461" s="2" t="s">
        <v>125</v>
      </c>
      <c r="F461" s="7">
        <v>856</v>
      </c>
      <c r="G461" s="3">
        <f>F461+(VLOOKUP(D461,'(Semelles.Monument.€HT)'!C:G,3,FALSE()))</f>
        <v>1086</v>
      </c>
      <c r="H461" s="4">
        <f>F461+(VLOOKUP(D461,'(Semelles.Monument.€HT)'!C:G,4,FALSE()))</f>
        <v>1153</v>
      </c>
      <c r="I461" s="5">
        <f>F461+(VLOOKUP(D461,'(Semelles.Monument.€HT)'!C:G,5,FALSE()))</f>
        <v>1223</v>
      </c>
    </row>
    <row r="462" spans="1:9" ht="26" customHeight="1">
      <c r="A462" s="17" t="s">
        <v>95</v>
      </c>
      <c r="B462" s="18" t="s">
        <v>155</v>
      </c>
      <c r="C462" s="18" t="s">
        <v>97</v>
      </c>
      <c r="D462" s="18">
        <v>29</v>
      </c>
      <c r="E462" s="17" t="s">
        <v>126</v>
      </c>
      <c r="F462" s="19">
        <v>892</v>
      </c>
      <c r="G462" s="20">
        <f>F462+(VLOOKUP(D462,'(Semelles.Monument.€HT)'!C:G,3,FALSE()))</f>
        <v>1132</v>
      </c>
      <c r="H462" s="21">
        <f>F462+(VLOOKUP(D462,'(Semelles.Monument.€HT)'!C:G,4,FALSE()))</f>
        <v>1201</v>
      </c>
      <c r="I462" s="22">
        <f>F462+(VLOOKUP(D462,'(Semelles.Monument.€HT)'!C:G,5,FALSE()))</f>
        <v>1274</v>
      </c>
    </row>
    <row r="463" spans="1:9" ht="26" customHeight="1">
      <c r="A463" s="2" t="s">
        <v>95</v>
      </c>
      <c r="B463" s="13" t="s">
        <v>155</v>
      </c>
      <c r="C463" s="13" t="s">
        <v>97</v>
      </c>
      <c r="D463" s="13">
        <v>30</v>
      </c>
      <c r="E463" s="2" t="s">
        <v>127</v>
      </c>
      <c r="F463" s="7">
        <v>892</v>
      </c>
      <c r="G463" s="3">
        <f>F463+(VLOOKUP(D463,'(Semelles.Monument.€HT)'!C:G,3,FALSE()))</f>
        <v>1132</v>
      </c>
      <c r="H463" s="4">
        <f>F463+(VLOOKUP(D463,'(Semelles.Monument.€HT)'!C:G,4,FALSE()))</f>
        <v>1201</v>
      </c>
      <c r="I463" s="5">
        <f>F463+(VLOOKUP(D463,'(Semelles.Monument.€HT)'!C:G,5,FALSE()))</f>
        <v>1274</v>
      </c>
    </row>
    <row r="464" spans="1:9" ht="26" customHeight="1">
      <c r="A464" s="17" t="s">
        <v>95</v>
      </c>
      <c r="B464" s="18" t="s">
        <v>155</v>
      </c>
      <c r="C464" s="18" t="s">
        <v>128</v>
      </c>
      <c r="D464" s="18">
        <v>31</v>
      </c>
      <c r="E464" s="17" t="s">
        <v>129</v>
      </c>
      <c r="F464" s="19">
        <v>503</v>
      </c>
      <c r="G464" s="20">
        <f>F464+(VLOOKUP(D464,'(Semelles.Monument.€HT)'!C:G,3,FALSE()))</f>
        <v>635</v>
      </c>
      <c r="H464" s="21">
        <f>F464+(VLOOKUP(D464,'(Semelles.Monument.€HT)'!C:G,4,FALSE()))</f>
        <v>673</v>
      </c>
      <c r="I464" s="22">
        <f>F464+(VLOOKUP(D464,'(Semelles.Monument.€HT)'!C:G,5,FALSE()))</f>
        <v>713</v>
      </c>
    </row>
    <row r="465" spans="1:9" ht="26" customHeight="1">
      <c r="A465" s="2" t="s">
        <v>95</v>
      </c>
      <c r="B465" s="13" t="s">
        <v>155</v>
      </c>
      <c r="C465" s="13" t="s">
        <v>128</v>
      </c>
      <c r="D465" s="13">
        <v>32</v>
      </c>
      <c r="E465" s="2" t="s">
        <v>130</v>
      </c>
      <c r="F465" s="7">
        <v>510</v>
      </c>
      <c r="G465" s="3">
        <f>F465+(VLOOKUP(D465,'(Semelles.Monument.€HT)'!C:G,3,FALSE()))</f>
        <v>644</v>
      </c>
      <c r="H465" s="4">
        <f>F465+(VLOOKUP(D465,'(Semelles.Monument.€HT)'!C:G,4,FALSE()))</f>
        <v>683</v>
      </c>
      <c r="I465" s="5">
        <f>F465+(VLOOKUP(D465,'(Semelles.Monument.€HT)'!C:G,5,FALSE()))</f>
        <v>723</v>
      </c>
    </row>
    <row r="466" spans="1:9" ht="26" customHeight="1">
      <c r="A466" s="17" t="s">
        <v>95</v>
      </c>
      <c r="B466" s="18" t="s">
        <v>155</v>
      </c>
      <c r="C466" s="18" t="s">
        <v>128</v>
      </c>
      <c r="D466" s="18">
        <v>33</v>
      </c>
      <c r="E466" s="17" t="s">
        <v>131</v>
      </c>
      <c r="F466" s="19">
        <v>510</v>
      </c>
      <c r="G466" s="20">
        <f>F466+(VLOOKUP(D466,'(Semelles.Monument.€HT)'!C:G,3,FALSE()))</f>
        <v>644</v>
      </c>
      <c r="H466" s="21">
        <f>F466+(VLOOKUP(D466,'(Semelles.Monument.€HT)'!C:G,4,FALSE()))</f>
        <v>683</v>
      </c>
      <c r="I466" s="22">
        <f>F466+(VLOOKUP(D466,'(Semelles.Monument.€HT)'!C:G,5,FALSE()))</f>
        <v>723</v>
      </c>
    </row>
    <row r="467" spans="1:9" ht="26" customHeight="1">
      <c r="A467" s="2" t="s">
        <v>95</v>
      </c>
      <c r="B467" s="13" t="s">
        <v>155</v>
      </c>
      <c r="C467" s="13" t="s">
        <v>128</v>
      </c>
      <c r="D467" s="13">
        <v>34</v>
      </c>
      <c r="E467" s="2" t="s">
        <v>132</v>
      </c>
      <c r="F467" s="7">
        <v>515</v>
      </c>
      <c r="G467" s="3">
        <f>F467+(VLOOKUP(D467,'(Semelles.Monument.€HT)'!C:G,3,FALSE()))</f>
        <v>650</v>
      </c>
      <c r="H467" s="4">
        <f>F467+(VLOOKUP(D467,'(Semelles.Monument.€HT)'!C:G,4,FALSE()))</f>
        <v>689</v>
      </c>
      <c r="I467" s="5">
        <f>F467+(VLOOKUP(D467,'(Semelles.Monument.€HT)'!C:G,5,FALSE()))</f>
        <v>730</v>
      </c>
    </row>
    <row r="468" spans="1:9" ht="26" customHeight="1">
      <c r="A468" s="17" t="s">
        <v>95</v>
      </c>
      <c r="B468" s="18" t="s">
        <v>155</v>
      </c>
      <c r="C468" s="18" t="s">
        <v>128</v>
      </c>
      <c r="D468" s="18">
        <v>35</v>
      </c>
      <c r="E468" s="17" t="s">
        <v>133</v>
      </c>
      <c r="F468" s="19">
        <v>618</v>
      </c>
      <c r="G468" s="20">
        <f>F468+(VLOOKUP(D468,'(Semelles.Monument.€HT)'!C:G,3,FALSE()))</f>
        <v>781</v>
      </c>
      <c r="H468" s="21">
        <f>F468+(VLOOKUP(D468,'(Semelles.Monument.€HT)'!C:G,4,FALSE()))</f>
        <v>828</v>
      </c>
      <c r="I468" s="22">
        <f>F468+(VLOOKUP(D468,'(Semelles.Monument.€HT)'!C:G,5,FALSE()))</f>
        <v>877</v>
      </c>
    </row>
    <row r="469" spans="1:9" ht="26" customHeight="1">
      <c r="A469" s="2" t="s">
        <v>95</v>
      </c>
      <c r="B469" s="13" t="s">
        <v>155</v>
      </c>
      <c r="C469" s="13" t="s">
        <v>128</v>
      </c>
      <c r="D469" s="13">
        <v>36</v>
      </c>
      <c r="E469" s="2" t="s">
        <v>134</v>
      </c>
      <c r="F469" s="7">
        <v>639</v>
      </c>
      <c r="G469" s="3">
        <f>F469+(VLOOKUP(D469,'(Semelles.Monument.€HT)'!C:G,3,FALSE()))</f>
        <v>807</v>
      </c>
      <c r="H469" s="4">
        <f>F469+(VLOOKUP(D469,'(Semelles.Monument.€HT)'!C:G,4,FALSE()))</f>
        <v>856</v>
      </c>
      <c r="I469" s="5">
        <f>F469+(VLOOKUP(D469,'(Semelles.Monument.€HT)'!C:G,5,FALSE()))</f>
        <v>907</v>
      </c>
    </row>
    <row r="470" spans="1:9" ht="26" customHeight="1">
      <c r="A470" s="17" t="s">
        <v>95</v>
      </c>
      <c r="B470" s="18" t="s">
        <v>155</v>
      </c>
      <c r="C470" s="18" t="s">
        <v>128</v>
      </c>
      <c r="D470" s="18">
        <v>37</v>
      </c>
      <c r="E470" s="17" t="s">
        <v>135</v>
      </c>
      <c r="F470" s="19">
        <v>787</v>
      </c>
      <c r="G470" s="20">
        <f>F470+(VLOOKUP(D470,'(Semelles.Monument.€HT)'!C:G,3,FALSE()))</f>
        <v>995</v>
      </c>
      <c r="H470" s="21">
        <f>F470+(VLOOKUP(D470,'(Semelles.Monument.€HT)'!C:G,4,FALSE()))</f>
        <v>1055</v>
      </c>
      <c r="I470" s="22">
        <f>F470+(VLOOKUP(D470,'(Semelles.Monument.€HT)'!C:G,5,FALSE()))</f>
        <v>1119</v>
      </c>
    </row>
    <row r="471" spans="1:9" ht="26" customHeight="1">
      <c r="A471" s="2" t="s">
        <v>95</v>
      </c>
      <c r="B471" s="13" t="s">
        <v>155</v>
      </c>
      <c r="C471" s="13" t="s">
        <v>128</v>
      </c>
      <c r="D471" s="13">
        <v>38</v>
      </c>
      <c r="E471" s="2" t="s">
        <v>136</v>
      </c>
      <c r="F471" s="7">
        <v>832</v>
      </c>
      <c r="G471" s="3">
        <f>F471+(VLOOKUP(D471,'(Semelles.Monument.€HT)'!C:G,3,FALSE()))</f>
        <v>1052</v>
      </c>
      <c r="H471" s="4">
        <f>F471+(VLOOKUP(D471,'(Semelles.Monument.€HT)'!C:G,4,FALSE()))</f>
        <v>1116</v>
      </c>
      <c r="I471" s="5">
        <f>F471+(VLOOKUP(D471,'(Semelles.Monument.€HT)'!C:G,5,FALSE()))</f>
        <v>1183</v>
      </c>
    </row>
    <row r="472" spans="1:9" ht="26" customHeight="1">
      <c r="A472" s="17" t="s">
        <v>95</v>
      </c>
      <c r="B472" s="18" t="s">
        <v>155</v>
      </c>
      <c r="C472" s="18" t="s">
        <v>128</v>
      </c>
      <c r="D472" s="18">
        <v>39</v>
      </c>
      <c r="E472" s="17" t="s">
        <v>137</v>
      </c>
      <c r="F472" s="19">
        <v>853</v>
      </c>
      <c r="G472" s="20">
        <f>F472+(VLOOKUP(D472,'(Semelles.Monument.€HT)'!C:G,3,FALSE()))</f>
        <v>1079</v>
      </c>
      <c r="H472" s="21">
        <f>F472+(VLOOKUP(D472,'(Semelles.Monument.€HT)'!C:G,4,FALSE()))</f>
        <v>1144</v>
      </c>
      <c r="I472" s="22">
        <f>F472+(VLOOKUP(D472,'(Semelles.Monument.€HT)'!C:G,5,FALSE()))</f>
        <v>1213</v>
      </c>
    </row>
    <row r="473" spans="1:9" ht="26" customHeight="1">
      <c r="A473" s="2" t="s">
        <v>95</v>
      </c>
      <c r="B473" s="13" t="s">
        <v>155</v>
      </c>
      <c r="C473" s="13" t="s">
        <v>128</v>
      </c>
      <c r="D473" s="13">
        <v>40</v>
      </c>
      <c r="E473" s="2" t="s">
        <v>138</v>
      </c>
      <c r="F473" s="7">
        <v>877</v>
      </c>
      <c r="G473" s="3">
        <f>F473+(VLOOKUP(D473,'(Semelles.Monument.€HT)'!C:G,3,FALSE()))</f>
        <v>1109</v>
      </c>
      <c r="H473" s="4">
        <f>F473+(VLOOKUP(D473,'(Semelles.Monument.€HT)'!C:G,4,FALSE()))</f>
        <v>1177</v>
      </c>
      <c r="I473" s="5">
        <f>F473+(VLOOKUP(D473,'(Semelles.Monument.€HT)'!C:G,5,FALSE()))</f>
        <v>1247</v>
      </c>
    </row>
    <row r="474" spans="1:9" ht="26" customHeight="1">
      <c r="A474" s="17" t="s">
        <v>95</v>
      </c>
      <c r="B474" s="18" t="s">
        <v>155</v>
      </c>
      <c r="C474" s="18" t="s">
        <v>128</v>
      </c>
      <c r="D474" s="18">
        <v>41</v>
      </c>
      <c r="E474" s="17" t="s">
        <v>139</v>
      </c>
      <c r="F474" s="19">
        <v>932</v>
      </c>
      <c r="G474" s="20">
        <f>F474+(VLOOKUP(D474,'(Semelles.Monument.€HT)'!C:G,3,FALSE()))</f>
        <v>1179</v>
      </c>
      <c r="H474" s="21">
        <f>F474+(VLOOKUP(D474,'(Semelles.Monument.€HT)'!C:G,4,FALSE()))</f>
        <v>1251</v>
      </c>
      <c r="I474" s="22">
        <f>F474+(VLOOKUP(D474,'(Semelles.Monument.€HT)'!C:G,5,FALSE()))</f>
        <v>1326</v>
      </c>
    </row>
    <row r="475" spans="1:9" ht="26" customHeight="1">
      <c r="A475" s="2" t="s">
        <v>95</v>
      </c>
      <c r="B475" s="13" t="s">
        <v>155</v>
      </c>
      <c r="C475" s="13" t="s">
        <v>128</v>
      </c>
      <c r="D475" s="13">
        <v>42</v>
      </c>
      <c r="E475" s="2" t="s">
        <v>140</v>
      </c>
      <c r="F475" s="7">
        <v>1023</v>
      </c>
      <c r="G475" s="3">
        <f>F475+(VLOOKUP(D475,'(Semelles.Monument.€HT)'!C:G,3,FALSE()))</f>
        <v>1294</v>
      </c>
      <c r="H475" s="4">
        <f>F475+(VLOOKUP(D475,'(Semelles.Monument.€HT)'!C:G,4,FALSE()))</f>
        <v>1373</v>
      </c>
      <c r="I475" s="5">
        <f>F475+(VLOOKUP(D475,'(Semelles.Monument.€HT)'!C:G,5,FALSE()))</f>
        <v>1456</v>
      </c>
    </row>
    <row r="476" spans="1:9" ht="26" customHeight="1">
      <c r="A476" s="17" t="s">
        <v>95</v>
      </c>
      <c r="B476" s="18" t="s">
        <v>155</v>
      </c>
      <c r="C476" s="18" t="s">
        <v>128</v>
      </c>
      <c r="D476" s="18">
        <v>43</v>
      </c>
      <c r="E476" s="17" t="s">
        <v>141</v>
      </c>
      <c r="F476" s="19">
        <v>1023</v>
      </c>
      <c r="G476" s="20">
        <f>F476+(VLOOKUP(D476,'(Semelles.Monument.€HT)'!C:G,3,FALSE()))</f>
        <v>1294</v>
      </c>
      <c r="H476" s="21">
        <f>F476+(VLOOKUP(D476,'(Semelles.Monument.€HT)'!C:G,4,FALSE()))</f>
        <v>1373</v>
      </c>
      <c r="I476" s="22">
        <f>F476+(VLOOKUP(D476,'(Semelles.Monument.€HT)'!C:G,5,FALSE()))</f>
        <v>1456</v>
      </c>
    </row>
    <row r="477" spans="1:9" ht="26" customHeight="1">
      <c r="A477" s="2" t="s">
        <v>95</v>
      </c>
      <c r="B477" s="13" t="s">
        <v>155</v>
      </c>
      <c r="C477" s="13" t="s">
        <v>128</v>
      </c>
      <c r="D477" s="13">
        <v>44</v>
      </c>
      <c r="E477" s="2" t="s">
        <v>142</v>
      </c>
      <c r="F477" s="7">
        <v>1035</v>
      </c>
      <c r="G477" s="3">
        <f>F477+(VLOOKUP(D477,'(Semelles.Monument.€HT)'!C:G,3,FALSE()))</f>
        <v>1310</v>
      </c>
      <c r="H477" s="4">
        <f>F477+(VLOOKUP(D477,'(Semelles.Monument.€HT)'!C:G,4,FALSE()))</f>
        <v>1389</v>
      </c>
      <c r="I477" s="5">
        <f>F477+(VLOOKUP(D477,'(Semelles.Monument.€HT)'!C:G,5,FALSE()))</f>
        <v>1473</v>
      </c>
    </row>
    <row r="478" spans="1:9" ht="26" customHeight="1">
      <c r="A478" s="17" t="s">
        <v>95</v>
      </c>
      <c r="B478" s="18" t="s">
        <v>155</v>
      </c>
      <c r="C478" s="18" t="s">
        <v>128</v>
      </c>
      <c r="D478" s="18">
        <v>45</v>
      </c>
      <c r="E478" s="17" t="s">
        <v>143</v>
      </c>
      <c r="F478" s="19">
        <v>1046</v>
      </c>
      <c r="G478" s="20">
        <f>F478+(VLOOKUP(D478,'(Semelles.Monument.€HT)'!C:G,3,FALSE()))</f>
        <v>1324</v>
      </c>
      <c r="H478" s="21">
        <f>F478+(VLOOKUP(D478,'(Semelles.Monument.€HT)'!C:G,4,FALSE()))</f>
        <v>1404</v>
      </c>
      <c r="I478" s="22">
        <f>F478+(VLOOKUP(D478,'(Semelles.Monument.€HT)'!C:G,5,FALSE()))</f>
        <v>1489</v>
      </c>
    </row>
    <row r="479" spans="1:9" ht="26" customHeight="1">
      <c r="A479" s="2" t="s">
        <v>95</v>
      </c>
      <c r="B479" s="13" t="s">
        <v>155</v>
      </c>
      <c r="C479" s="13" t="s">
        <v>128</v>
      </c>
      <c r="D479" s="13">
        <v>46</v>
      </c>
      <c r="E479" s="2" t="s">
        <v>144</v>
      </c>
      <c r="F479" s="7">
        <v>1046</v>
      </c>
      <c r="G479" s="3">
        <f>F479+(VLOOKUP(D479,'(Semelles.Monument.€HT)'!C:G,3,FALSE()))</f>
        <v>1324</v>
      </c>
      <c r="H479" s="4">
        <f>F479+(VLOOKUP(D479,'(Semelles.Monument.€HT)'!C:G,4,FALSE()))</f>
        <v>1404</v>
      </c>
      <c r="I479" s="5">
        <f>F479+(VLOOKUP(D479,'(Semelles.Monument.€HT)'!C:G,5,FALSE()))</f>
        <v>1489</v>
      </c>
    </row>
    <row r="480" spans="1:9" ht="26" customHeight="1">
      <c r="A480" s="17" t="s">
        <v>95</v>
      </c>
      <c r="B480" s="18" t="s">
        <v>155</v>
      </c>
      <c r="C480" s="18" t="s">
        <v>128</v>
      </c>
      <c r="D480" s="18">
        <v>47</v>
      </c>
      <c r="E480" s="17" t="s">
        <v>145</v>
      </c>
      <c r="F480" s="19">
        <v>1068</v>
      </c>
      <c r="G480" s="20">
        <f>F480+(VLOOKUP(D480,'(Semelles.Monument.€HT)'!C:G,3,FALSE()))</f>
        <v>1352</v>
      </c>
      <c r="H480" s="21">
        <f>F480+(VLOOKUP(D480,'(Semelles.Monument.€HT)'!C:G,4,FALSE()))</f>
        <v>1434</v>
      </c>
      <c r="I480" s="22">
        <f>F480+(VLOOKUP(D480,'(Semelles.Monument.€HT)'!C:G,5,FALSE()))</f>
        <v>1520</v>
      </c>
    </row>
    <row r="481" spans="1:9" ht="26" customHeight="1">
      <c r="A481" s="2" t="s">
        <v>95</v>
      </c>
      <c r="B481" s="13" t="s">
        <v>155</v>
      </c>
      <c r="C481" s="13" t="s">
        <v>128</v>
      </c>
      <c r="D481" s="13">
        <v>48</v>
      </c>
      <c r="E481" s="2" t="s">
        <v>146</v>
      </c>
      <c r="F481" s="7">
        <v>1080</v>
      </c>
      <c r="G481" s="3">
        <f>F481+(VLOOKUP(D481,'(Semelles.Monument.€HT)'!C:G,3,FALSE()))</f>
        <v>1367</v>
      </c>
      <c r="H481" s="4">
        <f>F481+(VLOOKUP(D481,'(Semelles.Monument.€HT)'!C:G,4,FALSE()))</f>
        <v>1450</v>
      </c>
      <c r="I481" s="5">
        <f>F481+(VLOOKUP(D481,'(Semelles.Monument.€HT)'!C:G,5,FALSE()))</f>
        <v>1537</v>
      </c>
    </row>
    <row r="482" spans="1:9" ht="26" customHeight="1">
      <c r="A482" s="17" t="s">
        <v>156</v>
      </c>
      <c r="B482" s="18" t="s">
        <v>157</v>
      </c>
      <c r="C482" s="18" t="s">
        <v>97</v>
      </c>
      <c r="D482" s="18">
        <v>1</v>
      </c>
      <c r="E482" s="17" t="s">
        <v>98</v>
      </c>
      <c r="F482" s="19">
        <v>641</v>
      </c>
      <c r="G482" s="20">
        <f>F482+(VLOOKUP(D482,'(Semelles.Monument.€HT)'!C:G,3,FALSE()))</f>
        <v>799</v>
      </c>
      <c r="H482" s="21">
        <f>F482+(VLOOKUP(D482,'(Semelles.Monument.€HT)'!C:G,4,FALSE()))</f>
        <v>845</v>
      </c>
      <c r="I482" s="22">
        <f>F482+(VLOOKUP(D482,'(Semelles.Monument.€HT)'!C:G,5,FALSE()))</f>
        <v>893</v>
      </c>
    </row>
    <row r="483" spans="1:9" ht="26" customHeight="1">
      <c r="A483" s="2" t="s">
        <v>156</v>
      </c>
      <c r="B483" s="13" t="s">
        <v>157</v>
      </c>
      <c r="C483" s="13" t="s">
        <v>97</v>
      </c>
      <c r="D483" s="13">
        <v>2</v>
      </c>
      <c r="E483" s="2" t="s">
        <v>99</v>
      </c>
      <c r="F483" s="7">
        <v>640</v>
      </c>
      <c r="G483" s="3">
        <f>F483+(VLOOKUP(D483,'(Semelles.Monument.€HT)'!C:G,3,FALSE()))</f>
        <v>798</v>
      </c>
      <c r="H483" s="4">
        <f>F483+(VLOOKUP(D483,'(Semelles.Monument.€HT)'!C:G,4,FALSE()))</f>
        <v>844</v>
      </c>
      <c r="I483" s="5">
        <f>F483+(VLOOKUP(D483,'(Semelles.Monument.€HT)'!C:G,5,FALSE()))</f>
        <v>892</v>
      </c>
    </row>
    <row r="484" spans="1:9" ht="26" customHeight="1">
      <c r="A484" s="17" t="s">
        <v>156</v>
      </c>
      <c r="B484" s="18" t="s">
        <v>157</v>
      </c>
      <c r="C484" s="18" t="s">
        <v>97</v>
      </c>
      <c r="D484" s="18">
        <v>3</v>
      </c>
      <c r="E484" s="17" t="s">
        <v>100</v>
      </c>
      <c r="F484" s="19">
        <v>713</v>
      </c>
      <c r="G484" s="20">
        <f>F484+(VLOOKUP(D484,'(Semelles.Monument.€HT)'!C:G,3,FALSE()))</f>
        <v>889</v>
      </c>
      <c r="H484" s="21">
        <f>F484+(VLOOKUP(D484,'(Semelles.Monument.€HT)'!C:G,4,FALSE()))</f>
        <v>940</v>
      </c>
      <c r="I484" s="22">
        <f>F484+(VLOOKUP(D484,'(Semelles.Monument.€HT)'!C:G,5,FALSE()))</f>
        <v>993</v>
      </c>
    </row>
    <row r="485" spans="1:9" ht="26" customHeight="1">
      <c r="A485" s="2" t="s">
        <v>156</v>
      </c>
      <c r="B485" s="13" t="s">
        <v>157</v>
      </c>
      <c r="C485" s="13" t="s">
        <v>97</v>
      </c>
      <c r="D485" s="13">
        <v>4</v>
      </c>
      <c r="E485" s="2" t="s">
        <v>101</v>
      </c>
      <c r="F485" s="7">
        <v>724</v>
      </c>
      <c r="G485" s="3">
        <f>F485+(VLOOKUP(D485,'(Semelles.Monument.€HT)'!C:G,3,FALSE()))</f>
        <v>903</v>
      </c>
      <c r="H485" s="4">
        <f>F485+(VLOOKUP(D485,'(Semelles.Monument.€HT)'!C:G,4,FALSE()))</f>
        <v>955</v>
      </c>
      <c r="I485" s="5">
        <f>F485+(VLOOKUP(D485,'(Semelles.Monument.€HT)'!C:G,5,FALSE()))</f>
        <v>1009</v>
      </c>
    </row>
    <row r="486" spans="1:9" ht="26" customHeight="1">
      <c r="A486" s="17" t="s">
        <v>156</v>
      </c>
      <c r="B486" s="18" t="s">
        <v>157</v>
      </c>
      <c r="C486" s="18" t="s">
        <v>97</v>
      </c>
      <c r="D486" s="18">
        <v>5</v>
      </c>
      <c r="E486" s="17" t="s">
        <v>102</v>
      </c>
      <c r="F486" s="19">
        <v>724</v>
      </c>
      <c r="G486" s="20">
        <f>F486+(VLOOKUP(D486,'(Semelles.Monument.€HT)'!C:G,3,FALSE()))</f>
        <v>903</v>
      </c>
      <c r="H486" s="21">
        <f>F486+(VLOOKUP(D486,'(Semelles.Monument.€HT)'!C:G,4,FALSE()))</f>
        <v>955</v>
      </c>
      <c r="I486" s="22">
        <f>F486+(VLOOKUP(D486,'(Semelles.Monument.€HT)'!C:G,5,FALSE()))</f>
        <v>1009</v>
      </c>
    </row>
    <row r="487" spans="1:9" ht="26" customHeight="1">
      <c r="A487" s="2" t="s">
        <v>156</v>
      </c>
      <c r="B487" s="13" t="s">
        <v>157</v>
      </c>
      <c r="C487" s="13" t="s">
        <v>97</v>
      </c>
      <c r="D487" s="13">
        <v>6</v>
      </c>
      <c r="E487" s="2" t="s">
        <v>103</v>
      </c>
      <c r="F487" s="7">
        <v>728</v>
      </c>
      <c r="G487" s="3">
        <f>F487+(VLOOKUP(D487,'(Semelles.Monument.€HT)'!C:G,3,FALSE()))</f>
        <v>908</v>
      </c>
      <c r="H487" s="4">
        <f>F487+(VLOOKUP(D487,'(Semelles.Monument.€HT)'!C:G,4,FALSE()))</f>
        <v>960</v>
      </c>
      <c r="I487" s="5">
        <f>F487+(VLOOKUP(D487,'(Semelles.Monument.€HT)'!C:G,5,FALSE()))</f>
        <v>1015</v>
      </c>
    </row>
    <row r="488" spans="1:9" ht="26" customHeight="1">
      <c r="A488" s="17" t="s">
        <v>156</v>
      </c>
      <c r="B488" s="18" t="s">
        <v>157</v>
      </c>
      <c r="C488" s="18" t="s">
        <v>97</v>
      </c>
      <c r="D488" s="18">
        <v>7</v>
      </c>
      <c r="E488" s="17" t="s">
        <v>104</v>
      </c>
      <c r="F488" s="19">
        <v>728</v>
      </c>
      <c r="G488" s="20">
        <f>F488+(VLOOKUP(D488,'(Semelles.Monument.€HT)'!C:G,3,FALSE()))</f>
        <v>908</v>
      </c>
      <c r="H488" s="21">
        <f>F488+(VLOOKUP(D488,'(Semelles.Monument.€HT)'!C:G,4,FALSE()))</f>
        <v>960</v>
      </c>
      <c r="I488" s="22">
        <f>F488+(VLOOKUP(D488,'(Semelles.Monument.€HT)'!C:G,5,FALSE()))</f>
        <v>1015</v>
      </c>
    </row>
    <row r="489" spans="1:9" ht="26" customHeight="1">
      <c r="A489" s="2" t="s">
        <v>156</v>
      </c>
      <c r="B489" s="13" t="s">
        <v>157</v>
      </c>
      <c r="C489" s="13" t="s">
        <v>97</v>
      </c>
      <c r="D489" s="13">
        <v>8</v>
      </c>
      <c r="E489" s="2" t="s">
        <v>105</v>
      </c>
      <c r="F489" s="7">
        <v>728</v>
      </c>
      <c r="G489" s="3">
        <f>F489+(VLOOKUP(D489,'(Semelles.Monument.€HT)'!C:G,3,FALSE()))</f>
        <v>908</v>
      </c>
      <c r="H489" s="4">
        <f>F489+(VLOOKUP(D489,'(Semelles.Monument.€HT)'!C:G,4,FALSE()))</f>
        <v>960</v>
      </c>
      <c r="I489" s="5">
        <f>F489+(VLOOKUP(D489,'(Semelles.Monument.€HT)'!C:G,5,FALSE()))</f>
        <v>1015</v>
      </c>
    </row>
    <row r="490" spans="1:9" ht="26" customHeight="1">
      <c r="A490" s="17" t="s">
        <v>156</v>
      </c>
      <c r="B490" s="18" t="s">
        <v>157</v>
      </c>
      <c r="C490" s="18" t="s">
        <v>97</v>
      </c>
      <c r="D490" s="18">
        <v>9</v>
      </c>
      <c r="E490" s="17" t="s">
        <v>106</v>
      </c>
      <c r="F490" s="19">
        <v>728</v>
      </c>
      <c r="G490" s="20">
        <f>F490+(VLOOKUP(D490,'(Semelles.Monument.€HT)'!C:G,3,FALSE()))</f>
        <v>908</v>
      </c>
      <c r="H490" s="21">
        <f>F490+(VLOOKUP(D490,'(Semelles.Monument.€HT)'!C:G,4,FALSE()))</f>
        <v>960</v>
      </c>
      <c r="I490" s="22">
        <f>F490+(VLOOKUP(D490,'(Semelles.Monument.€HT)'!C:G,5,FALSE()))</f>
        <v>1015</v>
      </c>
    </row>
    <row r="491" spans="1:9" ht="26" customHeight="1">
      <c r="A491" s="2" t="s">
        <v>156</v>
      </c>
      <c r="B491" s="13" t="s">
        <v>157</v>
      </c>
      <c r="C491" s="13" t="s">
        <v>97</v>
      </c>
      <c r="D491" s="13">
        <v>10</v>
      </c>
      <c r="E491" s="2" t="s">
        <v>107</v>
      </c>
      <c r="F491" s="7">
        <v>728</v>
      </c>
      <c r="G491" s="3">
        <f>F491+(VLOOKUP(D491,'(Semelles.Monument.€HT)'!C:G,3,FALSE()))</f>
        <v>908</v>
      </c>
      <c r="H491" s="4">
        <f>F491+(VLOOKUP(D491,'(Semelles.Monument.€HT)'!C:G,4,FALSE()))</f>
        <v>960</v>
      </c>
      <c r="I491" s="5">
        <f>F491+(VLOOKUP(D491,'(Semelles.Monument.€HT)'!C:G,5,FALSE()))</f>
        <v>1015</v>
      </c>
    </row>
    <row r="492" spans="1:9" ht="26" customHeight="1">
      <c r="A492" s="17" t="s">
        <v>156</v>
      </c>
      <c r="B492" s="18" t="s">
        <v>157</v>
      </c>
      <c r="C492" s="18" t="s">
        <v>97</v>
      </c>
      <c r="D492" s="18">
        <v>11</v>
      </c>
      <c r="E492" s="17" t="s">
        <v>108</v>
      </c>
      <c r="F492" s="19">
        <v>728</v>
      </c>
      <c r="G492" s="20">
        <f>F492+(VLOOKUP(D492,'(Semelles.Monument.€HT)'!C:G,3,FALSE()))</f>
        <v>908</v>
      </c>
      <c r="H492" s="21">
        <f>F492+(VLOOKUP(D492,'(Semelles.Monument.€HT)'!C:G,4,FALSE()))</f>
        <v>960</v>
      </c>
      <c r="I492" s="22">
        <f>F492+(VLOOKUP(D492,'(Semelles.Monument.€HT)'!C:G,5,FALSE()))</f>
        <v>1015</v>
      </c>
    </row>
    <row r="493" spans="1:9" ht="26" customHeight="1">
      <c r="A493" s="2" t="s">
        <v>156</v>
      </c>
      <c r="B493" s="13" t="s">
        <v>157</v>
      </c>
      <c r="C493" s="13" t="s">
        <v>97</v>
      </c>
      <c r="D493" s="13">
        <v>12</v>
      </c>
      <c r="E493" s="2" t="s">
        <v>109</v>
      </c>
      <c r="F493" s="7">
        <v>738</v>
      </c>
      <c r="G493" s="3">
        <f>F493+(VLOOKUP(D493,'(Semelles.Monument.€HT)'!C:G,3,FALSE()))</f>
        <v>920</v>
      </c>
      <c r="H493" s="4">
        <f>F493+(VLOOKUP(D493,'(Semelles.Monument.€HT)'!C:G,4,FALSE()))</f>
        <v>973</v>
      </c>
      <c r="I493" s="5">
        <f>F493+(VLOOKUP(D493,'(Semelles.Monument.€HT)'!C:G,5,FALSE()))</f>
        <v>1029</v>
      </c>
    </row>
    <row r="494" spans="1:9" ht="26" customHeight="1">
      <c r="A494" s="17" t="s">
        <v>156</v>
      </c>
      <c r="B494" s="18" t="s">
        <v>157</v>
      </c>
      <c r="C494" s="18" t="s">
        <v>97</v>
      </c>
      <c r="D494" s="18">
        <v>13</v>
      </c>
      <c r="E494" s="17" t="s">
        <v>110</v>
      </c>
      <c r="F494" s="19">
        <v>738</v>
      </c>
      <c r="G494" s="20">
        <f>F494+(VLOOKUP(D494,'(Semelles.Monument.€HT)'!C:G,3,FALSE()))</f>
        <v>920</v>
      </c>
      <c r="H494" s="21">
        <f>F494+(VLOOKUP(D494,'(Semelles.Monument.€HT)'!C:G,4,FALSE()))</f>
        <v>973</v>
      </c>
      <c r="I494" s="22">
        <f>F494+(VLOOKUP(D494,'(Semelles.Monument.€HT)'!C:G,5,FALSE()))</f>
        <v>1029</v>
      </c>
    </row>
    <row r="495" spans="1:9" ht="26" customHeight="1">
      <c r="A495" s="2" t="s">
        <v>156</v>
      </c>
      <c r="B495" s="13" t="s">
        <v>157</v>
      </c>
      <c r="C495" s="13" t="s">
        <v>97</v>
      </c>
      <c r="D495" s="13">
        <v>14</v>
      </c>
      <c r="E495" s="2" t="s">
        <v>111</v>
      </c>
      <c r="F495" s="7">
        <v>741</v>
      </c>
      <c r="G495" s="3">
        <f>F495+(VLOOKUP(D495,'(Semelles.Monument.€HT)'!C:G,3,FALSE()))</f>
        <v>924</v>
      </c>
      <c r="H495" s="4">
        <f>F495+(VLOOKUP(D495,'(Semelles.Monument.€HT)'!C:G,4,FALSE()))</f>
        <v>977</v>
      </c>
      <c r="I495" s="5">
        <f>F495+(VLOOKUP(D495,'(Semelles.Monument.€HT)'!C:G,5,FALSE()))</f>
        <v>1033</v>
      </c>
    </row>
    <row r="496" spans="1:9" ht="26" customHeight="1">
      <c r="A496" s="17" t="s">
        <v>156</v>
      </c>
      <c r="B496" s="18" t="s">
        <v>157</v>
      </c>
      <c r="C496" s="18" t="s">
        <v>97</v>
      </c>
      <c r="D496" s="18">
        <v>15</v>
      </c>
      <c r="E496" s="17" t="s">
        <v>112</v>
      </c>
      <c r="F496" s="19">
        <v>741</v>
      </c>
      <c r="G496" s="20">
        <f>F496+(VLOOKUP(D496,'(Semelles.Monument.€HT)'!C:G,3,FALSE()))</f>
        <v>924</v>
      </c>
      <c r="H496" s="21">
        <f>F496+(VLOOKUP(D496,'(Semelles.Monument.€HT)'!C:G,4,FALSE()))</f>
        <v>977</v>
      </c>
      <c r="I496" s="22">
        <f>F496+(VLOOKUP(D496,'(Semelles.Monument.€HT)'!C:G,5,FALSE()))</f>
        <v>1033</v>
      </c>
    </row>
    <row r="497" spans="1:9" ht="26" customHeight="1">
      <c r="A497" s="2" t="s">
        <v>156</v>
      </c>
      <c r="B497" s="13" t="s">
        <v>157</v>
      </c>
      <c r="C497" s="13" t="s">
        <v>97</v>
      </c>
      <c r="D497" s="13">
        <v>16</v>
      </c>
      <c r="E497" s="2" t="s">
        <v>113</v>
      </c>
      <c r="F497" s="7">
        <v>741</v>
      </c>
      <c r="G497" s="3">
        <f>F497+(VLOOKUP(D497,'(Semelles.Monument.€HT)'!C:G,3,FALSE()))</f>
        <v>924</v>
      </c>
      <c r="H497" s="4">
        <f>F497+(VLOOKUP(D497,'(Semelles.Monument.€HT)'!C:G,4,FALSE()))</f>
        <v>977</v>
      </c>
      <c r="I497" s="5">
        <f>F497+(VLOOKUP(D497,'(Semelles.Monument.€HT)'!C:G,5,FALSE()))</f>
        <v>1033</v>
      </c>
    </row>
    <row r="498" spans="1:9" ht="26" customHeight="1">
      <c r="A498" s="17" t="s">
        <v>156</v>
      </c>
      <c r="B498" s="18" t="s">
        <v>157</v>
      </c>
      <c r="C498" s="18" t="s">
        <v>97</v>
      </c>
      <c r="D498" s="18">
        <v>17</v>
      </c>
      <c r="E498" s="17" t="s">
        <v>114</v>
      </c>
      <c r="F498" s="19">
        <v>754</v>
      </c>
      <c r="G498" s="20">
        <f>F498+(VLOOKUP(D498,'(Semelles.Monument.€HT)'!C:G,3,FALSE()))</f>
        <v>940</v>
      </c>
      <c r="H498" s="21">
        <f>F498+(VLOOKUP(D498,'(Semelles.Monument.€HT)'!C:G,4,FALSE()))</f>
        <v>994</v>
      </c>
      <c r="I498" s="22">
        <f>F498+(VLOOKUP(D498,'(Semelles.Monument.€HT)'!C:G,5,FALSE()))</f>
        <v>1051</v>
      </c>
    </row>
    <row r="499" spans="1:9" ht="26" customHeight="1">
      <c r="A499" s="2" t="s">
        <v>156</v>
      </c>
      <c r="B499" s="13" t="s">
        <v>157</v>
      </c>
      <c r="C499" s="13" t="s">
        <v>97</v>
      </c>
      <c r="D499" s="13">
        <v>18</v>
      </c>
      <c r="E499" s="2" t="s">
        <v>115</v>
      </c>
      <c r="F499" s="7">
        <v>754</v>
      </c>
      <c r="G499" s="3">
        <f>F499+(VLOOKUP(D499,'(Semelles.Monument.€HT)'!C:G,3,FALSE()))</f>
        <v>940</v>
      </c>
      <c r="H499" s="4">
        <f>F499+(VLOOKUP(D499,'(Semelles.Monument.€HT)'!C:G,4,FALSE()))</f>
        <v>994</v>
      </c>
      <c r="I499" s="5">
        <f>F499+(VLOOKUP(D499,'(Semelles.Monument.€HT)'!C:G,5,FALSE()))</f>
        <v>1051</v>
      </c>
    </row>
    <row r="500" spans="1:9" ht="26" customHeight="1">
      <c r="A500" s="17" t="s">
        <v>156</v>
      </c>
      <c r="B500" s="18" t="s">
        <v>157</v>
      </c>
      <c r="C500" s="18" t="s">
        <v>97</v>
      </c>
      <c r="D500" s="18">
        <v>19</v>
      </c>
      <c r="E500" s="17" t="s">
        <v>116</v>
      </c>
      <c r="F500" s="19">
        <v>754</v>
      </c>
      <c r="G500" s="20">
        <f>F500+(VLOOKUP(D500,'(Semelles.Monument.€HT)'!C:G,3,FALSE()))</f>
        <v>940</v>
      </c>
      <c r="H500" s="21">
        <f>F500+(VLOOKUP(D500,'(Semelles.Monument.€HT)'!C:G,4,FALSE()))</f>
        <v>994</v>
      </c>
      <c r="I500" s="22">
        <f>F500+(VLOOKUP(D500,'(Semelles.Monument.€HT)'!C:G,5,FALSE()))</f>
        <v>1051</v>
      </c>
    </row>
    <row r="501" spans="1:9" ht="26" customHeight="1">
      <c r="A501" s="2" t="s">
        <v>156</v>
      </c>
      <c r="B501" s="13" t="s">
        <v>157</v>
      </c>
      <c r="C501" s="13" t="s">
        <v>97</v>
      </c>
      <c r="D501" s="13">
        <v>20</v>
      </c>
      <c r="E501" s="2" t="s">
        <v>117</v>
      </c>
      <c r="F501" s="7">
        <v>760</v>
      </c>
      <c r="G501" s="3">
        <f>F501+(VLOOKUP(D501,'(Semelles.Monument.€HT)'!C:G,3,FALSE()))</f>
        <v>948</v>
      </c>
      <c r="H501" s="4">
        <f>F501+(VLOOKUP(D501,'(Semelles.Monument.€HT)'!C:G,4,FALSE()))</f>
        <v>1002</v>
      </c>
      <c r="I501" s="5">
        <f>F501+(VLOOKUP(D501,'(Semelles.Monument.€HT)'!C:G,5,FALSE()))</f>
        <v>1059</v>
      </c>
    </row>
    <row r="502" spans="1:9" ht="26" customHeight="1">
      <c r="A502" s="17" t="s">
        <v>156</v>
      </c>
      <c r="B502" s="18" t="s">
        <v>157</v>
      </c>
      <c r="C502" s="18" t="s">
        <v>97</v>
      </c>
      <c r="D502" s="18">
        <v>21</v>
      </c>
      <c r="E502" s="17" t="s">
        <v>118</v>
      </c>
      <c r="F502" s="19">
        <v>764</v>
      </c>
      <c r="G502" s="20">
        <f>F502+(VLOOKUP(D502,'(Semelles.Monument.€HT)'!C:G,3,FALSE()))</f>
        <v>953</v>
      </c>
      <c r="H502" s="21">
        <f>F502+(VLOOKUP(D502,'(Semelles.Monument.€HT)'!C:G,4,FALSE()))</f>
        <v>1007</v>
      </c>
      <c r="I502" s="22">
        <f>F502+(VLOOKUP(D502,'(Semelles.Monument.€HT)'!C:G,5,FALSE()))</f>
        <v>1065</v>
      </c>
    </row>
    <row r="503" spans="1:9" ht="26" customHeight="1">
      <c r="A503" s="2" t="s">
        <v>156</v>
      </c>
      <c r="B503" s="13" t="s">
        <v>157</v>
      </c>
      <c r="C503" s="13" t="s">
        <v>97</v>
      </c>
      <c r="D503" s="13">
        <v>22</v>
      </c>
      <c r="E503" s="2" t="s">
        <v>119</v>
      </c>
      <c r="F503" s="7">
        <v>764</v>
      </c>
      <c r="G503" s="3">
        <f>F503+(VLOOKUP(D503,'(Semelles.Monument.€HT)'!C:G,3,FALSE()))</f>
        <v>953</v>
      </c>
      <c r="H503" s="4">
        <f>F503+(VLOOKUP(D503,'(Semelles.Monument.€HT)'!C:G,4,FALSE()))</f>
        <v>1007</v>
      </c>
      <c r="I503" s="5">
        <f>F503+(VLOOKUP(D503,'(Semelles.Monument.€HT)'!C:G,5,FALSE()))</f>
        <v>1065</v>
      </c>
    </row>
    <row r="504" spans="1:9" ht="26" customHeight="1">
      <c r="A504" s="17" t="s">
        <v>156</v>
      </c>
      <c r="B504" s="18" t="s">
        <v>157</v>
      </c>
      <c r="C504" s="18" t="s">
        <v>97</v>
      </c>
      <c r="D504" s="18">
        <v>23</v>
      </c>
      <c r="E504" s="17" t="s">
        <v>120</v>
      </c>
      <c r="F504" s="19">
        <v>776</v>
      </c>
      <c r="G504" s="20">
        <f>F504+(VLOOKUP(D504,'(Semelles.Monument.€HT)'!C:G,3,FALSE()))</f>
        <v>968</v>
      </c>
      <c r="H504" s="21">
        <f>F504+(VLOOKUP(D504,'(Semelles.Monument.€HT)'!C:G,4,FALSE()))</f>
        <v>1023</v>
      </c>
      <c r="I504" s="22">
        <f>F504+(VLOOKUP(D504,'(Semelles.Monument.€HT)'!C:G,5,FALSE()))</f>
        <v>1081</v>
      </c>
    </row>
    <row r="505" spans="1:9" ht="26" customHeight="1">
      <c r="A505" s="2" t="s">
        <v>156</v>
      </c>
      <c r="B505" s="13" t="s">
        <v>157</v>
      </c>
      <c r="C505" s="13" t="s">
        <v>97</v>
      </c>
      <c r="D505" s="13">
        <v>24</v>
      </c>
      <c r="E505" s="2" t="s">
        <v>121</v>
      </c>
      <c r="F505" s="7">
        <v>776</v>
      </c>
      <c r="G505" s="3">
        <f>F505+(VLOOKUP(D505,'(Semelles.Monument.€HT)'!C:G,3,FALSE()))</f>
        <v>968</v>
      </c>
      <c r="H505" s="4">
        <f>F505+(VLOOKUP(D505,'(Semelles.Monument.€HT)'!C:G,4,FALSE()))</f>
        <v>1023</v>
      </c>
      <c r="I505" s="5">
        <f>F505+(VLOOKUP(D505,'(Semelles.Monument.€HT)'!C:G,5,FALSE()))</f>
        <v>1081</v>
      </c>
    </row>
    <row r="506" spans="1:9" ht="26" customHeight="1">
      <c r="A506" s="17" t="s">
        <v>156</v>
      </c>
      <c r="B506" s="18" t="s">
        <v>157</v>
      </c>
      <c r="C506" s="18" t="s">
        <v>97</v>
      </c>
      <c r="D506" s="18">
        <v>25</v>
      </c>
      <c r="E506" s="17" t="s">
        <v>122</v>
      </c>
      <c r="F506" s="19">
        <v>776</v>
      </c>
      <c r="G506" s="20">
        <f>F506+(VLOOKUP(D506,'(Semelles.Monument.€HT)'!C:G,3,FALSE()))</f>
        <v>968</v>
      </c>
      <c r="H506" s="21">
        <f>F506+(VLOOKUP(D506,'(Semelles.Monument.€HT)'!C:G,4,FALSE()))</f>
        <v>1023</v>
      </c>
      <c r="I506" s="22">
        <f>F506+(VLOOKUP(D506,'(Semelles.Monument.€HT)'!C:G,5,FALSE()))</f>
        <v>1081</v>
      </c>
    </row>
    <row r="507" spans="1:9" ht="26" customHeight="1">
      <c r="A507" s="2" t="s">
        <v>156</v>
      </c>
      <c r="B507" s="13" t="s">
        <v>157</v>
      </c>
      <c r="C507" s="13" t="s">
        <v>97</v>
      </c>
      <c r="D507" s="13">
        <v>26</v>
      </c>
      <c r="E507" s="2" t="s">
        <v>123</v>
      </c>
      <c r="F507" s="7">
        <v>789</v>
      </c>
      <c r="G507" s="3">
        <f>F507+(VLOOKUP(D507,'(Semelles.Monument.€HT)'!C:G,3,FALSE()))</f>
        <v>984</v>
      </c>
      <c r="H507" s="4">
        <f>F507+(VLOOKUP(D507,'(Semelles.Monument.€HT)'!C:G,4,FALSE()))</f>
        <v>1040</v>
      </c>
      <c r="I507" s="5">
        <f>F507+(VLOOKUP(D507,'(Semelles.Monument.€HT)'!C:G,5,FALSE()))</f>
        <v>1099</v>
      </c>
    </row>
    <row r="508" spans="1:9" ht="26" customHeight="1">
      <c r="A508" s="17" t="s">
        <v>156</v>
      </c>
      <c r="B508" s="18" t="s">
        <v>157</v>
      </c>
      <c r="C508" s="18" t="s">
        <v>97</v>
      </c>
      <c r="D508" s="18">
        <v>27</v>
      </c>
      <c r="E508" s="17" t="s">
        <v>124</v>
      </c>
      <c r="F508" s="19">
        <v>841</v>
      </c>
      <c r="G508" s="20">
        <f>F508+(VLOOKUP(D508,'(Semelles.Monument.€HT)'!C:G,3,FALSE()))</f>
        <v>1049</v>
      </c>
      <c r="H508" s="21">
        <f>F508+(VLOOKUP(D508,'(Semelles.Monument.€HT)'!C:G,4,FALSE()))</f>
        <v>1109</v>
      </c>
      <c r="I508" s="22">
        <f>F508+(VLOOKUP(D508,'(Semelles.Monument.€HT)'!C:G,5,FALSE()))</f>
        <v>1208</v>
      </c>
    </row>
    <row r="509" spans="1:9" ht="26" customHeight="1">
      <c r="A509" s="2" t="s">
        <v>156</v>
      </c>
      <c r="B509" s="13" t="s">
        <v>157</v>
      </c>
      <c r="C509" s="13" t="s">
        <v>97</v>
      </c>
      <c r="D509" s="13">
        <v>28</v>
      </c>
      <c r="E509" s="2" t="s">
        <v>125</v>
      </c>
      <c r="F509" s="7">
        <v>932</v>
      </c>
      <c r="G509" s="3">
        <f>F509+(VLOOKUP(D509,'(Semelles.Monument.€HT)'!C:G,3,FALSE()))</f>
        <v>1162</v>
      </c>
      <c r="H509" s="4">
        <f>F509+(VLOOKUP(D509,'(Semelles.Monument.€HT)'!C:G,4,FALSE()))</f>
        <v>1229</v>
      </c>
      <c r="I509" s="5">
        <f>F509+(VLOOKUP(D509,'(Semelles.Monument.€HT)'!C:G,5,FALSE()))</f>
        <v>1299</v>
      </c>
    </row>
    <row r="510" spans="1:9" ht="26" customHeight="1">
      <c r="A510" s="17" t="s">
        <v>156</v>
      </c>
      <c r="B510" s="18" t="s">
        <v>157</v>
      </c>
      <c r="C510" s="18" t="s">
        <v>97</v>
      </c>
      <c r="D510" s="18">
        <v>29</v>
      </c>
      <c r="E510" s="17" t="s">
        <v>126</v>
      </c>
      <c r="F510" s="19">
        <v>970</v>
      </c>
      <c r="G510" s="20">
        <f>F510+(VLOOKUP(D510,'(Semelles.Monument.€HT)'!C:G,3,FALSE()))</f>
        <v>1210</v>
      </c>
      <c r="H510" s="21">
        <f>F510+(VLOOKUP(D510,'(Semelles.Monument.€HT)'!C:G,4,FALSE()))</f>
        <v>1279</v>
      </c>
      <c r="I510" s="22">
        <f>F510+(VLOOKUP(D510,'(Semelles.Monument.€HT)'!C:G,5,FALSE()))</f>
        <v>1352</v>
      </c>
    </row>
    <row r="511" spans="1:9" ht="26" customHeight="1">
      <c r="A511" s="2" t="s">
        <v>156</v>
      </c>
      <c r="B511" s="13" t="s">
        <v>157</v>
      </c>
      <c r="C511" s="13" t="s">
        <v>97</v>
      </c>
      <c r="D511" s="13">
        <v>30</v>
      </c>
      <c r="E511" s="2" t="s">
        <v>127</v>
      </c>
      <c r="F511" s="7">
        <v>970</v>
      </c>
      <c r="G511" s="3">
        <f>F511+(VLOOKUP(D511,'(Semelles.Monument.€HT)'!C:G,3,FALSE()))</f>
        <v>1210</v>
      </c>
      <c r="H511" s="4">
        <f>F511+(VLOOKUP(D511,'(Semelles.Monument.€HT)'!C:G,4,FALSE()))</f>
        <v>1279</v>
      </c>
      <c r="I511" s="5">
        <f>F511+(VLOOKUP(D511,'(Semelles.Monument.€HT)'!C:G,5,FALSE()))</f>
        <v>1352</v>
      </c>
    </row>
    <row r="512" spans="1:9" ht="26" customHeight="1">
      <c r="A512" s="17" t="s">
        <v>156</v>
      </c>
      <c r="B512" s="18" t="s">
        <v>157</v>
      </c>
      <c r="C512" s="18" t="s">
        <v>128</v>
      </c>
      <c r="D512" s="18">
        <v>31</v>
      </c>
      <c r="E512" s="17" t="s">
        <v>129</v>
      </c>
      <c r="F512" s="19">
        <v>579</v>
      </c>
      <c r="G512" s="20">
        <f>F512+(VLOOKUP(D512,'(Semelles.Monument.€HT)'!C:G,3,FALSE()))</f>
        <v>711</v>
      </c>
      <c r="H512" s="21">
        <f>F512+(VLOOKUP(D512,'(Semelles.Monument.€HT)'!C:G,4,FALSE()))</f>
        <v>749</v>
      </c>
      <c r="I512" s="22">
        <f>F512+(VLOOKUP(D512,'(Semelles.Monument.€HT)'!C:G,5,FALSE()))</f>
        <v>789</v>
      </c>
    </row>
    <row r="513" spans="1:9" ht="26" customHeight="1">
      <c r="A513" s="2" t="s">
        <v>156</v>
      </c>
      <c r="B513" s="13" t="s">
        <v>157</v>
      </c>
      <c r="C513" s="13" t="s">
        <v>128</v>
      </c>
      <c r="D513" s="13">
        <v>32</v>
      </c>
      <c r="E513" s="2" t="s">
        <v>130</v>
      </c>
      <c r="F513" s="7">
        <v>587</v>
      </c>
      <c r="G513" s="3">
        <f>F513+(VLOOKUP(D513,'(Semelles.Monument.€HT)'!C:G,3,FALSE()))</f>
        <v>721</v>
      </c>
      <c r="H513" s="4">
        <f>F513+(VLOOKUP(D513,'(Semelles.Monument.€HT)'!C:G,4,FALSE()))</f>
        <v>760</v>
      </c>
      <c r="I513" s="5">
        <f>F513+(VLOOKUP(D513,'(Semelles.Monument.€HT)'!C:G,5,FALSE()))</f>
        <v>800</v>
      </c>
    </row>
    <row r="514" spans="1:9" ht="26" customHeight="1">
      <c r="A514" s="17" t="s">
        <v>156</v>
      </c>
      <c r="B514" s="18" t="s">
        <v>157</v>
      </c>
      <c r="C514" s="18" t="s">
        <v>128</v>
      </c>
      <c r="D514" s="18">
        <v>33</v>
      </c>
      <c r="E514" s="17" t="s">
        <v>131</v>
      </c>
      <c r="F514" s="19">
        <v>587</v>
      </c>
      <c r="G514" s="20">
        <f>F514+(VLOOKUP(D514,'(Semelles.Monument.€HT)'!C:G,3,FALSE()))</f>
        <v>721</v>
      </c>
      <c r="H514" s="21">
        <f>F514+(VLOOKUP(D514,'(Semelles.Monument.€HT)'!C:G,4,FALSE()))</f>
        <v>760</v>
      </c>
      <c r="I514" s="22">
        <f>F514+(VLOOKUP(D514,'(Semelles.Monument.€HT)'!C:G,5,FALSE()))</f>
        <v>800</v>
      </c>
    </row>
    <row r="515" spans="1:9" ht="26" customHeight="1">
      <c r="A515" s="2" t="s">
        <v>156</v>
      </c>
      <c r="B515" s="13" t="s">
        <v>157</v>
      </c>
      <c r="C515" s="13" t="s">
        <v>128</v>
      </c>
      <c r="D515" s="13">
        <v>34</v>
      </c>
      <c r="E515" s="2" t="s">
        <v>132</v>
      </c>
      <c r="F515" s="7">
        <v>592</v>
      </c>
      <c r="G515" s="3">
        <f>F515+(VLOOKUP(D515,'(Semelles.Monument.€HT)'!C:G,3,FALSE()))</f>
        <v>727</v>
      </c>
      <c r="H515" s="4">
        <f>F515+(VLOOKUP(D515,'(Semelles.Monument.€HT)'!C:G,4,FALSE()))</f>
        <v>766</v>
      </c>
      <c r="I515" s="5">
        <f>F515+(VLOOKUP(D515,'(Semelles.Monument.€HT)'!C:G,5,FALSE()))</f>
        <v>807</v>
      </c>
    </row>
    <row r="516" spans="1:9" ht="26" customHeight="1">
      <c r="A516" s="17" t="s">
        <v>156</v>
      </c>
      <c r="B516" s="18" t="s">
        <v>157</v>
      </c>
      <c r="C516" s="18" t="s">
        <v>128</v>
      </c>
      <c r="D516" s="18">
        <v>35</v>
      </c>
      <c r="E516" s="17" t="s">
        <v>133</v>
      </c>
      <c r="F516" s="19">
        <v>704</v>
      </c>
      <c r="G516" s="20">
        <f>F516+(VLOOKUP(D516,'(Semelles.Monument.€HT)'!C:G,3,FALSE()))</f>
        <v>867</v>
      </c>
      <c r="H516" s="21">
        <f>F516+(VLOOKUP(D516,'(Semelles.Monument.€HT)'!C:G,4,FALSE()))</f>
        <v>914</v>
      </c>
      <c r="I516" s="22">
        <f>F516+(VLOOKUP(D516,'(Semelles.Monument.€HT)'!C:G,5,FALSE()))</f>
        <v>963</v>
      </c>
    </row>
    <row r="517" spans="1:9" ht="26" customHeight="1">
      <c r="A517" s="2" t="s">
        <v>156</v>
      </c>
      <c r="B517" s="13" t="s">
        <v>157</v>
      </c>
      <c r="C517" s="13" t="s">
        <v>128</v>
      </c>
      <c r="D517" s="13">
        <v>36</v>
      </c>
      <c r="E517" s="2" t="s">
        <v>134</v>
      </c>
      <c r="F517" s="7">
        <v>727</v>
      </c>
      <c r="G517" s="3">
        <f>F517+(VLOOKUP(D517,'(Semelles.Monument.€HT)'!C:G,3,FALSE()))</f>
        <v>895</v>
      </c>
      <c r="H517" s="4">
        <f>F517+(VLOOKUP(D517,'(Semelles.Monument.€HT)'!C:G,4,FALSE()))</f>
        <v>944</v>
      </c>
      <c r="I517" s="5">
        <f>F517+(VLOOKUP(D517,'(Semelles.Monument.€HT)'!C:G,5,FALSE()))</f>
        <v>995</v>
      </c>
    </row>
    <row r="518" spans="1:9" ht="26" customHeight="1">
      <c r="A518" s="17" t="s">
        <v>156</v>
      </c>
      <c r="B518" s="18" t="s">
        <v>157</v>
      </c>
      <c r="C518" s="18" t="s">
        <v>128</v>
      </c>
      <c r="D518" s="18">
        <v>37</v>
      </c>
      <c r="E518" s="17" t="s">
        <v>135</v>
      </c>
      <c r="F518" s="19">
        <v>888</v>
      </c>
      <c r="G518" s="20">
        <f>F518+(VLOOKUP(D518,'(Semelles.Monument.€HT)'!C:G,3,FALSE()))</f>
        <v>1096</v>
      </c>
      <c r="H518" s="21">
        <f>F518+(VLOOKUP(D518,'(Semelles.Monument.€HT)'!C:G,4,FALSE()))</f>
        <v>1156</v>
      </c>
      <c r="I518" s="22">
        <f>F518+(VLOOKUP(D518,'(Semelles.Monument.€HT)'!C:G,5,FALSE()))</f>
        <v>1220</v>
      </c>
    </row>
    <row r="519" spans="1:9" ht="26" customHeight="1">
      <c r="A519" s="2" t="s">
        <v>156</v>
      </c>
      <c r="B519" s="13" t="s">
        <v>157</v>
      </c>
      <c r="C519" s="13" t="s">
        <v>128</v>
      </c>
      <c r="D519" s="13">
        <v>38</v>
      </c>
      <c r="E519" s="2" t="s">
        <v>136</v>
      </c>
      <c r="F519" s="7">
        <v>937</v>
      </c>
      <c r="G519" s="3">
        <f>F519+(VLOOKUP(D519,'(Semelles.Monument.€HT)'!C:G,3,FALSE()))</f>
        <v>1157</v>
      </c>
      <c r="H519" s="4">
        <f>F519+(VLOOKUP(D519,'(Semelles.Monument.€HT)'!C:G,4,FALSE()))</f>
        <v>1221</v>
      </c>
      <c r="I519" s="5">
        <f>F519+(VLOOKUP(D519,'(Semelles.Monument.€HT)'!C:G,5,FALSE()))</f>
        <v>1288</v>
      </c>
    </row>
    <row r="520" spans="1:9" ht="26" customHeight="1">
      <c r="A520" s="17" t="s">
        <v>156</v>
      </c>
      <c r="B520" s="18" t="s">
        <v>157</v>
      </c>
      <c r="C520" s="18" t="s">
        <v>128</v>
      </c>
      <c r="D520" s="18">
        <v>39</v>
      </c>
      <c r="E520" s="17" t="s">
        <v>137</v>
      </c>
      <c r="F520" s="19">
        <v>960</v>
      </c>
      <c r="G520" s="20">
        <f>F520+(VLOOKUP(D520,'(Semelles.Monument.€HT)'!C:G,3,FALSE()))</f>
        <v>1186</v>
      </c>
      <c r="H520" s="21">
        <f>F520+(VLOOKUP(D520,'(Semelles.Monument.€HT)'!C:G,4,FALSE()))</f>
        <v>1251</v>
      </c>
      <c r="I520" s="22">
        <f>F520+(VLOOKUP(D520,'(Semelles.Monument.€HT)'!C:G,5,FALSE()))</f>
        <v>1320</v>
      </c>
    </row>
    <row r="521" spans="1:9" ht="26" customHeight="1">
      <c r="A521" s="2" t="s">
        <v>156</v>
      </c>
      <c r="B521" s="13" t="s">
        <v>157</v>
      </c>
      <c r="C521" s="13" t="s">
        <v>128</v>
      </c>
      <c r="D521" s="13">
        <v>40</v>
      </c>
      <c r="E521" s="2" t="s">
        <v>138</v>
      </c>
      <c r="F521" s="7">
        <v>986</v>
      </c>
      <c r="G521" s="3">
        <f>F521+(VLOOKUP(D521,'(Semelles.Monument.€HT)'!C:G,3,FALSE()))</f>
        <v>1218</v>
      </c>
      <c r="H521" s="4">
        <f>F521+(VLOOKUP(D521,'(Semelles.Monument.€HT)'!C:G,4,FALSE()))</f>
        <v>1286</v>
      </c>
      <c r="I521" s="5">
        <f>F521+(VLOOKUP(D521,'(Semelles.Monument.€HT)'!C:G,5,FALSE()))</f>
        <v>1356</v>
      </c>
    </row>
    <row r="522" spans="1:9" ht="26" customHeight="1">
      <c r="A522" s="17" t="s">
        <v>156</v>
      </c>
      <c r="B522" s="18" t="s">
        <v>157</v>
      </c>
      <c r="C522" s="18" t="s">
        <v>128</v>
      </c>
      <c r="D522" s="18">
        <v>41</v>
      </c>
      <c r="E522" s="17" t="s">
        <v>139</v>
      </c>
      <c r="F522" s="19">
        <v>1046</v>
      </c>
      <c r="G522" s="20">
        <f>F522+(VLOOKUP(D522,'(Semelles.Monument.€HT)'!C:G,3,FALSE()))</f>
        <v>1293</v>
      </c>
      <c r="H522" s="21">
        <f>F522+(VLOOKUP(D522,'(Semelles.Monument.€HT)'!C:G,4,FALSE()))</f>
        <v>1365</v>
      </c>
      <c r="I522" s="22">
        <f>F522+(VLOOKUP(D522,'(Semelles.Monument.€HT)'!C:G,5,FALSE()))</f>
        <v>1440</v>
      </c>
    </row>
    <row r="523" spans="1:9" ht="26" customHeight="1">
      <c r="A523" s="2" t="s">
        <v>156</v>
      </c>
      <c r="B523" s="13" t="s">
        <v>157</v>
      </c>
      <c r="C523" s="13" t="s">
        <v>128</v>
      </c>
      <c r="D523" s="13">
        <v>42</v>
      </c>
      <c r="E523" s="2" t="s">
        <v>140</v>
      </c>
      <c r="F523" s="7">
        <v>1144</v>
      </c>
      <c r="G523" s="3">
        <f>F523+(VLOOKUP(D523,'(Semelles.Monument.€HT)'!C:G,3,FALSE()))</f>
        <v>1415</v>
      </c>
      <c r="H523" s="4">
        <f>F523+(VLOOKUP(D523,'(Semelles.Monument.€HT)'!C:G,4,FALSE()))</f>
        <v>1494</v>
      </c>
      <c r="I523" s="5">
        <f>F523+(VLOOKUP(D523,'(Semelles.Monument.€HT)'!C:G,5,FALSE()))</f>
        <v>1577</v>
      </c>
    </row>
    <row r="524" spans="1:9" ht="26" customHeight="1">
      <c r="A524" s="17" t="s">
        <v>156</v>
      </c>
      <c r="B524" s="18" t="s">
        <v>157</v>
      </c>
      <c r="C524" s="18" t="s">
        <v>128</v>
      </c>
      <c r="D524" s="18">
        <v>43</v>
      </c>
      <c r="E524" s="17" t="s">
        <v>141</v>
      </c>
      <c r="F524" s="19">
        <v>1144</v>
      </c>
      <c r="G524" s="20">
        <f>F524+(VLOOKUP(D524,'(Semelles.Monument.€HT)'!C:G,3,FALSE()))</f>
        <v>1415</v>
      </c>
      <c r="H524" s="21">
        <f>F524+(VLOOKUP(D524,'(Semelles.Monument.€HT)'!C:G,4,FALSE()))</f>
        <v>1494</v>
      </c>
      <c r="I524" s="22">
        <f>F524+(VLOOKUP(D524,'(Semelles.Monument.€HT)'!C:G,5,FALSE()))</f>
        <v>1577</v>
      </c>
    </row>
    <row r="525" spans="1:9" ht="26" customHeight="1">
      <c r="A525" s="2" t="s">
        <v>156</v>
      </c>
      <c r="B525" s="13" t="s">
        <v>157</v>
      </c>
      <c r="C525" s="13" t="s">
        <v>128</v>
      </c>
      <c r="D525" s="13">
        <v>44</v>
      </c>
      <c r="E525" s="2" t="s">
        <v>142</v>
      </c>
      <c r="F525" s="7">
        <v>1157</v>
      </c>
      <c r="G525" s="3">
        <f>F525+(VLOOKUP(D525,'(Semelles.Monument.€HT)'!C:G,3,FALSE()))</f>
        <v>1432</v>
      </c>
      <c r="H525" s="4">
        <f>F525+(VLOOKUP(D525,'(Semelles.Monument.€HT)'!C:G,4,FALSE()))</f>
        <v>1511</v>
      </c>
      <c r="I525" s="5">
        <f>F525+(VLOOKUP(D525,'(Semelles.Monument.€HT)'!C:G,5,FALSE()))</f>
        <v>1595</v>
      </c>
    </row>
    <row r="526" spans="1:9" ht="26" customHeight="1">
      <c r="A526" s="17" t="s">
        <v>156</v>
      </c>
      <c r="B526" s="18" t="s">
        <v>157</v>
      </c>
      <c r="C526" s="18" t="s">
        <v>128</v>
      </c>
      <c r="D526" s="18">
        <v>45</v>
      </c>
      <c r="E526" s="17" t="s">
        <v>143</v>
      </c>
      <c r="F526" s="19">
        <v>1170</v>
      </c>
      <c r="G526" s="20">
        <f>F526+(VLOOKUP(D526,'(Semelles.Monument.€HT)'!C:G,3,FALSE()))</f>
        <v>1448</v>
      </c>
      <c r="H526" s="21">
        <f>F526+(VLOOKUP(D526,'(Semelles.Monument.€HT)'!C:G,4,FALSE()))</f>
        <v>1528</v>
      </c>
      <c r="I526" s="22">
        <f>F526+(VLOOKUP(D526,'(Semelles.Monument.€HT)'!C:G,5,FALSE()))</f>
        <v>1613</v>
      </c>
    </row>
    <row r="527" spans="1:9" ht="26" customHeight="1">
      <c r="A527" s="2" t="s">
        <v>156</v>
      </c>
      <c r="B527" s="13" t="s">
        <v>157</v>
      </c>
      <c r="C527" s="13" t="s">
        <v>128</v>
      </c>
      <c r="D527" s="13">
        <v>46</v>
      </c>
      <c r="E527" s="2" t="s">
        <v>144</v>
      </c>
      <c r="F527" s="7">
        <v>1170</v>
      </c>
      <c r="G527" s="3">
        <f>F527+(VLOOKUP(D527,'(Semelles.Monument.€HT)'!C:G,3,FALSE()))</f>
        <v>1448</v>
      </c>
      <c r="H527" s="4">
        <f>F527+(VLOOKUP(D527,'(Semelles.Monument.€HT)'!C:G,4,FALSE()))</f>
        <v>1528</v>
      </c>
      <c r="I527" s="5">
        <f>F527+(VLOOKUP(D527,'(Semelles.Monument.€HT)'!C:G,5,FALSE()))</f>
        <v>1613</v>
      </c>
    </row>
    <row r="528" spans="1:9" ht="26" customHeight="1">
      <c r="A528" s="17" t="s">
        <v>156</v>
      </c>
      <c r="B528" s="18" t="s">
        <v>157</v>
      </c>
      <c r="C528" s="18" t="s">
        <v>128</v>
      </c>
      <c r="D528" s="18">
        <v>47</v>
      </c>
      <c r="E528" s="17" t="s">
        <v>145</v>
      </c>
      <c r="F528" s="19">
        <v>1194</v>
      </c>
      <c r="G528" s="20">
        <f>F528+(VLOOKUP(D528,'(Semelles.Monument.€HT)'!C:G,3,FALSE()))</f>
        <v>1478</v>
      </c>
      <c r="H528" s="21">
        <f>F528+(VLOOKUP(D528,'(Semelles.Monument.€HT)'!C:G,4,FALSE()))</f>
        <v>1560</v>
      </c>
      <c r="I528" s="22">
        <f>F528+(VLOOKUP(D528,'(Semelles.Monument.€HT)'!C:G,5,FALSE()))</f>
        <v>1646</v>
      </c>
    </row>
    <row r="529" spans="1:9" ht="26" customHeight="1">
      <c r="A529" s="2" t="s">
        <v>156</v>
      </c>
      <c r="B529" s="13" t="s">
        <v>157</v>
      </c>
      <c r="C529" s="13" t="s">
        <v>128</v>
      </c>
      <c r="D529" s="13">
        <v>48</v>
      </c>
      <c r="E529" s="2" t="s">
        <v>146</v>
      </c>
      <c r="F529" s="7">
        <v>1206</v>
      </c>
      <c r="G529" s="3">
        <f>F529+(VLOOKUP(D529,'(Semelles.Monument.€HT)'!C:G,3,FALSE()))</f>
        <v>1493</v>
      </c>
      <c r="H529" s="4">
        <f>F529+(VLOOKUP(D529,'(Semelles.Monument.€HT)'!C:G,4,FALSE()))</f>
        <v>1576</v>
      </c>
      <c r="I529" s="5">
        <f>F529+(VLOOKUP(D529,'(Semelles.Monument.€HT)'!C:G,5,FALSE()))</f>
        <v>1663</v>
      </c>
    </row>
    <row r="530" spans="1:9" ht="26" customHeight="1">
      <c r="A530" s="17" t="s">
        <v>156</v>
      </c>
      <c r="B530" s="18" t="s">
        <v>158</v>
      </c>
      <c r="C530" s="18" t="s">
        <v>97</v>
      </c>
      <c r="D530" s="18">
        <v>1</v>
      </c>
      <c r="E530" s="17" t="s">
        <v>98</v>
      </c>
      <c r="F530" s="19">
        <v>708</v>
      </c>
      <c r="G530" s="20">
        <f>F530+(VLOOKUP(D530,'(Semelles.Monument.€HT)'!C:G,3,FALSE()))</f>
        <v>866</v>
      </c>
      <c r="H530" s="21">
        <f>F530+(VLOOKUP(D530,'(Semelles.Monument.€HT)'!C:G,4,FALSE()))</f>
        <v>912</v>
      </c>
      <c r="I530" s="22">
        <f>F530+(VLOOKUP(D530,'(Semelles.Monument.€HT)'!C:G,5,FALSE()))</f>
        <v>960</v>
      </c>
    </row>
    <row r="531" spans="1:9" ht="26" customHeight="1">
      <c r="A531" s="2" t="s">
        <v>156</v>
      </c>
      <c r="B531" s="13" t="s">
        <v>158</v>
      </c>
      <c r="C531" s="13" t="s">
        <v>97</v>
      </c>
      <c r="D531" s="13">
        <v>2</v>
      </c>
      <c r="E531" s="2" t="s">
        <v>99</v>
      </c>
      <c r="F531" s="7">
        <v>707</v>
      </c>
      <c r="G531" s="3">
        <f>F531+(VLOOKUP(D531,'(Semelles.Monument.€HT)'!C:G,3,FALSE()))</f>
        <v>865</v>
      </c>
      <c r="H531" s="4">
        <f>F531+(VLOOKUP(D531,'(Semelles.Monument.€HT)'!C:G,4,FALSE()))</f>
        <v>911</v>
      </c>
      <c r="I531" s="5">
        <f>F531+(VLOOKUP(D531,'(Semelles.Monument.€HT)'!C:G,5,FALSE()))</f>
        <v>959</v>
      </c>
    </row>
    <row r="532" spans="1:9" ht="26" customHeight="1">
      <c r="A532" s="17" t="s">
        <v>156</v>
      </c>
      <c r="B532" s="18" t="s">
        <v>158</v>
      </c>
      <c r="C532" s="18" t="s">
        <v>97</v>
      </c>
      <c r="D532" s="18">
        <v>3</v>
      </c>
      <c r="E532" s="17" t="s">
        <v>100</v>
      </c>
      <c r="F532" s="19">
        <v>786</v>
      </c>
      <c r="G532" s="20">
        <f>F532+(VLOOKUP(D532,'(Semelles.Monument.€HT)'!C:G,3,FALSE()))</f>
        <v>962</v>
      </c>
      <c r="H532" s="21">
        <f>F532+(VLOOKUP(D532,'(Semelles.Monument.€HT)'!C:G,4,FALSE()))</f>
        <v>1013</v>
      </c>
      <c r="I532" s="22">
        <f>F532+(VLOOKUP(D532,'(Semelles.Monument.€HT)'!C:G,5,FALSE()))</f>
        <v>1066</v>
      </c>
    </row>
    <row r="533" spans="1:9" ht="26" customHeight="1">
      <c r="A533" s="2" t="s">
        <v>156</v>
      </c>
      <c r="B533" s="13" t="s">
        <v>158</v>
      </c>
      <c r="C533" s="13" t="s">
        <v>97</v>
      </c>
      <c r="D533" s="13">
        <v>4</v>
      </c>
      <c r="E533" s="2" t="s">
        <v>101</v>
      </c>
      <c r="F533" s="7">
        <v>799</v>
      </c>
      <c r="G533" s="3">
        <f>F533+(VLOOKUP(D533,'(Semelles.Monument.€HT)'!C:G,3,FALSE()))</f>
        <v>978</v>
      </c>
      <c r="H533" s="4">
        <f>F533+(VLOOKUP(D533,'(Semelles.Monument.€HT)'!C:G,4,FALSE()))</f>
        <v>1030</v>
      </c>
      <c r="I533" s="5">
        <f>F533+(VLOOKUP(D533,'(Semelles.Monument.€HT)'!C:G,5,FALSE()))</f>
        <v>1084</v>
      </c>
    </row>
    <row r="534" spans="1:9" ht="26" customHeight="1">
      <c r="A534" s="17" t="s">
        <v>156</v>
      </c>
      <c r="B534" s="18" t="s">
        <v>158</v>
      </c>
      <c r="C534" s="18" t="s">
        <v>97</v>
      </c>
      <c r="D534" s="18">
        <v>5</v>
      </c>
      <c r="E534" s="17" t="s">
        <v>102</v>
      </c>
      <c r="F534" s="19">
        <v>799</v>
      </c>
      <c r="G534" s="20">
        <f>F534+(VLOOKUP(D534,'(Semelles.Monument.€HT)'!C:G,3,FALSE()))</f>
        <v>978</v>
      </c>
      <c r="H534" s="21">
        <f>F534+(VLOOKUP(D534,'(Semelles.Monument.€HT)'!C:G,4,FALSE()))</f>
        <v>1030</v>
      </c>
      <c r="I534" s="22">
        <f>F534+(VLOOKUP(D534,'(Semelles.Monument.€HT)'!C:G,5,FALSE()))</f>
        <v>1084</v>
      </c>
    </row>
    <row r="535" spans="1:9" ht="26" customHeight="1">
      <c r="A535" s="2" t="s">
        <v>156</v>
      </c>
      <c r="B535" s="13" t="s">
        <v>158</v>
      </c>
      <c r="C535" s="13" t="s">
        <v>97</v>
      </c>
      <c r="D535" s="13">
        <v>6</v>
      </c>
      <c r="E535" s="2" t="s">
        <v>103</v>
      </c>
      <c r="F535" s="7">
        <v>803</v>
      </c>
      <c r="G535" s="3">
        <f>F535+(VLOOKUP(D535,'(Semelles.Monument.€HT)'!C:G,3,FALSE()))</f>
        <v>983</v>
      </c>
      <c r="H535" s="4">
        <f>F535+(VLOOKUP(D535,'(Semelles.Monument.€HT)'!C:G,4,FALSE()))</f>
        <v>1035</v>
      </c>
      <c r="I535" s="5">
        <f>F535+(VLOOKUP(D535,'(Semelles.Monument.€HT)'!C:G,5,FALSE()))</f>
        <v>1090</v>
      </c>
    </row>
    <row r="536" spans="1:9" ht="26" customHeight="1">
      <c r="A536" s="17" t="s">
        <v>156</v>
      </c>
      <c r="B536" s="18" t="s">
        <v>158</v>
      </c>
      <c r="C536" s="18" t="s">
        <v>97</v>
      </c>
      <c r="D536" s="18">
        <v>7</v>
      </c>
      <c r="E536" s="17" t="s">
        <v>104</v>
      </c>
      <c r="F536" s="19">
        <v>803</v>
      </c>
      <c r="G536" s="20">
        <f>F536+(VLOOKUP(D536,'(Semelles.Monument.€HT)'!C:G,3,FALSE()))</f>
        <v>983</v>
      </c>
      <c r="H536" s="21">
        <f>F536+(VLOOKUP(D536,'(Semelles.Monument.€HT)'!C:G,4,FALSE()))</f>
        <v>1035</v>
      </c>
      <c r="I536" s="22">
        <f>F536+(VLOOKUP(D536,'(Semelles.Monument.€HT)'!C:G,5,FALSE()))</f>
        <v>1090</v>
      </c>
    </row>
    <row r="537" spans="1:9" ht="26" customHeight="1">
      <c r="A537" s="2" t="s">
        <v>156</v>
      </c>
      <c r="B537" s="13" t="s">
        <v>158</v>
      </c>
      <c r="C537" s="13" t="s">
        <v>97</v>
      </c>
      <c r="D537" s="13">
        <v>8</v>
      </c>
      <c r="E537" s="2" t="s">
        <v>105</v>
      </c>
      <c r="F537" s="7">
        <v>803</v>
      </c>
      <c r="G537" s="3">
        <f>F537+(VLOOKUP(D537,'(Semelles.Monument.€HT)'!C:G,3,FALSE()))</f>
        <v>983</v>
      </c>
      <c r="H537" s="4">
        <f>F537+(VLOOKUP(D537,'(Semelles.Monument.€HT)'!C:G,4,FALSE()))</f>
        <v>1035</v>
      </c>
      <c r="I537" s="5">
        <f>F537+(VLOOKUP(D537,'(Semelles.Monument.€HT)'!C:G,5,FALSE()))</f>
        <v>1090</v>
      </c>
    </row>
    <row r="538" spans="1:9" ht="26" customHeight="1">
      <c r="A538" s="17" t="s">
        <v>156</v>
      </c>
      <c r="B538" s="18" t="s">
        <v>158</v>
      </c>
      <c r="C538" s="18" t="s">
        <v>97</v>
      </c>
      <c r="D538" s="18">
        <v>9</v>
      </c>
      <c r="E538" s="17" t="s">
        <v>106</v>
      </c>
      <c r="F538" s="19">
        <v>803</v>
      </c>
      <c r="G538" s="20">
        <f>F538+(VLOOKUP(D538,'(Semelles.Monument.€HT)'!C:G,3,FALSE()))</f>
        <v>983</v>
      </c>
      <c r="H538" s="21">
        <f>F538+(VLOOKUP(D538,'(Semelles.Monument.€HT)'!C:G,4,FALSE()))</f>
        <v>1035</v>
      </c>
      <c r="I538" s="22">
        <f>F538+(VLOOKUP(D538,'(Semelles.Monument.€HT)'!C:G,5,FALSE()))</f>
        <v>1090</v>
      </c>
    </row>
    <row r="539" spans="1:9" ht="26" customHeight="1">
      <c r="A539" s="2" t="s">
        <v>156</v>
      </c>
      <c r="B539" s="13" t="s">
        <v>158</v>
      </c>
      <c r="C539" s="13" t="s">
        <v>97</v>
      </c>
      <c r="D539" s="13">
        <v>10</v>
      </c>
      <c r="E539" s="2" t="s">
        <v>107</v>
      </c>
      <c r="F539" s="7">
        <v>803</v>
      </c>
      <c r="G539" s="3">
        <f>F539+(VLOOKUP(D539,'(Semelles.Monument.€HT)'!C:G,3,FALSE()))</f>
        <v>983</v>
      </c>
      <c r="H539" s="4">
        <f>F539+(VLOOKUP(D539,'(Semelles.Monument.€HT)'!C:G,4,FALSE()))</f>
        <v>1035</v>
      </c>
      <c r="I539" s="5">
        <f>F539+(VLOOKUP(D539,'(Semelles.Monument.€HT)'!C:G,5,FALSE()))</f>
        <v>1090</v>
      </c>
    </row>
    <row r="540" spans="1:9" ht="26" customHeight="1">
      <c r="A540" s="17" t="s">
        <v>156</v>
      </c>
      <c r="B540" s="18" t="s">
        <v>158</v>
      </c>
      <c r="C540" s="18" t="s">
        <v>97</v>
      </c>
      <c r="D540" s="18">
        <v>11</v>
      </c>
      <c r="E540" s="17" t="s">
        <v>108</v>
      </c>
      <c r="F540" s="19">
        <v>803</v>
      </c>
      <c r="G540" s="20">
        <f>F540+(VLOOKUP(D540,'(Semelles.Monument.€HT)'!C:G,3,FALSE()))</f>
        <v>983</v>
      </c>
      <c r="H540" s="21">
        <f>F540+(VLOOKUP(D540,'(Semelles.Monument.€HT)'!C:G,4,FALSE()))</f>
        <v>1035</v>
      </c>
      <c r="I540" s="22">
        <f>F540+(VLOOKUP(D540,'(Semelles.Monument.€HT)'!C:G,5,FALSE()))</f>
        <v>1090</v>
      </c>
    </row>
    <row r="541" spans="1:9" ht="26" customHeight="1">
      <c r="A541" s="2" t="s">
        <v>156</v>
      </c>
      <c r="B541" s="13" t="s">
        <v>158</v>
      </c>
      <c r="C541" s="13" t="s">
        <v>97</v>
      </c>
      <c r="D541" s="13">
        <v>12</v>
      </c>
      <c r="E541" s="2" t="s">
        <v>109</v>
      </c>
      <c r="F541" s="7">
        <v>815</v>
      </c>
      <c r="G541" s="3">
        <f>F541+(VLOOKUP(D541,'(Semelles.Monument.€HT)'!C:G,3,FALSE()))</f>
        <v>997</v>
      </c>
      <c r="H541" s="4">
        <f>F541+(VLOOKUP(D541,'(Semelles.Monument.€HT)'!C:G,4,FALSE()))</f>
        <v>1050</v>
      </c>
      <c r="I541" s="5">
        <f>F541+(VLOOKUP(D541,'(Semelles.Monument.€HT)'!C:G,5,FALSE()))</f>
        <v>1106</v>
      </c>
    </row>
    <row r="542" spans="1:9" ht="26" customHeight="1">
      <c r="A542" s="17" t="s">
        <v>156</v>
      </c>
      <c r="B542" s="18" t="s">
        <v>158</v>
      </c>
      <c r="C542" s="18" t="s">
        <v>97</v>
      </c>
      <c r="D542" s="18">
        <v>13</v>
      </c>
      <c r="E542" s="17" t="s">
        <v>110</v>
      </c>
      <c r="F542" s="19">
        <v>815</v>
      </c>
      <c r="G542" s="20">
        <f>F542+(VLOOKUP(D542,'(Semelles.Monument.€HT)'!C:G,3,FALSE()))</f>
        <v>997</v>
      </c>
      <c r="H542" s="21">
        <f>F542+(VLOOKUP(D542,'(Semelles.Monument.€HT)'!C:G,4,FALSE()))</f>
        <v>1050</v>
      </c>
      <c r="I542" s="22">
        <f>F542+(VLOOKUP(D542,'(Semelles.Monument.€HT)'!C:G,5,FALSE()))</f>
        <v>1106</v>
      </c>
    </row>
    <row r="543" spans="1:9" ht="26" customHeight="1">
      <c r="A543" s="2" t="s">
        <v>156</v>
      </c>
      <c r="B543" s="13" t="s">
        <v>158</v>
      </c>
      <c r="C543" s="13" t="s">
        <v>97</v>
      </c>
      <c r="D543" s="13">
        <v>14</v>
      </c>
      <c r="E543" s="2" t="s">
        <v>111</v>
      </c>
      <c r="F543" s="7">
        <v>818</v>
      </c>
      <c r="G543" s="3">
        <f>F543+(VLOOKUP(D543,'(Semelles.Monument.€HT)'!C:G,3,FALSE()))</f>
        <v>1001</v>
      </c>
      <c r="H543" s="4">
        <f>F543+(VLOOKUP(D543,'(Semelles.Monument.€HT)'!C:G,4,FALSE()))</f>
        <v>1054</v>
      </c>
      <c r="I543" s="5">
        <f>F543+(VLOOKUP(D543,'(Semelles.Monument.€HT)'!C:G,5,FALSE()))</f>
        <v>1110</v>
      </c>
    </row>
    <row r="544" spans="1:9" ht="26" customHeight="1">
      <c r="A544" s="17" t="s">
        <v>156</v>
      </c>
      <c r="B544" s="18" t="s">
        <v>158</v>
      </c>
      <c r="C544" s="18" t="s">
        <v>97</v>
      </c>
      <c r="D544" s="18">
        <v>15</v>
      </c>
      <c r="E544" s="17" t="s">
        <v>112</v>
      </c>
      <c r="F544" s="19">
        <v>818</v>
      </c>
      <c r="G544" s="20">
        <f>F544+(VLOOKUP(D544,'(Semelles.Monument.€HT)'!C:G,3,FALSE()))</f>
        <v>1001</v>
      </c>
      <c r="H544" s="21">
        <f>F544+(VLOOKUP(D544,'(Semelles.Monument.€HT)'!C:G,4,FALSE()))</f>
        <v>1054</v>
      </c>
      <c r="I544" s="22">
        <f>F544+(VLOOKUP(D544,'(Semelles.Monument.€HT)'!C:G,5,FALSE()))</f>
        <v>1110</v>
      </c>
    </row>
    <row r="545" spans="1:9" ht="26" customHeight="1">
      <c r="A545" s="2" t="s">
        <v>156</v>
      </c>
      <c r="B545" s="13" t="s">
        <v>158</v>
      </c>
      <c r="C545" s="13" t="s">
        <v>97</v>
      </c>
      <c r="D545" s="13">
        <v>16</v>
      </c>
      <c r="E545" s="2" t="s">
        <v>113</v>
      </c>
      <c r="F545" s="7">
        <v>818</v>
      </c>
      <c r="G545" s="3">
        <f>F545+(VLOOKUP(D545,'(Semelles.Monument.€HT)'!C:G,3,FALSE()))</f>
        <v>1001</v>
      </c>
      <c r="H545" s="4">
        <f>F545+(VLOOKUP(D545,'(Semelles.Monument.€HT)'!C:G,4,FALSE()))</f>
        <v>1054</v>
      </c>
      <c r="I545" s="5">
        <f>F545+(VLOOKUP(D545,'(Semelles.Monument.€HT)'!C:G,5,FALSE()))</f>
        <v>1110</v>
      </c>
    </row>
    <row r="546" spans="1:9" ht="26" customHeight="1">
      <c r="A546" s="17" t="s">
        <v>156</v>
      </c>
      <c r="B546" s="18" t="s">
        <v>158</v>
      </c>
      <c r="C546" s="18" t="s">
        <v>97</v>
      </c>
      <c r="D546" s="18">
        <v>17</v>
      </c>
      <c r="E546" s="17" t="s">
        <v>114</v>
      </c>
      <c r="F546" s="19">
        <v>832</v>
      </c>
      <c r="G546" s="20">
        <f>F546+(VLOOKUP(D546,'(Semelles.Monument.€HT)'!C:G,3,FALSE()))</f>
        <v>1018</v>
      </c>
      <c r="H546" s="21">
        <f>F546+(VLOOKUP(D546,'(Semelles.Monument.€HT)'!C:G,4,FALSE()))</f>
        <v>1072</v>
      </c>
      <c r="I546" s="22">
        <f>F546+(VLOOKUP(D546,'(Semelles.Monument.€HT)'!C:G,5,FALSE()))</f>
        <v>1129</v>
      </c>
    </row>
    <row r="547" spans="1:9" ht="26" customHeight="1">
      <c r="A547" s="2" t="s">
        <v>156</v>
      </c>
      <c r="B547" s="13" t="s">
        <v>158</v>
      </c>
      <c r="C547" s="13" t="s">
        <v>97</v>
      </c>
      <c r="D547" s="13">
        <v>18</v>
      </c>
      <c r="E547" s="2" t="s">
        <v>115</v>
      </c>
      <c r="F547" s="7">
        <v>832</v>
      </c>
      <c r="G547" s="3">
        <f>F547+(VLOOKUP(D547,'(Semelles.Monument.€HT)'!C:G,3,FALSE()))</f>
        <v>1018</v>
      </c>
      <c r="H547" s="4">
        <f>F547+(VLOOKUP(D547,'(Semelles.Monument.€HT)'!C:G,4,FALSE()))</f>
        <v>1072</v>
      </c>
      <c r="I547" s="5">
        <f>F547+(VLOOKUP(D547,'(Semelles.Monument.€HT)'!C:G,5,FALSE()))</f>
        <v>1129</v>
      </c>
    </row>
    <row r="548" spans="1:9" ht="26" customHeight="1">
      <c r="A548" s="17" t="s">
        <v>156</v>
      </c>
      <c r="B548" s="18" t="s">
        <v>158</v>
      </c>
      <c r="C548" s="18" t="s">
        <v>97</v>
      </c>
      <c r="D548" s="18">
        <v>19</v>
      </c>
      <c r="E548" s="17" t="s">
        <v>116</v>
      </c>
      <c r="F548" s="19">
        <v>832</v>
      </c>
      <c r="G548" s="20">
        <f>F548+(VLOOKUP(D548,'(Semelles.Monument.€HT)'!C:G,3,FALSE()))</f>
        <v>1018</v>
      </c>
      <c r="H548" s="21">
        <f>F548+(VLOOKUP(D548,'(Semelles.Monument.€HT)'!C:G,4,FALSE()))</f>
        <v>1072</v>
      </c>
      <c r="I548" s="22">
        <f>F548+(VLOOKUP(D548,'(Semelles.Monument.€HT)'!C:G,5,FALSE()))</f>
        <v>1129</v>
      </c>
    </row>
    <row r="549" spans="1:9" ht="26" customHeight="1">
      <c r="A549" s="2" t="s">
        <v>156</v>
      </c>
      <c r="B549" s="13" t="s">
        <v>158</v>
      </c>
      <c r="C549" s="13" t="s">
        <v>97</v>
      </c>
      <c r="D549" s="13">
        <v>20</v>
      </c>
      <c r="E549" s="2" t="s">
        <v>117</v>
      </c>
      <c r="F549" s="7">
        <v>838</v>
      </c>
      <c r="G549" s="3">
        <f>F549+(VLOOKUP(D549,'(Semelles.Monument.€HT)'!C:G,3,FALSE()))</f>
        <v>1026</v>
      </c>
      <c r="H549" s="4">
        <f>F549+(VLOOKUP(D549,'(Semelles.Monument.€HT)'!C:G,4,FALSE()))</f>
        <v>1080</v>
      </c>
      <c r="I549" s="5">
        <f>F549+(VLOOKUP(D549,'(Semelles.Monument.€HT)'!C:G,5,FALSE()))</f>
        <v>1137</v>
      </c>
    </row>
    <row r="550" spans="1:9" ht="26" customHeight="1">
      <c r="A550" s="17" t="s">
        <v>156</v>
      </c>
      <c r="B550" s="18" t="s">
        <v>158</v>
      </c>
      <c r="C550" s="18" t="s">
        <v>97</v>
      </c>
      <c r="D550" s="18">
        <v>21</v>
      </c>
      <c r="E550" s="17" t="s">
        <v>118</v>
      </c>
      <c r="F550" s="19">
        <v>843</v>
      </c>
      <c r="G550" s="20">
        <f>F550+(VLOOKUP(D550,'(Semelles.Monument.€HT)'!C:G,3,FALSE()))</f>
        <v>1032</v>
      </c>
      <c r="H550" s="21">
        <f>F550+(VLOOKUP(D550,'(Semelles.Monument.€HT)'!C:G,4,FALSE()))</f>
        <v>1086</v>
      </c>
      <c r="I550" s="22">
        <f>F550+(VLOOKUP(D550,'(Semelles.Monument.€HT)'!C:G,5,FALSE()))</f>
        <v>1144</v>
      </c>
    </row>
    <row r="551" spans="1:9" ht="26" customHeight="1">
      <c r="A551" s="2" t="s">
        <v>156</v>
      </c>
      <c r="B551" s="13" t="s">
        <v>158</v>
      </c>
      <c r="C551" s="13" t="s">
        <v>97</v>
      </c>
      <c r="D551" s="13">
        <v>22</v>
      </c>
      <c r="E551" s="2" t="s">
        <v>119</v>
      </c>
      <c r="F551" s="7">
        <v>843</v>
      </c>
      <c r="G551" s="3">
        <f>F551+(VLOOKUP(D551,'(Semelles.Monument.€HT)'!C:G,3,FALSE()))</f>
        <v>1032</v>
      </c>
      <c r="H551" s="4">
        <f>F551+(VLOOKUP(D551,'(Semelles.Monument.€HT)'!C:G,4,FALSE()))</f>
        <v>1086</v>
      </c>
      <c r="I551" s="5">
        <f>F551+(VLOOKUP(D551,'(Semelles.Monument.€HT)'!C:G,5,FALSE()))</f>
        <v>1144</v>
      </c>
    </row>
    <row r="552" spans="1:9" ht="26" customHeight="1">
      <c r="A552" s="17" t="s">
        <v>156</v>
      </c>
      <c r="B552" s="18" t="s">
        <v>158</v>
      </c>
      <c r="C552" s="18" t="s">
        <v>97</v>
      </c>
      <c r="D552" s="18">
        <v>23</v>
      </c>
      <c r="E552" s="17" t="s">
        <v>120</v>
      </c>
      <c r="F552" s="19">
        <v>856</v>
      </c>
      <c r="G552" s="20">
        <f>F552+(VLOOKUP(D552,'(Semelles.Monument.€HT)'!C:G,3,FALSE()))</f>
        <v>1048</v>
      </c>
      <c r="H552" s="21">
        <f>F552+(VLOOKUP(D552,'(Semelles.Monument.€HT)'!C:G,4,FALSE()))</f>
        <v>1103</v>
      </c>
      <c r="I552" s="22">
        <f>F552+(VLOOKUP(D552,'(Semelles.Monument.€HT)'!C:G,5,FALSE()))</f>
        <v>1161</v>
      </c>
    </row>
    <row r="553" spans="1:9" ht="26" customHeight="1">
      <c r="A553" s="2" t="s">
        <v>156</v>
      </c>
      <c r="B553" s="13" t="s">
        <v>158</v>
      </c>
      <c r="C553" s="13" t="s">
        <v>97</v>
      </c>
      <c r="D553" s="13">
        <v>24</v>
      </c>
      <c r="E553" s="2" t="s">
        <v>121</v>
      </c>
      <c r="F553" s="7">
        <v>856</v>
      </c>
      <c r="G553" s="3">
        <f>F553+(VLOOKUP(D553,'(Semelles.Monument.€HT)'!C:G,3,FALSE()))</f>
        <v>1048</v>
      </c>
      <c r="H553" s="4">
        <f>F553+(VLOOKUP(D553,'(Semelles.Monument.€HT)'!C:G,4,FALSE()))</f>
        <v>1103</v>
      </c>
      <c r="I553" s="5">
        <f>F553+(VLOOKUP(D553,'(Semelles.Monument.€HT)'!C:G,5,FALSE()))</f>
        <v>1161</v>
      </c>
    </row>
    <row r="554" spans="1:9" ht="26" customHeight="1">
      <c r="A554" s="17" t="s">
        <v>156</v>
      </c>
      <c r="B554" s="18" t="s">
        <v>158</v>
      </c>
      <c r="C554" s="18" t="s">
        <v>97</v>
      </c>
      <c r="D554" s="18">
        <v>25</v>
      </c>
      <c r="E554" s="17" t="s">
        <v>122</v>
      </c>
      <c r="F554" s="19">
        <v>856</v>
      </c>
      <c r="G554" s="20">
        <f>F554+(VLOOKUP(D554,'(Semelles.Monument.€HT)'!C:G,3,FALSE()))</f>
        <v>1048</v>
      </c>
      <c r="H554" s="21">
        <f>F554+(VLOOKUP(D554,'(Semelles.Monument.€HT)'!C:G,4,FALSE()))</f>
        <v>1103</v>
      </c>
      <c r="I554" s="22">
        <f>F554+(VLOOKUP(D554,'(Semelles.Monument.€HT)'!C:G,5,FALSE()))</f>
        <v>1161</v>
      </c>
    </row>
    <row r="555" spans="1:9" ht="26" customHeight="1">
      <c r="A555" s="2" t="s">
        <v>156</v>
      </c>
      <c r="B555" s="13" t="s">
        <v>158</v>
      </c>
      <c r="C555" s="13" t="s">
        <v>97</v>
      </c>
      <c r="D555" s="13">
        <v>26</v>
      </c>
      <c r="E555" s="2" t="s">
        <v>123</v>
      </c>
      <c r="F555" s="7">
        <v>871</v>
      </c>
      <c r="G555" s="3">
        <f>F555+(VLOOKUP(D555,'(Semelles.Monument.€HT)'!C:G,3,FALSE()))</f>
        <v>1066</v>
      </c>
      <c r="H555" s="4">
        <f>F555+(VLOOKUP(D555,'(Semelles.Monument.€HT)'!C:G,4,FALSE()))</f>
        <v>1122</v>
      </c>
      <c r="I555" s="5">
        <f>F555+(VLOOKUP(D555,'(Semelles.Monument.€HT)'!C:G,5,FALSE()))</f>
        <v>1181</v>
      </c>
    </row>
    <row r="556" spans="1:9" ht="26" customHeight="1">
      <c r="A556" s="17" t="s">
        <v>156</v>
      </c>
      <c r="B556" s="18" t="s">
        <v>158</v>
      </c>
      <c r="C556" s="18" t="s">
        <v>97</v>
      </c>
      <c r="D556" s="18">
        <v>27</v>
      </c>
      <c r="E556" s="17" t="s">
        <v>124</v>
      </c>
      <c r="F556" s="19">
        <v>928</v>
      </c>
      <c r="G556" s="20">
        <f>F556+(VLOOKUP(D556,'(Semelles.Monument.€HT)'!C:G,3,FALSE()))</f>
        <v>1136</v>
      </c>
      <c r="H556" s="21">
        <f>F556+(VLOOKUP(D556,'(Semelles.Monument.€HT)'!C:G,4,FALSE()))</f>
        <v>1196</v>
      </c>
      <c r="I556" s="22">
        <f>F556+(VLOOKUP(D556,'(Semelles.Monument.€HT)'!C:G,5,FALSE()))</f>
        <v>1295</v>
      </c>
    </row>
    <row r="557" spans="1:9" ht="26" customHeight="1">
      <c r="A557" s="2" t="s">
        <v>156</v>
      </c>
      <c r="B557" s="13" t="s">
        <v>158</v>
      </c>
      <c r="C557" s="13" t="s">
        <v>97</v>
      </c>
      <c r="D557" s="13">
        <v>28</v>
      </c>
      <c r="E557" s="2" t="s">
        <v>125</v>
      </c>
      <c r="F557" s="7">
        <v>1028</v>
      </c>
      <c r="G557" s="3">
        <f>F557+(VLOOKUP(D557,'(Semelles.Monument.€HT)'!C:G,3,FALSE()))</f>
        <v>1258</v>
      </c>
      <c r="H557" s="4">
        <f>F557+(VLOOKUP(D557,'(Semelles.Monument.€HT)'!C:G,4,FALSE()))</f>
        <v>1325</v>
      </c>
      <c r="I557" s="5">
        <f>F557+(VLOOKUP(D557,'(Semelles.Monument.€HT)'!C:G,5,FALSE()))</f>
        <v>1395</v>
      </c>
    </row>
    <row r="558" spans="1:9" ht="26" customHeight="1">
      <c r="A558" s="17" t="s">
        <v>156</v>
      </c>
      <c r="B558" s="18" t="s">
        <v>158</v>
      </c>
      <c r="C558" s="18" t="s">
        <v>97</v>
      </c>
      <c r="D558" s="18">
        <v>29</v>
      </c>
      <c r="E558" s="17" t="s">
        <v>126</v>
      </c>
      <c r="F558" s="19">
        <v>1071</v>
      </c>
      <c r="G558" s="20">
        <f>F558+(VLOOKUP(D558,'(Semelles.Monument.€HT)'!C:G,3,FALSE()))</f>
        <v>1311</v>
      </c>
      <c r="H558" s="21">
        <f>F558+(VLOOKUP(D558,'(Semelles.Monument.€HT)'!C:G,4,FALSE()))</f>
        <v>1380</v>
      </c>
      <c r="I558" s="22">
        <f>F558+(VLOOKUP(D558,'(Semelles.Monument.€HT)'!C:G,5,FALSE()))</f>
        <v>1453</v>
      </c>
    </row>
    <row r="559" spans="1:9" ht="26" customHeight="1">
      <c r="A559" s="2" t="s">
        <v>156</v>
      </c>
      <c r="B559" s="13" t="s">
        <v>158</v>
      </c>
      <c r="C559" s="13" t="s">
        <v>97</v>
      </c>
      <c r="D559" s="13">
        <v>30</v>
      </c>
      <c r="E559" s="2" t="s">
        <v>127</v>
      </c>
      <c r="F559" s="7">
        <v>1071</v>
      </c>
      <c r="G559" s="3">
        <f>F559+(VLOOKUP(D559,'(Semelles.Monument.€HT)'!C:G,3,FALSE()))</f>
        <v>1311</v>
      </c>
      <c r="H559" s="4">
        <f>F559+(VLOOKUP(D559,'(Semelles.Monument.€HT)'!C:G,4,FALSE()))</f>
        <v>1380</v>
      </c>
      <c r="I559" s="5">
        <f>F559+(VLOOKUP(D559,'(Semelles.Monument.€HT)'!C:G,5,FALSE()))</f>
        <v>1453</v>
      </c>
    </row>
    <row r="560" spans="1:9" ht="26" customHeight="1">
      <c r="A560" s="17" t="s">
        <v>156</v>
      </c>
      <c r="B560" s="18" t="s">
        <v>158</v>
      </c>
      <c r="C560" s="18" t="s">
        <v>128</v>
      </c>
      <c r="D560" s="18">
        <v>31</v>
      </c>
      <c r="E560" s="17" t="s">
        <v>129</v>
      </c>
      <c r="F560" s="19">
        <v>619</v>
      </c>
      <c r="G560" s="20">
        <f>F560+(VLOOKUP(D560,'(Semelles.Monument.€HT)'!C:G,3,FALSE()))</f>
        <v>751</v>
      </c>
      <c r="H560" s="21">
        <f>F560+(VLOOKUP(D560,'(Semelles.Monument.€HT)'!C:G,4,FALSE()))</f>
        <v>789</v>
      </c>
      <c r="I560" s="22">
        <f>F560+(VLOOKUP(D560,'(Semelles.Monument.€HT)'!C:G,5,FALSE()))</f>
        <v>829</v>
      </c>
    </row>
    <row r="561" spans="1:9" ht="26" customHeight="1">
      <c r="A561" s="2" t="s">
        <v>156</v>
      </c>
      <c r="B561" s="13" t="s">
        <v>158</v>
      </c>
      <c r="C561" s="13" t="s">
        <v>128</v>
      </c>
      <c r="D561" s="13">
        <v>32</v>
      </c>
      <c r="E561" s="2" t="s">
        <v>130</v>
      </c>
      <c r="F561" s="7">
        <v>628</v>
      </c>
      <c r="G561" s="3">
        <f>F561+(VLOOKUP(D561,'(Semelles.Monument.€HT)'!C:G,3,FALSE()))</f>
        <v>762</v>
      </c>
      <c r="H561" s="4">
        <f>F561+(VLOOKUP(D561,'(Semelles.Monument.€HT)'!C:G,4,FALSE()))</f>
        <v>801</v>
      </c>
      <c r="I561" s="5">
        <f>F561+(VLOOKUP(D561,'(Semelles.Monument.€HT)'!C:G,5,FALSE()))</f>
        <v>841</v>
      </c>
    </row>
    <row r="562" spans="1:9" ht="26" customHeight="1">
      <c r="A562" s="17" t="s">
        <v>156</v>
      </c>
      <c r="B562" s="18" t="s">
        <v>158</v>
      </c>
      <c r="C562" s="18" t="s">
        <v>128</v>
      </c>
      <c r="D562" s="18">
        <v>33</v>
      </c>
      <c r="E562" s="17" t="s">
        <v>131</v>
      </c>
      <c r="F562" s="19">
        <v>628</v>
      </c>
      <c r="G562" s="20">
        <f>F562+(VLOOKUP(D562,'(Semelles.Monument.€HT)'!C:G,3,FALSE()))</f>
        <v>762</v>
      </c>
      <c r="H562" s="21">
        <f>F562+(VLOOKUP(D562,'(Semelles.Monument.€HT)'!C:G,4,FALSE()))</f>
        <v>801</v>
      </c>
      <c r="I562" s="22">
        <f>F562+(VLOOKUP(D562,'(Semelles.Monument.€HT)'!C:G,5,FALSE()))</f>
        <v>841</v>
      </c>
    </row>
    <row r="563" spans="1:9" ht="26" customHeight="1">
      <c r="A563" s="2" t="s">
        <v>156</v>
      </c>
      <c r="B563" s="13" t="s">
        <v>158</v>
      </c>
      <c r="C563" s="13" t="s">
        <v>128</v>
      </c>
      <c r="D563" s="13">
        <v>34</v>
      </c>
      <c r="E563" s="2" t="s">
        <v>132</v>
      </c>
      <c r="F563" s="7">
        <v>634</v>
      </c>
      <c r="G563" s="3">
        <f>F563+(VLOOKUP(D563,'(Semelles.Monument.€HT)'!C:G,3,FALSE()))</f>
        <v>769</v>
      </c>
      <c r="H563" s="4">
        <f>F563+(VLOOKUP(D563,'(Semelles.Monument.€HT)'!C:G,4,FALSE()))</f>
        <v>808</v>
      </c>
      <c r="I563" s="5">
        <f>F563+(VLOOKUP(D563,'(Semelles.Monument.€HT)'!C:G,5,FALSE()))</f>
        <v>849</v>
      </c>
    </row>
    <row r="564" spans="1:9" ht="26" customHeight="1">
      <c r="A564" s="17" t="s">
        <v>156</v>
      </c>
      <c r="B564" s="18" t="s">
        <v>158</v>
      </c>
      <c r="C564" s="18" t="s">
        <v>128</v>
      </c>
      <c r="D564" s="18">
        <v>35</v>
      </c>
      <c r="E564" s="17" t="s">
        <v>133</v>
      </c>
      <c r="F564" s="19">
        <v>757</v>
      </c>
      <c r="G564" s="20">
        <f>F564+(VLOOKUP(D564,'(Semelles.Monument.€HT)'!C:G,3,FALSE()))</f>
        <v>920</v>
      </c>
      <c r="H564" s="21">
        <f>F564+(VLOOKUP(D564,'(Semelles.Monument.€HT)'!C:G,4,FALSE()))</f>
        <v>967</v>
      </c>
      <c r="I564" s="22">
        <f>F564+(VLOOKUP(D564,'(Semelles.Monument.€HT)'!C:G,5,FALSE()))</f>
        <v>1016</v>
      </c>
    </row>
    <row r="565" spans="1:9" ht="26" customHeight="1">
      <c r="A565" s="2" t="s">
        <v>156</v>
      </c>
      <c r="B565" s="13" t="s">
        <v>158</v>
      </c>
      <c r="C565" s="13" t="s">
        <v>128</v>
      </c>
      <c r="D565" s="13">
        <v>36</v>
      </c>
      <c r="E565" s="2" t="s">
        <v>134</v>
      </c>
      <c r="F565" s="7">
        <v>782</v>
      </c>
      <c r="G565" s="3">
        <f>F565+(VLOOKUP(D565,'(Semelles.Monument.€HT)'!C:G,3,FALSE()))</f>
        <v>950</v>
      </c>
      <c r="H565" s="4">
        <f>F565+(VLOOKUP(D565,'(Semelles.Monument.€HT)'!C:G,4,FALSE()))</f>
        <v>999</v>
      </c>
      <c r="I565" s="5">
        <f>F565+(VLOOKUP(D565,'(Semelles.Monument.€HT)'!C:G,5,FALSE()))</f>
        <v>1050</v>
      </c>
    </row>
    <row r="566" spans="1:9" ht="26" customHeight="1">
      <c r="A566" s="17" t="s">
        <v>156</v>
      </c>
      <c r="B566" s="18" t="s">
        <v>158</v>
      </c>
      <c r="C566" s="18" t="s">
        <v>128</v>
      </c>
      <c r="D566" s="18">
        <v>37</v>
      </c>
      <c r="E566" s="17" t="s">
        <v>135</v>
      </c>
      <c r="F566" s="19">
        <v>960</v>
      </c>
      <c r="G566" s="20">
        <f>F566+(VLOOKUP(D566,'(Semelles.Monument.€HT)'!C:G,3,FALSE()))</f>
        <v>1168</v>
      </c>
      <c r="H566" s="21">
        <f>F566+(VLOOKUP(D566,'(Semelles.Monument.€HT)'!C:G,4,FALSE()))</f>
        <v>1228</v>
      </c>
      <c r="I566" s="22">
        <f>F566+(VLOOKUP(D566,'(Semelles.Monument.€HT)'!C:G,5,FALSE()))</f>
        <v>1292</v>
      </c>
    </row>
    <row r="567" spans="1:9" ht="26" customHeight="1">
      <c r="A567" s="2" t="s">
        <v>156</v>
      </c>
      <c r="B567" s="13" t="s">
        <v>158</v>
      </c>
      <c r="C567" s="13" t="s">
        <v>128</v>
      </c>
      <c r="D567" s="13">
        <v>38</v>
      </c>
      <c r="E567" s="2" t="s">
        <v>136</v>
      </c>
      <c r="F567" s="7">
        <v>1014</v>
      </c>
      <c r="G567" s="3">
        <f>F567+(VLOOKUP(D567,'(Semelles.Monument.€HT)'!C:G,3,FALSE()))</f>
        <v>1234</v>
      </c>
      <c r="H567" s="4">
        <f>F567+(VLOOKUP(D567,'(Semelles.Monument.€HT)'!C:G,4,FALSE()))</f>
        <v>1298</v>
      </c>
      <c r="I567" s="5">
        <f>F567+(VLOOKUP(D567,'(Semelles.Monument.€HT)'!C:G,5,FALSE()))</f>
        <v>1365</v>
      </c>
    </row>
    <row r="568" spans="1:9" ht="26" customHeight="1">
      <c r="A568" s="17" t="s">
        <v>156</v>
      </c>
      <c r="B568" s="18" t="s">
        <v>158</v>
      </c>
      <c r="C568" s="18" t="s">
        <v>128</v>
      </c>
      <c r="D568" s="18">
        <v>39</v>
      </c>
      <c r="E568" s="17" t="s">
        <v>137</v>
      </c>
      <c r="F568" s="19">
        <v>1040</v>
      </c>
      <c r="G568" s="20">
        <f>F568+(VLOOKUP(D568,'(Semelles.Monument.€HT)'!C:G,3,FALSE()))</f>
        <v>1266</v>
      </c>
      <c r="H568" s="21">
        <f>F568+(VLOOKUP(D568,'(Semelles.Monument.€HT)'!C:G,4,FALSE()))</f>
        <v>1331</v>
      </c>
      <c r="I568" s="22">
        <f>F568+(VLOOKUP(D568,'(Semelles.Monument.€HT)'!C:G,5,FALSE()))</f>
        <v>1400</v>
      </c>
    </row>
    <row r="569" spans="1:9" ht="26" customHeight="1">
      <c r="A569" s="2" t="s">
        <v>156</v>
      </c>
      <c r="B569" s="13" t="s">
        <v>158</v>
      </c>
      <c r="C569" s="13" t="s">
        <v>128</v>
      </c>
      <c r="D569" s="13">
        <v>40</v>
      </c>
      <c r="E569" s="2" t="s">
        <v>138</v>
      </c>
      <c r="F569" s="7">
        <v>1068</v>
      </c>
      <c r="G569" s="3">
        <f>F569+(VLOOKUP(D569,'(Semelles.Monument.€HT)'!C:G,3,FALSE()))</f>
        <v>1300</v>
      </c>
      <c r="H569" s="4">
        <f>F569+(VLOOKUP(D569,'(Semelles.Monument.€HT)'!C:G,4,FALSE()))</f>
        <v>1368</v>
      </c>
      <c r="I569" s="5">
        <f>F569+(VLOOKUP(D569,'(Semelles.Monument.€HT)'!C:G,5,FALSE()))</f>
        <v>1438</v>
      </c>
    </row>
    <row r="570" spans="1:9" ht="26" customHeight="1">
      <c r="A570" s="17" t="s">
        <v>156</v>
      </c>
      <c r="B570" s="18" t="s">
        <v>158</v>
      </c>
      <c r="C570" s="18" t="s">
        <v>128</v>
      </c>
      <c r="D570" s="18">
        <v>41</v>
      </c>
      <c r="E570" s="17" t="s">
        <v>139</v>
      </c>
      <c r="F570" s="19">
        <v>1134</v>
      </c>
      <c r="G570" s="20">
        <f>F570+(VLOOKUP(D570,'(Semelles.Monument.€HT)'!C:G,3,FALSE()))</f>
        <v>1381</v>
      </c>
      <c r="H570" s="21">
        <f>F570+(VLOOKUP(D570,'(Semelles.Monument.€HT)'!C:G,4,FALSE()))</f>
        <v>1453</v>
      </c>
      <c r="I570" s="22">
        <f>F570+(VLOOKUP(D570,'(Semelles.Monument.€HT)'!C:G,5,FALSE()))</f>
        <v>1528</v>
      </c>
    </row>
    <row r="571" spans="1:9" ht="26" customHeight="1">
      <c r="A571" s="2" t="s">
        <v>156</v>
      </c>
      <c r="B571" s="13" t="s">
        <v>158</v>
      </c>
      <c r="C571" s="13" t="s">
        <v>128</v>
      </c>
      <c r="D571" s="13">
        <v>42</v>
      </c>
      <c r="E571" s="2" t="s">
        <v>140</v>
      </c>
      <c r="F571" s="7">
        <v>1243</v>
      </c>
      <c r="G571" s="3">
        <f>F571+(VLOOKUP(D571,'(Semelles.Monument.€HT)'!C:G,3,FALSE()))</f>
        <v>1514</v>
      </c>
      <c r="H571" s="4">
        <f>F571+(VLOOKUP(D571,'(Semelles.Monument.€HT)'!C:G,4,FALSE()))</f>
        <v>1593</v>
      </c>
      <c r="I571" s="5">
        <f>F571+(VLOOKUP(D571,'(Semelles.Monument.€HT)'!C:G,5,FALSE()))</f>
        <v>1676</v>
      </c>
    </row>
    <row r="572" spans="1:9" ht="26" customHeight="1">
      <c r="A572" s="17" t="s">
        <v>156</v>
      </c>
      <c r="B572" s="18" t="s">
        <v>158</v>
      </c>
      <c r="C572" s="18" t="s">
        <v>128</v>
      </c>
      <c r="D572" s="18">
        <v>43</v>
      </c>
      <c r="E572" s="17" t="s">
        <v>141</v>
      </c>
      <c r="F572" s="19">
        <v>1243</v>
      </c>
      <c r="G572" s="20">
        <f>F572+(VLOOKUP(D572,'(Semelles.Monument.€HT)'!C:G,3,FALSE()))</f>
        <v>1514</v>
      </c>
      <c r="H572" s="21">
        <f>F572+(VLOOKUP(D572,'(Semelles.Monument.€HT)'!C:G,4,FALSE()))</f>
        <v>1593</v>
      </c>
      <c r="I572" s="22">
        <f>F572+(VLOOKUP(D572,'(Semelles.Monument.€HT)'!C:G,5,FALSE()))</f>
        <v>1676</v>
      </c>
    </row>
    <row r="573" spans="1:9" ht="26" customHeight="1">
      <c r="A573" s="2" t="s">
        <v>156</v>
      </c>
      <c r="B573" s="13" t="s">
        <v>158</v>
      </c>
      <c r="C573" s="13" t="s">
        <v>128</v>
      </c>
      <c r="D573" s="13">
        <v>44</v>
      </c>
      <c r="E573" s="2" t="s">
        <v>142</v>
      </c>
      <c r="F573" s="7">
        <v>1257</v>
      </c>
      <c r="G573" s="3">
        <f>F573+(VLOOKUP(D573,'(Semelles.Monument.€HT)'!C:G,3,FALSE()))</f>
        <v>1532</v>
      </c>
      <c r="H573" s="4">
        <f>F573+(VLOOKUP(D573,'(Semelles.Monument.€HT)'!C:G,4,FALSE()))</f>
        <v>1611</v>
      </c>
      <c r="I573" s="5">
        <f>F573+(VLOOKUP(D573,'(Semelles.Monument.€HT)'!C:G,5,FALSE()))</f>
        <v>1695</v>
      </c>
    </row>
    <row r="574" spans="1:9" ht="26" customHeight="1">
      <c r="A574" s="17" t="s">
        <v>156</v>
      </c>
      <c r="B574" s="18" t="s">
        <v>158</v>
      </c>
      <c r="C574" s="18" t="s">
        <v>128</v>
      </c>
      <c r="D574" s="18">
        <v>45</v>
      </c>
      <c r="E574" s="17" t="s">
        <v>143</v>
      </c>
      <c r="F574" s="19">
        <v>1272</v>
      </c>
      <c r="G574" s="20">
        <f>F574+(VLOOKUP(D574,'(Semelles.Monument.€HT)'!C:G,3,FALSE()))</f>
        <v>1550</v>
      </c>
      <c r="H574" s="21">
        <f>F574+(VLOOKUP(D574,'(Semelles.Monument.€HT)'!C:G,4,FALSE()))</f>
        <v>1630</v>
      </c>
      <c r="I574" s="22">
        <f>F574+(VLOOKUP(D574,'(Semelles.Monument.€HT)'!C:G,5,FALSE()))</f>
        <v>1715</v>
      </c>
    </row>
    <row r="575" spans="1:9" ht="26" customHeight="1">
      <c r="A575" s="2" t="s">
        <v>156</v>
      </c>
      <c r="B575" s="13" t="s">
        <v>158</v>
      </c>
      <c r="C575" s="13" t="s">
        <v>128</v>
      </c>
      <c r="D575" s="13">
        <v>46</v>
      </c>
      <c r="E575" s="2" t="s">
        <v>144</v>
      </c>
      <c r="F575" s="7">
        <v>1272</v>
      </c>
      <c r="G575" s="3">
        <f>F575+(VLOOKUP(D575,'(Semelles.Monument.€HT)'!C:G,3,FALSE()))</f>
        <v>1550</v>
      </c>
      <c r="H575" s="4">
        <f>F575+(VLOOKUP(D575,'(Semelles.Monument.€HT)'!C:G,4,FALSE()))</f>
        <v>1630</v>
      </c>
      <c r="I575" s="5">
        <f>F575+(VLOOKUP(D575,'(Semelles.Monument.€HT)'!C:G,5,FALSE()))</f>
        <v>1715</v>
      </c>
    </row>
    <row r="576" spans="1:9" ht="26" customHeight="1">
      <c r="A576" s="17" t="s">
        <v>156</v>
      </c>
      <c r="B576" s="18" t="s">
        <v>158</v>
      </c>
      <c r="C576" s="18" t="s">
        <v>128</v>
      </c>
      <c r="D576" s="18">
        <v>47</v>
      </c>
      <c r="E576" s="17" t="s">
        <v>145</v>
      </c>
      <c r="F576" s="19">
        <v>1297</v>
      </c>
      <c r="G576" s="20">
        <f>F576+(VLOOKUP(D576,'(Semelles.Monument.€HT)'!C:G,3,FALSE()))</f>
        <v>1581</v>
      </c>
      <c r="H576" s="21">
        <f>F576+(VLOOKUP(D576,'(Semelles.Monument.€HT)'!C:G,4,FALSE()))</f>
        <v>1663</v>
      </c>
      <c r="I576" s="22">
        <f>F576+(VLOOKUP(D576,'(Semelles.Monument.€HT)'!C:G,5,FALSE()))</f>
        <v>1749</v>
      </c>
    </row>
    <row r="577" spans="1:9" ht="26" customHeight="1">
      <c r="A577" s="2" t="s">
        <v>156</v>
      </c>
      <c r="B577" s="13" t="s">
        <v>158</v>
      </c>
      <c r="C577" s="13" t="s">
        <v>128</v>
      </c>
      <c r="D577" s="13">
        <v>48</v>
      </c>
      <c r="E577" s="2" t="s">
        <v>146</v>
      </c>
      <c r="F577" s="7">
        <v>1312</v>
      </c>
      <c r="G577" s="3">
        <f>F577+(VLOOKUP(D577,'(Semelles.Monument.€HT)'!C:G,3,FALSE()))</f>
        <v>1599</v>
      </c>
      <c r="H577" s="4">
        <f>F577+(VLOOKUP(D577,'(Semelles.Monument.€HT)'!C:G,4,FALSE()))</f>
        <v>1682</v>
      </c>
      <c r="I577" s="5">
        <f>F577+(VLOOKUP(D577,'(Semelles.Monument.€HT)'!C:G,5,FALSE()))</f>
        <v>1769</v>
      </c>
    </row>
    <row r="578" spans="1:9" ht="26" customHeight="1">
      <c r="A578" s="17" t="s">
        <v>156</v>
      </c>
      <c r="B578" s="18" t="s">
        <v>159</v>
      </c>
      <c r="C578" s="18" t="s">
        <v>97</v>
      </c>
      <c r="D578" s="18">
        <v>1</v>
      </c>
      <c r="E578" s="17" t="s">
        <v>98</v>
      </c>
      <c r="F578" s="19">
        <v>757</v>
      </c>
      <c r="G578" s="20">
        <f>F578+(VLOOKUP(D578,'(Semelles.Monument.€HT)'!C:G,3,FALSE()))</f>
        <v>915</v>
      </c>
      <c r="H578" s="21">
        <f>F578+(VLOOKUP(D578,'(Semelles.Monument.€HT)'!C:G,4,FALSE()))</f>
        <v>961</v>
      </c>
      <c r="I578" s="22">
        <f>F578+(VLOOKUP(D578,'(Semelles.Monument.€HT)'!C:G,5,FALSE()))</f>
        <v>1009</v>
      </c>
    </row>
    <row r="579" spans="1:9" ht="26" customHeight="1">
      <c r="A579" s="2" t="s">
        <v>156</v>
      </c>
      <c r="B579" s="13" t="s">
        <v>159</v>
      </c>
      <c r="C579" s="13" t="s">
        <v>97</v>
      </c>
      <c r="D579" s="13">
        <v>2</v>
      </c>
      <c r="E579" s="2" t="s">
        <v>99</v>
      </c>
      <c r="F579" s="7">
        <v>756</v>
      </c>
      <c r="G579" s="3">
        <f>F579+(VLOOKUP(D579,'(Semelles.Monument.€HT)'!C:G,3,FALSE()))</f>
        <v>914</v>
      </c>
      <c r="H579" s="4">
        <f>F579+(VLOOKUP(D579,'(Semelles.Monument.€HT)'!C:G,4,FALSE()))</f>
        <v>960</v>
      </c>
      <c r="I579" s="5">
        <f>F579+(VLOOKUP(D579,'(Semelles.Monument.€HT)'!C:G,5,FALSE()))</f>
        <v>1008</v>
      </c>
    </row>
    <row r="580" spans="1:9" ht="26" customHeight="1">
      <c r="A580" s="17" t="s">
        <v>156</v>
      </c>
      <c r="B580" s="18" t="s">
        <v>159</v>
      </c>
      <c r="C580" s="18" t="s">
        <v>97</v>
      </c>
      <c r="D580" s="18">
        <v>3</v>
      </c>
      <c r="E580" s="17" t="s">
        <v>100</v>
      </c>
      <c r="F580" s="19">
        <v>841</v>
      </c>
      <c r="G580" s="20">
        <f>F580+(VLOOKUP(D580,'(Semelles.Monument.€HT)'!C:G,3,FALSE()))</f>
        <v>1017</v>
      </c>
      <c r="H580" s="21">
        <f>F580+(VLOOKUP(D580,'(Semelles.Monument.€HT)'!C:G,4,FALSE()))</f>
        <v>1068</v>
      </c>
      <c r="I580" s="22">
        <f>F580+(VLOOKUP(D580,'(Semelles.Monument.€HT)'!C:G,5,FALSE()))</f>
        <v>1121</v>
      </c>
    </row>
    <row r="581" spans="1:9" ht="26" customHeight="1">
      <c r="A581" s="2" t="s">
        <v>156</v>
      </c>
      <c r="B581" s="13" t="s">
        <v>159</v>
      </c>
      <c r="C581" s="13" t="s">
        <v>97</v>
      </c>
      <c r="D581" s="13">
        <v>4</v>
      </c>
      <c r="E581" s="2" t="s">
        <v>101</v>
      </c>
      <c r="F581" s="7">
        <v>855</v>
      </c>
      <c r="G581" s="3">
        <f>F581+(VLOOKUP(D581,'(Semelles.Monument.€HT)'!C:G,3,FALSE()))</f>
        <v>1034</v>
      </c>
      <c r="H581" s="4">
        <f>F581+(VLOOKUP(D581,'(Semelles.Monument.€HT)'!C:G,4,FALSE()))</f>
        <v>1086</v>
      </c>
      <c r="I581" s="5">
        <f>F581+(VLOOKUP(D581,'(Semelles.Monument.€HT)'!C:G,5,FALSE()))</f>
        <v>1140</v>
      </c>
    </row>
    <row r="582" spans="1:9" ht="26" customHeight="1">
      <c r="A582" s="17" t="s">
        <v>156</v>
      </c>
      <c r="B582" s="18" t="s">
        <v>159</v>
      </c>
      <c r="C582" s="18" t="s">
        <v>97</v>
      </c>
      <c r="D582" s="18">
        <v>5</v>
      </c>
      <c r="E582" s="17" t="s">
        <v>102</v>
      </c>
      <c r="F582" s="19">
        <v>855</v>
      </c>
      <c r="G582" s="20">
        <f>F582+(VLOOKUP(D582,'(Semelles.Monument.€HT)'!C:G,3,FALSE()))</f>
        <v>1034</v>
      </c>
      <c r="H582" s="21">
        <f>F582+(VLOOKUP(D582,'(Semelles.Monument.€HT)'!C:G,4,FALSE()))</f>
        <v>1086</v>
      </c>
      <c r="I582" s="22">
        <f>F582+(VLOOKUP(D582,'(Semelles.Monument.€HT)'!C:G,5,FALSE()))</f>
        <v>1140</v>
      </c>
    </row>
    <row r="583" spans="1:9" ht="26" customHeight="1">
      <c r="A583" s="2" t="s">
        <v>156</v>
      </c>
      <c r="B583" s="13" t="s">
        <v>159</v>
      </c>
      <c r="C583" s="13" t="s">
        <v>97</v>
      </c>
      <c r="D583" s="13">
        <v>6</v>
      </c>
      <c r="E583" s="2" t="s">
        <v>103</v>
      </c>
      <c r="F583" s="7">
        <v>859</v>
      </c>
      <c r="G583" s="3">
        <f>F583+(VLOOKUP(D583,'(Semelles.Monument.€HT)'!C:G,3,FALSE()))</f>
        <v>1039</v>
      </c>
      <c r="H583" s="4">
        <f>F583+(VLOOKUP(D583,'(Semelles.Monument.€HT)'!C:G,4,FALSE()))</f>
        <v>1091</v>
      </c>
      <c r="I583" s="5">
        <f>F583+(VLOOKUP(D583,'(Semelles.Monument.€HT)'!C:G,5,FALSE()))</f>
        <v>1146</v>
      </c>
    </row>
    <row r="584" spans="1:9" ht="26" customHeight="1">
      <c r="A584" s="17" t="s">
        <v>156</v>
      </c>
      <c r="B584" s="18" t="s">
        <v>159</v>
      </c>
      <c r="C584" s="18" t="s">
        <v>97</v>
      </c>
      <c r="D584" s="18">
        <v>7</v>
      </c>
      <c r="E584" s="17" t="s">
        <v>104</v>
      </c>
      <c r="F584" s="19">
        <v>859</v>
      </c>
      <c r="G584" s="20">
        <f>F584+(VLOOKUP(D584,'(Semelles.Monument.€HT)'!C:G,3,FALSE()))</f>
        <v>1039</v>
      </c>
      <c r="H584" s="21">
        <f>F584+(VLOOKUP(D584,'(Semelles.Monument.€HT)'!C:G,4,FALSE()))</f>
        <v>1091</v>
      </c>
      <c r="I584" s="22">
        <f>F584+(VLOOKUP(D584,'(Semelles.Monument.€HT)'!C:G,5,FALSE()))</f>
        <v>1146</v>
      </c>
    </row>
    <row r="585" spans="1:9" ht="26" customHeight="1">
      <c r="A585" s="2" t="s">
        <v>156</v>
      </c>
      <c r="B585" s="13" t="s">
        <v>159</v>
      </c>
      <c r="C585" s="13" t="s">
        <v>97</v>
      </c>
      <c r="D585" s="13">
        <v>8</v>
      </c>
      <c r="E585" s="2" t="s">
        <v>105</v>
      </c>
      <c r="F585" s="7">
        <v>859</v>
      </c>
      <c r="G585" s="3">
        <f>F585+(VLOOKUP(D585,'(Semelles.Monument.€HT)'!C:G,3,FALSE()))</f>
        <v>1039</v>
      </c>
      <c r="H585" s="4">
        <f>F585+(VLOOKUP(D585,'(Semelles.Monument.€HT)'!C:G,4,FALSE()))</f>
        <v>1091</v>
      </c>
      <c r="I585" s="5">
        <f>F585+(VLOOKUP(D585,'(Semelles.Monument.€HT)'!C:G,5,FALSE()))</f>
        <v>1146</v>
      </c>
    </row>
    <row r="586" spans="1:9" ht="26" customHeight="1">
      <c r="A586" s="17" t="s">
        <v>156</v>
      </c>
      <c r="B586" s="18" t="s">
        <v>159</v>
      </c>
      <c r="C586" s="18" t="s">
        <v>97</v>
      </c>
      <c r="D586" s="18">
        <v>9</v>
      </c>
      <c r="E586" s="17" t="s">
        <v>106</v>
      </c>
      <c r="F586" s="19">
        <v>859</v>
      </c>
      <c r="G586" s="20">
        <f>F586+(VLOOKUP(D586,'(Semelles.Monument.€HT)'!C:G,3,FALSE()))</f>
        <v>1039</v>
      </c>
      <c r="H586" s="21">
        <f>F586+(VLOOKUP(D586,'(Semelles.Monument.€HT)'!C:G,4,FALSE()))</f>
        <v>1091</v>
      </c>
      <c r="I586" s="22">
        <f>F586+(VLOOKUP(D586,'(Semelles.Monument.€HT)'!C:G,5,FALSE()))</f>
        <v>1146</v>
      </c>
    </row>
    <row r="587" spans="1:9" ht="26" customHeight="1">
      <c r="A587" s="2" t="s">
        <v>156</v>
      </c>
      <c r="B587" s="13" t="s">
        <v>159</v>
      </c>
      <c r="C587" s="13" t="s">
        <v>97</v>
      </c>
      <c r="D587" s="13">
        <v>10</v>
      </c>
      <c r="E587" s="2" t="s">
        <v>107</v>
      </c>
      <c r="F587" s="7">
        <v>859</v>
      </c>
      <c r="G587" s="3">
        <f>F587+(VLOOKUP(D587,'(Semelles.Monument.€HT)'!C:G,3,FALSE()))</f>
        <v>1039</v>
      </c>
      <c r="H587" s="4">
        <f>F587+(VLOOKUP(D587,'(Semelles.Monument.€HT)'!C:G,4,FALSE()))</f>
        <v>1091</v>
      </c>
      <c r="I587" s="5">
        <f>F587+(VLOOKUP(D587,'(Semelles.Monument.€HT)'!C:G,5,FALSE()))</f>
        <v>1146</v>
      </c>
    </row>
    <row r="588" spans="1:9" ht="26" customHeight="1">
      <c r="A588" s="17" t="s">
        <v>156</v>
      </c>
      <c r="B588" s="18" t="s">
        <v>159</v>
      </c>
      <c r="C588" s="18" t="s">
        <v>97</v>
      </c>
      <c r="D588" s="18">
        <v>11</v>
      </c>
      <c r="E588" s="17" t="s">
        <v>108</v>
      </c>
      <c r="F588" s="19">
        <v>859</v>
      </c>
      <c r="G588" s="20">
        <f>F588+(VLOOKUP(D588,'(Semelles.Monument.€HT)'!C:G,3,FALSE()))</f>
        <v>1039</v>
      </c>
      <c r="H588" s="21">
        <f>F588+(VLOOKUP(D588,'(Semelles.Monument.€HT)'!C:G,4,FALSE()))</f>
        <v>1091</v>
      </c>
      <c r="I588" s="22">
        <f>F588+(VLOOKUP(D588,'(Semelles.Monument.€HT)'!C:G,5,FALSE()))</f>
        <v>1146</v>
      </c>
    </row>
    <row r="589" spans="1:9" ht="26" customHeight="1">
      <c r="A589" s="2" t="s">
        <v>156</v>
      </c>
      <c r="B589" s="13" t="s">
        <v>159</v>
      </c>
      <c r="C589" s="13" t="s">
        <v>97</v>
      </c>
      <c r="D589" s="13">
        <v>12</v>
      </c>
      <c r="E589" s="2" t="s">
        <v>109</v>
      </c>
      <c r="F589" s="7">
        <v>872</v>
      </c>
      <c r="G589" s="3">
        <f>F589+(VLOOKUP(D589,'(Semelles.Monument.€HT)'!C:G,3,FALSE()))</f>
        <v>1054</v>
      </c>
      <c r="H589" s="4">
        <f>F589+(VLOOKUP(D589,'(Semelles.Monument.€HT)'!C:G,4,FALSE()))</f>
        <v>1107</v>
      </c>
      <c r="I589" s="5">
        <f>F589+(VLOOKUP(D589,'(Semelles.Monument.€HT)'!C:G,5,FALSE()))</f>
        <v>1163</v>
      </c>
    </row>
    <row r="590" spans="1:9" ht="26" customHeight="1">
      <c r="A590" s="17" t="s">
        <v>156</v>
      </c>
      <c r="B590" s="18" t="s">
        <v>159</v>
      </c>
      <c r="C590" s="18" t="s">
        <v>97</v>
      </c>
      <c r="D590" s="18">
        <v>13</v>
      </c>
      <c r="E590" s="17" t="s">
        <v>110</v>
      </c>
      <c r="F590" s="19">
        <v>872</v>
      </c>
      <c r="G590" s="20">
        <f>F590+(VLOOKUP(D590,'(Semelles.Monument.€HT)'!C:G,3,FALSE()))</f>
        <v>1054</v>
      </c>
      <c r="H590" s="21">
        <f>F590+(VLOOKUP(D590,'(Semelles.Monument.€HT)'!C:G,4,FALSE()))</f>
        <v>1107</v>
      </c>
      <c r="I590" s="22">
        <f>F590+(VLOOKUP(D590,'(Semelles.Monument.€HT)'!C:G,5,FALSE()))</f>
        <v>1163</v>
      </c>
    </row>
    <row r="591" spans="1:9" ht="26" customHeight="1">
      <c r="A591" s="2" t="s">
        <v>156</v>
      </c>
      <c r="B591" s="13" t="s">
        <v>159</v>
      </c>
      <c r="C591" s="13" t="s">
        <v>97</v>
      </c>
      <c r="D591" s="13">
        <v>14</v>
      </c>
      <c r="E591" s="2" t="s">
        <v>111</v>
      </c>
      <c r="F591" s="7">
        <v>875</v>
      </c>
      <c r="G591" s="3">
        <f>F591+(VLOOKUP(D591,'(Semelles.Monument.€HT)'!C:G,3,FALSE()))</f>
        <v>1058</v>
      </c>
      <c r="H591" s="4">
        <f>F591+(VLOOKUP(D591,'(Semelles.Monument.€HT)'!C:G,4,FALSE()))</f>
        <v>1111</v>
      </c>
      <c r="I591" s="5">
        <f>F591+(VLOOKUP(D591,'(Semelles.Monument.€HT)'!C:G,5,FALSE()))</f>
        <v>1167</v>
      </c>
    </row>
    <row r="592" spans="1:9" ht="26" customHeight="1">
      <c r="A592" s="17" t="s">
        <v>156</v>
      </c>
      <c r="B592" s="18" t="s">
        <v>159</v>
      </c>
      <c r="C592" s="18" t="s">
        <v>97</v>
      </c>
      <c r="D592" s="18">
        <v>15</v>
      </c>
      <c r="E592" s="17" t="s">
        <v>112</v>
      </c>
      <c r="F592" s="19">
        <v>875</v>
      </c>
      <c r="G592" s="20">
        <f>F592+(VLOOKUP(D592,'(Semelles.Monument.€HT)'!C:G,3,FALSE()))</f>
        <v>1058</v>
      </c>
      <c r="H592" s="21">
        <f>F592+(VLOOKUP(D592,'(Semelles.Monument.€HT)'!C:G,4,FALSE()))</f>
        <v>1111</v>
      </c>
      <c r="I592" s="22">
        <f>F592+(VLOOKUP(D592,'(Semelles.Monument.€HT)'!C:G,5,FALSE()))</f>
        <v>1167</v>
      </c>
    </row>
    <row r="593" spans="1:9" ht="26" customHeight="1">
      <c r="A593" s="2" t="s">
        <v>156</v>
      </c>
      <c r="B593" s="13" t="s">
        <v>159</v>
      </c>
      <c r="C593" s="13" t="s">
        <v>97</v>
      </c>
      <c r="D593" s="13">
        <v>16</v>
      </c>
      <c r="E593" s="2" t="s">
        <v>113</v>
      </c>
      <c r="F593" s="7">
        <v>875</v>
      </c>
      <c r="G593" s="3">
        <f>F593+(VLOOKUP(D593,'(Semelles.Monument.€HT)'!C:G,3,FALSE()))</f>
        <v>1058</v>
      </c>
      <c r="H593" s="4">
        <f>F593+(VLOOKUP(D593,'(Semelles.Monument.€HT)'!C:G,4,FALSE()))</f>
        <v>1111</v>
      </c>
      <c r="I593" s="5">
        <f>F593+(VLOOKUP(D593,'(Semelles.Monument.€HT)'!C:G,5,FALSE()))</f>
        <v>1167</v>
      </c>
    </row>
    <row r="594" spans="1:9" ht="26" customHeight="1">
      <c r="A594" s="17" t="s">
        <v>156</v>
      </c>
      <c r="B594" s="18" t="s">
        <v>159</v>
      </c>
      <c r="C594" s="18" t="s">
        <v>97</v>
      </c>
      <c r="D594" s="18">
        <v>17</v>
      </c>
      <c r="E594" s="17" t="s">
        <v>114</v>
      </c>
      <c r="F594" s="19">
        <v>890</v>
      </c>
      <c r="G594" s="20">
        <f>F594+(VLOOKUP(D594,'(Semelles.Monument.€HT)'!C:G,3,FALSE()))</f>
        <v>1076</v>
      </c>
      <c r="H594" s="21">
        <f>F594+(VLOOKUP(D594,'(Semelles.Monument.€HT)'!C:G,4,FALSE()))</f>
        <v>1130</v>
      </c>
      <c r="I594" s="22">
        <f>F594+(VLOOKUP(D594,'(Semelles.Monument.€HT)'!C:G,5,FALSE()))</f>
        <v>1187</v>
      </c>
    </row>
    <row r="595" spans="1:9" ht="26" customHeight="1">
      <c r="A595" s="2" t="s">
        <v>156</v>
      </c>
      <c r="B595" s="13" t="s">
        <v>159</v>
      </c>
      <c r="C595" s="13" t="s">
        <v>97</v>
      </c>
      <c r="D595" s="13">
        <v>18</v>
      </c>
      <c r="E595" s="2" t="s">
        <v>115</v>
      </c>
      <c r="F595" s="7">
        <v>890</v>
      </c>
      <c r="G595" s="3">
        <f>F595+(VLOOKUP(D595,'(Semelles.Monument.€HT)'!C:G,3,FALSE()))</f>
        <v>1076</v>
      </c>
      <c r="H595" s="4">
        <f>F595+(VLOOKUP(D595,'(Semelles.Monument.€HT)'!C:G,4,FALSE()))</f>
        <v>1130</v>
      </c>
      <c r="I595" s="5">
        <f>F595+(VLOOKUP(D595,'(Semelles.Monument.€HT)'!C:G,5,FALSE()))</f>
        <v>1187</v>
      </c>
    </row>
    <row r="596" spans="1:9" ht="26" customHeight="1">
      <c r="A596" s="17" t="s">
        <v>156</v>
      </c>
      <c r="B596" s="18" t="s">
        <v>159</v>
      </c>
      <c r="C596" s="18" t="s">
        <v>97</v>
      </c>
      <c r="D596" s="18">
        <v>19</v>
      </c>
      <c r="E596" s="17" t="s">
        <v>116</v>
      </c>
      <c r="F596" s="19">
        <v>890</v>
      </c>
      <c r="G596" s="20">
        <f>F596+(VLOOKUP(D596,'(Semelles.Monument.€HT)'!C:G,3,FALSE()))</f>
        <v>1076</v>
      </c>
      <c r="H596" s="21">
        <f>F596+(VLOOKUP(D596,'(Semelles.Monument.€HT)'!C:G,4,FALSE()))</f>
        <v>1130</v>
      </c>
      <c r="I596" s="22">
        <f>F596+(VLOOKUP(D596,'(Semelles.Monument.€HT)'!C:G,5,FALSE()))</f>
        <v>1187</v>
      </c>
    </row>
    <row r="597" spans="1:9" ht="26" customHeight="1">
      <c r="A597" s="2" t="s">
        <v>156</v>
      </c>
      <c r="B597" s="13" t="s">
        <v>159</v>
      </c>
      <c r="C597" s="13" t="s">
        <v>97</v>
      </c>
      <c r="D597" s="13">
        <v>20</v>
      </c>
      <c r="E597" s="2" t="s">
        <v>117</v>
      </c>
      <c r="F597" s="7">
        <v>897</v>
      </c>
      <c r="G597" s="3">
        <f>F597+(VLOOKUP(D597,'(Semelles.Monument.€HT)'!C:G,3,FALSE()))</f>
        <v>1085</v>
      </c>
      <c r="H597" s="4">
        <f>F597+(VLOOKUP(D597,'(Semelles.Monument.€HT)'!C:G,4,FALSE()))</f>
        <v>1139</v>
      </c>
      <c r="I597" s="5">
        <f>F597+(VLOOKUP(D597,'(Semelles.Monument.€HT)'!C:G,5,FALSE()))</f>
        <v>1196</v>
      </c>
    </row>
    <row r="598" spans="1:9" ht="26" customHeight="1">
      <c r="A598" s="17" t="s">
        <v>156</v>
      </c>
      <c r="B598" s="18" t="s">
        <v>159</v>
      </c>
      <c r="C598" s="18" t="s">
        <v>97</v>
      </c>
      <c r="D598" s="18">
        <v>21</v>
      </c>
      <c r="E598" s="17" t="s">
        <v>118</v>
      </c>
      <c r="F598" s="19">
        <v>902</v>
      </c>
      <c r="G598" s="20">
        <f>F598+(VLOOKUP(D598,'(Semelles.Monument.€HT)'!C:G,3,FALSE()))</f>
        <v>1091</v>
      </c>
      <c r="H598" s="21">
        <f>F598+(VLOOKUP(D598,'(Semelles.Monument.€HT)'!C:G,4,FALSE()))</f>
        <v>1145</v>
      </c>
      <c r="I598" s="22">
        <f>F598+(VLOOKUP(D598,'(Semelles.Monument.€HT)'!C:G,5,FALSE()))</f>
        <v>1203</v>
      </c>
    </row>
    <row r="599" spans="1:9" ht="26" customHeight="1">
      <c r="A599" s="2" t="s">
        <v>156</v>
      </c>
      <c r="B599" s="13" t="s">
        <v>159</v>
      </c>
      <c r="C599" s="13" t="s">
        <v>97</v>
      </c>
      <c r="D599" s="13">
        <v>22</v>
      </c>
      <c r="E599" s="2" t="s">
        <v>119</v>
      </c>
      <c r="F599" s="7">
        <v>902</v>
      </c>
      <c r="G599" s="3">
        <f>F599+(VLOOKUP(D599,'(Semelles.Monument.€HT)'!C:G,3,FALSE()))</f>
        <v>1091</v>
      </c>
      <c r="H599" s="4">
        <f>F599+(VLOOKUP(D599,'(Semelles.Monument.€HT)'!C:G,4,FALSE()))</f>
        <v>1145</v>
      </c>
      <c r="I599" s="5">
        <f>F599+(VLOOKUP(D599,'(Semelles.Monument.€HT)'!C:G,5,FALSE()))</f>
        <v>1203</v>
      </c>
    </row>
    <row r="600" spans="1:9" ht="26" customHeight="1">
      <c r="A600" s="17" t="s">
        <v>156</v>
      </c>
      <c r="B600" s="18" t="s">
        <v>159</v>
      </c>
      <c r="C600" s="18" t="s">
        <v>97</v>
      </c>
      <c r="D600" s="18">
        <v>23</v>
      </c>
      <c r="E600" s="17" t="s">
        <v>120</v>
      </c>
      <c r="F600" s="19">
        <v>916</v>
      </c>
      <c r="G600" s="20">
        <f>F600+(VLOOKUP(D600,'(Semelles.Monument.€HT)'!C:G,3,FALSE()))</f>
        <v>1108</v>
      </c>
      <c r="H600" s="21">
        <f>F600+(VLOOKUP(D600,'(Semelles.Monument.€HT)'!C:G,4,FALSE()))</f>
        <v>1163</v>
      </c>
      <c r="I600" s="22">
        <f>F600+(VLOOKUP(D600,'(Semelles.Monument.€HT)'!C:G,5,FALSE()))</f>
        <v>1221</v>
      </c>
    </row>
    <row r="601" spans="1:9" ht="26" customHeight="1">
      <c r="A601" s="2" t="s">
        <v>156</v>
      </c>
      <c r="B601" s="13" t="s">
        <v>159</v>
      </c>
      <c r="C601" s="13" t="s">
        <v>97</v>
      </c>
      <c r="D601" s="13">
        <v>24</v>
      </c>
      <c r="E601" s="2" t="s">
        <v>121</v>
      </c>
      <c r="F601" s="7">
        <v>916</v>
      </c>
      <c r="G601" s="3">
        <f>F601+(VLOOKUP(D601,'(Semelles.Monument.€HT)'!C:G,3,FALSE()))</f>
        <v>1108</v>
      </c>
      <c r="H601" s="4">
        <f>F601+(VLOOKUP(D601,'(Semelles.Monument.€HT)'!C:G,4,FALSE()))</f>
        <v>1163</v>
      </c>
      <c r="I601" s="5">
        <f>F601+(VLOOKUP(D601,'(Semelles.Monument.€HT)'!C:G,5,FALSE()))</f>
        <v>1221</v>
      </c>
    </row>
    <row r="602" spans="1:9" ht="26" customHeight="1">
      <c r="A602" s="17" t="s">
        <v>156</v>
      </c>
      <c r="B602" s="18" t="s">
        <v>159</v>
      </c>
      <c r="C602" s="18" t="s">
        <v>97</v>
      </c>
      <c r="D602" s="18">
        <v>25</v>
      </c>
      <c r="E602" s="17" t="s">
        <v>122</v>
      </c>
      <c r="F602" s="19">
        <v>916</v>
      </c>
      <c r="G602" s="20">
        <f>F602+(VLOOKUP(D602,'(Semelles.Monument.€HT)'!C:G,3,FALSE()))</f>
        <v>1108</v>
      </c>
      <c r="H602" s="21">
        <f>F602+(VLOOKUP(D602,'(Semelles.Monument.€HT)'!C:G,4,FALSE()))</f>
        <v>1163</v>
      </c>
      <c r="I602" s="22">
        <f>F602+(VLOOKUP(D602,'(Semelles.Monument.€HT)'!C:G,5,FALSE()))</f>
        <v>1221</v>
      </c>
    </row>
    <row r="603" spans="1:9" ht="26" customHeight="1">
      <c r="A603" s="2" t="s">
        <v>156</v>
      </c>
      <c r="B603" s="13" t="s">
        <v>159</v>
      </c>
      <c r="C603" s="13" t="s">
        <v>97</v>
      </c>
      <c r="D603" s="13">
        <v>26</v>
      </c>
      <c r="E603" s="2" t="s">
        <v>123</v>
      </c>
      <c r="F603" s="7">
        <v>931</v>
      </c>
      <c r="G603" s="3">
        <f>F603+(VLOOKUP(D603,'(Semelles.Monument.€HT)'!C:G,3,FALSE()))</f>
        <v>1126</v>
      </c>
      <c r="H603" s="4">
        <f>F603+(VLOOKUP(D603,'(Semelles.Monument.€HT)'!C:G,4,FALSE()))</f>
        <v>1182</v>
      </c>
      <c r="I603" s="5">
        <f>F603+(VLOOKUP(D603,'(Semelles.Monument.€HT)'!C:G,5,FALSE()))</f>
        <v>1241</v>
      </c>
    </row>
    <row r="604" spans="1:9" ht="26" customHeight="1">
      <c r="A604" s="17" t="s">
        <v>156</v>
      </c>
      <c r="B604" s="18" t="s">
        <v>159</v>
      </c>
      <c r="C604" s="18" t="s">
        <v>97</v>
      </c>
      <c r="D604" s="18">
        <v>27</v>
      </c>
      <c r="E604" s="17" t="s">
        <v>124</v>
      </c>
      <c r="F604" s="19">
        <v>992</v>
      </c>
      <c r="G604" s="20">
        <f>F604+(VLOOKUP(D604,'(Semelles.Monument.€HT)'!C:G,3,FALSE()))</f>
        <v>1200</v>
      </c>
      <c r="H604" s="21">
        <f>F604+(VLOOKUP(D604,'(Semelles.Monument.€HT)'!C:G,4,FALSE()))</f>
        <v>1260</v>
      </c>
      <c r="I604" s="22">
        <f>F604+(VLOOKUP(D604,'(Semelles.Monument.€HT)'!C:G,5,FALSE()))</f>
        <v>1359</v>
      </c>
    </row>
    <row r="605" spans="1:9" ht="26" customHeight="1">
      <c r="A605" s="2" t="s">
        <v>156</v>
      </c>
      <c r="B605" s="13" t="s">
        <v>159</v>
      </c>
      <c r="C605" s="13" t="s">
        <v>97</v>
      </c>
      <c r="D605" s="13">
        <v>28</v>
      </c>
      <c r="E605" s="2" t="s">
        <v>125</v>
      </c>
      <c r="F605" s="7">
        <v>1099</v>
      </c>
      <c r="G605" s="3">
        <f>F605+(VLOOKUP(D605,'(Semelles.Monument.€HT)'!C:G,3,FALSE()))</f>
        <v>1329</v>
      </c>
      <c r="H605" s="4">
        <f>F605+(VLOOKUP(D605,'(Semelles.Monument.€HT)'!C:G,4,FALSE()))</f>
        <v>1396</v>
      </c>
      <c r="I605" s="5">
        <f>F605+(VLOOKUP(D605,'(Semelles.Monument.€HT)'!C:G,5,FALSE()))</f>
        <v>1466</v>
      </c>
    </row>
    <row r="606" spans="1:9" ht="26" customHeight="1">
      <c r="A606" s="17" t="s">
        <v>156</v>
      </c>
      <c r="B606" s="18" t="s">
        <v>159</v>
      </c>
      <c r="C606" s="18" t="s">
        <v>97</v>
      </c>
      <c r="D606" s="18">
        <v>29</v>
      </c>
      <c r="E606" s="17" t="s">
        <v>126</v>
      </c>
      <c r="F606" s="19">
        <v>1145</v>
      </c>
      <c r="G606" s="20">
        <f>F606+(VLOOKUP(D606,'(Semelles.Monument.€HT)'!C:G,3,FALSE()))</f>
        <v>1385</v>
      </c>
      <c r="H606" s="21">
        <f>F606+(VLOOKUP(D606,'(Semelles.Monument.€HT)'!C:G,4,FALSE()))</f>
        <v>1454</v>
      </c>
      <c r="I606" s="22">
        <f>F606+(VLOOKUP(D606,'(Semelles.Monument.€HT)'!C:G,5,FALSE()))</f>
        <v>1527</v>
      </c>
    </row>
    <row r="607" spans="1:9" ht="26" customHeight="1">
      <c r="A607" s="2" t="s">
        <v>156</v>
      </c>
      <c r="B607" s="13" t="s">
        <v>159</v>
      </c>
      <c r="C607" s="13" t="s">
        <v>97</v>
      </c>
      <c r="D607" s="13">
        <v>30</v>
      </c>
      <c r="E607" s="2" t="s">
        <v>127</v>
      </c>
      <c r="F607" s="7">
        <v>1145</v>
      </c>
      <c r="G607" s="3">
        <f>F607+(VLOOKUP(D607,'(Semelles.Monument.€HT)'!C:G,3,FALSE()))</f>
        <v>1385</v>
      </c>
      <c r="H607" s="4">
        <f>F607+(VLOOKUP(D607,'(Semelles.Monument.€HT)'!C:G,4,FALSE()))</f>
        <v>1454</v>
      </c>
      <c r="I607" s="5">
        <f>F607+(VLOOKUP(D607,'(Semelles.Monument.€HT)'!C:G,5,FALSE()))</f>
        <v>1527</v>
      </c>
    </row>
    <row r="608" spans="1:9" ht="26" customHeight="1">
      <c r="A608" s="17" t="s">
        <v>156</v>
      </c>
      <c r="B608" s="18" t="s">
        <v>159</v>
      </c>
      <c r="C608" s="18" t="s">
        <v>128</v>
      </c>
      <c r="D608" s="18">
        <v>31</v>
      </c>
      <c r="E608" s="17" t="s">
        <v>129</v>
      </c>
      <c r="F608" s="19">
        <v>670</v>
      </c>
      <c r="G608" s="20">
        <f>F608+(VLOOKUP(D608,'(Semelles.Monument.€HT)'!C:G,3,FALSE()))</f>
        <v>802</v>
      </c>
      <c r="H608" s="21">
        <f>F608+(VLOOKUP(D608,'(Semelles.Monument.€HT)'!C:G,4,FALSE()))</f>
        <v>840</v>
      </c>
      <c r="I608" s="22">
        <f>F608+(VLOOKUP(D608,'(Semelles.Monument.€HT)'!C:G,5,FALSE()))</f>
        <v>880</v>
      </c>
    </row>
    <row r="609" spans="1:9" ht="26" customHeight="1">
      <c r="A609" s="2" t="s">
        <v>156</v>
      </c>
      <c r="B609" s="13" t="s">
        <v>159</v>
      </c>
      <c r="C609" s="13" t="s">
        <v>128</v>
      </c>
      <c r="D609" s="13">
        <v>32</v>
      </c>
      <c r="E609" s="2" t="s">
        <v>130</v>
      </c>
      <c r="F609" s="7">
        <v>680</v>
      </c>
      <c r="G609" s="3">
        <f>F609+(VLOOKUP(D609,'(Semelles.Monument.€HT)'!C:G,3,FALSE()))</f>
        <v>814</v>
      </c>
      <c r="H609" s="4">
        <f>F609+(VLOOKUP(D609,'(Semelles.Monument.€HT)'!C:G,4,FALSE()))</f>
        <v>853</v>
      </c>
      <c r="I609" s="5">
        <f>F609+(VLOOKUP(D609,'(Semelles.Monument.€HT)'!C:G,5,FALSE()))</f>
        <v>893</v>
      </c>
    </row>
    <row r="610" spans="1:9" ht="26" customHeight="1">
      <c r="A610" s="17" t="s">
        <v>156</v>
      </c>
      <c r="B610" s="18" t="s">
        <v>159</v>
      </c>
      <c r="C610" s="18" t="s">
        <v>128</v>
      </c>
      <c r="D610" s="18">
        <v>33</v>
      </c>
      <c r="E610" s="17" t="s">
        <v>131</v>
      </c>
      <c r="F610" s="19">
        <v>680</v>
      </c>
      <c r="G610" s="20">
        <f>F610+(VLOOKUP(D610,'(Semelles.Monument.€HT)'!C:G,3,FALSE()))</f>
        <v>814</v>
      </c>
      <c r="H610" s="21">
        <f>F610+(VLOOKUP(D610,'(Semelles.Monument.€HT)'!C:G,4,FALSE()))</f>
        <v>853</v>
      </c>
      <c r="I610" s="22">
        <f>F610+(VLOOKUP(D610,'(Semelles.Monument.€HT)'!C:G,5,FALSE()))</f>
        <v>893</v>
      </c>
    </row>
    <row r="611" spans="1:9" ht="26" customHeight="1">
      <c r="A611" s="2" t="s">
        <v>156</v>
      </c>
      <c r="B611" s="13" t="s">
        <v>159</v>
      </c>
      <c r="C611" s="13" t="s">
        <v>128</v>
      </c>
      <c r="D611" s="13">
        <v>34</v>
      </c>
      <c r="E611" s="2" t="s">
        <v>132</v>
      </c>
      <c r="F611" s="7">
        <v>686</v>
      </c>
      <c r="G611" s="3">
        <f>F611+(VLOOKUP(D611,'(Semelles.Monument.€HT)'!C:G,3,FALSE()))</f>
        <v>821</v>
      </c>
      <c r="H611" s="4">
        <f>F611+(VLOOKUP(D611,'(Semelles.Monument.€HT)'!C:G,4,FALSE()))</f>
        <v>860</v>
      </c>
      <c r="I611" s="5">
        <f>F611+(VLOOKUP(D611,'(Semelles.Monument.€HT)'!C:G,5,FALSE()))</f>
        <v>901</v>
      </c>
    </row>
    <row r="612" spans="1:9" ht="26" customHeight="1">
      <c r="A612" s="17" t="s">
        <v>156</v>
      </c>
      <c r="B612" s="18" t="s">
        <v>159</v>
      </c>
      <c r="C612" s="18" t="s">
        <v>128</v>
      </c>
      <c r="D612" s="18">
        <v>35</v>
      </c>
      <c r="E612" s="17" t="s">
        <v>133</v>
      </c>
      <c r="F612" s="19">
        <v>817</v>
      </c>
      <c r="G612" s="20">
        <f>F612+(VLOOKUP(D612,'(Semelles.Monument.€HT)'!C:G,3,FALSE()))</f>
        <v>980</v>
      </c>
      <c r="H612" s="21">
        <f>F612+(VLOOKUP(D612,'(Semelles.Monument.€HT)'!C:G,4,FALSE()))</f>
        <v>1027</v>
      </c>
      <c r="I612" s="22">
        <f>F612+(VLOOKUP(D612,'(Semelles.Monument.€HT)'!C:G,5,FALSE()))</f>
        <v>1076</v>
      </c>
    </row>
    <row r="613" spans="1:9" ht="26" customHeight="1">
      <c r="A613" s="2" t="s">
        <v>156</v>
      </c>
      <c r="B613" s="13" t="s">
        <v>159</v>
      </c>
      <c r="C613" s="13" t="s">
        <v>128</v>
      </c>
      <c r="D613" s="13">
        <v>36</v>
      </c>
      <c r="E613" s="2" t="s">
        <v>134</v>
      </c>
      <c r="F613" s="7">
        <v>845</v>
      </c>
      <c r="G613" s="3">
        <f>F613+(VLOOKUP(D613,'(Semelles.Monument.€HT)'!C:G,3,FALSE()))</f>
        <v>1013</v>
      </c>
      <c r="H613" s="4">
        <f>F613+(VLOOKUP(D613,'(Semelles.Monument.€HT)'!C:G,4,FALSE()))</f>
        <v>1062</v>
      </c>
      <c r="I613" s="5">
        <f>F613+(VLOOKUP(D613,'(Semelles.Monument.€HT)'!C:G,5,FALSE()))</f>
        <v>1113</v>
      </c>
    </row>
    <row r="614" spans="1:9" ht="26" customHeight="1">
      <c r="A614" s="17" t="s">
        <v>156</v>
      </c>
      <c r="B614" s="18" t="s">
        <v>159</v>
      </c>
      <c r="C614" s="18" t="s">
        <v>128</v>
      </c>
      <c r="D614" s="18">
        <v>37</v>
      </c>
      <c r="E614" s="17" t="s">
        <v>135</v>
      </c>
      <c r="F614" s="19">
        <v>1034</v>
      </c>
      <c r="G614" s="20">
        <f>F614+(VLOOKUP(D614,'(Semelles.Monument.€HT)'!C:G,3,FALSE()))</f>
        <v>1242</v>
      </c>
      <c r="H614" s="21">
        <f>F614+(VLOOKUP(D614,'(Semelles.Monument.€HT)'!C:G,4,FALSE()))</f>
        <v>1302</v>
      </c>
      <c r="I614" s="22">
        <f>F614+(VLOOKUP(D614,'(Semelles.Monument.€HT)'!C:G,5,FALSE()))</f>
        <v>1366</v>
      </c>
    </row>
    <row r="615" spans="1:9" ht="26" customHeight="1">
      <c r="A615" s="2" t="s">
        <v>156</v>
      </c>
      <c r="B615" s="13" t="s">
        <v>159</v>
      </c>
      <c r="C615" s="13" t="s">
        <v>128</v>
      </c>
      <c r="D615" s="13">
        <v>38</v>
      </c>
      <c r="E615" s="2" t="s">
        <v>136</v>
      </c>
      <c r="F615" s="7">
        <v>1093</v>
      </c>
      <c r="G615" s="3">
        <f>F615+(VLOOKUP(D615,'(Semelles.Monument.€HT)'!C:G,3,FALSE()))</f>
        <v>1313</v>
      </c>
      <c r="H615" s="4">
        <f>F615+(VLOOKUP(D615,'(Semelles.Monument.€HT)'!C:G,4,FALSE()))</f>
        <v>1377</v>
      </c>
      <c r="I615" s="5">
        <f>F615+(VLOOKUP(D615,'(Semelles.Monument.€HT)'!C:G,5,FALSE()))</f>
        <v>1444</v>
      </c>
    </row>
    <row r="616" spans="1:9" ht="26" customHeight="1">
      <c r="A616" s="17" t="s">
        <v>156</v>
      </c>
      <c r="B616" s="18" t="s">
        <v>159</v>
      </c>
      <c r="C616" s="18" t="s">
        <v>128</v>
      </c>
      <c r="D616" s="18">
        <v>39</v>
      </c>
      <c r="E616" s="17" t="s">
        <v>137</v>
      </c>
      <c r="F616" s="19">
        <v>1120</v>
      </c>
      <c r="G616" s="20">
        <f>F616+(VLOOKUP(D616,'(Semelles.Monument.€HT)'!C:G,3,FALSE()))</f>
        <v>1346</v>
      </c>
      <c r="H616" s="21">
        <f>F616+(VLOOKUP(D616,'(Semelles.Monument.€HT)'!C:G,4,FALSE()))</f>
        <v>1411</v>
      </c>
      <c r="I616" s="22">
        <f>F616+(VLOOKUP(D616,'(Semelles.Monument.€HT)'!C:G,5,FALSE()))</f>
        <v>1480</v>
      </c>
    </row>
    <row r="617" spans="1:9" ht="26" customHeight="1">
      <c r="A617" s="2" t="s">
        <v>156</v>
      </c>
      <c r="B617" s="13" t="s">
        <v>159</v>
      </c>
      <c r="C617" s="13" t="s">
        <v>128</v>
      </c>
      <c r="D617" s="13">
        <v>40</v>
      </c>
      <c r="E617" s="2" t="s">
        <v>138</v>
      </c>
      <c r="F617" s="7">
        <v>1151</v>
      </c>
      <c r="G617" s="3">
        <f>F617+(VLOOKUP(D617,'(Semelles.Monument.€HT)'!C:G,3,FALSE()))</f>
        <v>1383</v>
      </c>
      <c r="H617" s="4">
        <f>F617+(VLOOKUP(D617,'(Semelles.Monument.€HT)'!C:G,4,FALSE()))</f>
        <v>1451</v>
      </c>
      <c r="I617" s="5">
        <f>F617+(VLOOKUP(D617,'(Semelles.Monument.€HT)'!C:G,5,FALSE()))</f>
        <v>1521</v>
      </c>
    </row>
    <row r="618" spans="1:9" ht="26" customHeight="1">
      <c r="A618" s="17" t="s">
        <v>156</v>
      </c>
      <c r="B618" s="18" t="s">
        <v>159</v>
      </c>
      <c r="C618" s="18" t="s">
        <v>128</v>
      </c>
      <c r="D618" s="18">
        <v>41</v>
      </c>
      <c r="E618" s="17" t="s">
        <v>139</v>
      </c>
      <c r="F618" s="19">
        <v>1221</v>
      </c>
      <c r="G618" s="20">
        <f>F618+(VLOOKUP(D618,'(Semelles.Monument.€HT)'!C:G,3,FALSE()))</f>
        <v>1468</v>
      </c>
      <c r="H618" s="21">
        <f>F618+(VLOOKUP(D618,'(Semelles.Monument.€HT)'!C:G,4,FALSE()))</f>
        <v>1540</v>
      </c>
      <c r="I618" s="22">
        <f>F618+(VLOOKUP(D618,'(Semelles.Monument.€HT)'!C:G,5,FALSE()))</f>
        <v>1615</v>
      </c>
    </row>
    <row r="619" spans="1:9" ht="26" customHeight="1">
      <c r="A619" s="2" t="s">
        <v>156</v>
      </c>
      <c r="B619" s="13" t="s">
        <v>159</v>
      </c>
      <c r="C619" s="13" t="s">
        <v>128</v>
      </c>
      <c r="D619" s="13">
        <v>42</v>
      </c>
      <c r="E619" s="2" t="s">
        <v>140</v>
      </c>
      <c r="F619" s="7">
        <v>1337</v>
      </c>
      <c r="G619" s="3">
        <f>F619+(VLOOKUP(D619,'(Semelles.Monument.€HT)'!C:G,3,FALSE()))</f>
        <v>1608</v>
      </c>
      <c r="H619" s="4">
        <f>F619+(VLOOKUP(D619,'(Semelles.Monument.€HT)'!C:G,4,FALSE()))</f>
        <v>1687</v>
      </c>
      <c r="I619" s="5">
        <f>F619+(VLOOKUP(D619,'(Semelles.Monument.€HT)'!C:G,5,FALSE()))</f>
        <v>1770</v>
      </c>
    </row>
    <row r="620" spans="1:9" ht="26" customHeight="1">
      <c r="A620" s="17" t="s">
        <v>156</v>
      </c>
      <c r="B620" s="18" t="s">
        <v>159</v>
      </c>
      <c r="C620" s="18" t="s">
        <v>128</v>
      </c>
      <c r="D620" s="18">
        <v>43</v>
      </c>
      <c r="E620" s="17" t="s">
        <v>141</v>
      </c>
      <c r="F620" s="19">
        <v>1337</v>
      </c>
      <c r="G620" s="20">
        <f>F620+(VLOOKUP(D620,'(Semelles.Monument.€HT)'!C:G,3,FALSE()))</f>
        <v>1608</v>
      </c>
      <c r="H620" s="21">
        <f>F620+(VLOOKUP(D620,'(Semelles.Monument.€HT)'!C:G,4,FALSE()))</f>
        <v>1687</v>
      </c>
      <c r="I620" s="22">
        <f>F620+(VLOOKUP(D620,'(Semelles.Monument.€HT)'!C:G,5,FALSE()))</f>
        <v>1770</v>
      </c>
    </row>
    <row r="621" spans="1:9" ht="26" customHeight="1">
      <c r="A621" s="2" t="s">
        <v>156</v>
      </c>
      <c r="B621" s="13" t="s">
        <v>159</v>
      </c>
      <c r="C621" s="13" t="s">
        <v>128</v>
      </c>
      <c r="D621" s="13">
        <v>44</v>
      </c>
      <c r="E621" s="2" t="s">
        <v>142</v>
      </c>
      <c r="F621" s="7">
        <v>1353</v>
      </c>
      <c r="G621" s="3">
        <f>F621+(VLOOKUP(D621,'(Semelles.Monument.€HT)'!C:G,3,FALSE()))</f>
        <v>1628</v>
      </c>
      <c r="H621" s="4">
        <f>F621+(VLOOKUP(D621,'(Semelles.Monument.€HT)'!C:G,4,FALSE()))</f>
        <v>1707</v>
      </c>
      <c r="I621" s="5">
        <f>F621+(VLOOKUP(D621,'(Semelles.Monument.€HT)'!C:G,5,FALSE()))</f>
        <v>1791</v>
      </c>
    </row>
    <row r="622" spans="1:9" ht="26" customHeight="1">
      <c r="A622" s="17" t="s">
        <v>156</v>
      </c>
      <c r="B622" s="18" t="s">
        <v>159</v>
      </c>
      <c r="C622" s="18" t="s">
        <v>128</v>
      </c>
      <c r="D622" s="18">
        <v>45</v>
      </c>
      <c r="E622" s="17" t="s">
        <v>143</v>
      </c>
      <c r="F622" s="19">
        <v>1368</v>
      </c>
      <c r="G622" s="20">
        <f>F622+(VLOOKUP(D622,'(Semelles.Monument.€HT)'!C:G,3,FALSE()))</f>
        <v>1646</v>
      </c>
      <c r="H622" s="21">
        <f>F622+(VLOOKUP(D622,'(Semelles.Monument.€HT)'!C:G,4,FALSE()))</f>
        <v>1726</v>
      </c>
      <c r="I622" s="22">
        <f>F622+(VLOOKUP(D622,'(Semelles.Monument.€HT)'!C:G,5,FALSE()))</f>
        <v>1811</v>
      </c>
    </row>
    <row r="623" spans="1:9" ht="26" customHeight="1">
      <c r="A623" s="2" t="s">
        <v>156</v>
      </c>
      <c r="B623" s="13" t="s">
        <v>159</v>
      </c>
      <c r="C623" s="13" t="s">
        <v>128</v>
      </c>
      <c r="D623" s="13">
        <v>46</v>
      </c>
      <c r="E623" s="2" t="s">
        <v>144</v>
      </c>
      <c r="F623" s="7">
        <v>1368</v>
      </c>
      <c r="G623" s="3">
        <f>F623+(VLOOKUP(D623,'(Semelles.Monument.€HT)'!C:G,3,FALSE()))</f>
        <v>1646</v>
      </c>
      <c r="H623" s="4">
        <f>F623+(VLOOKUP(D623,'(Semelles.Monument.€HT)'!C:G,4,FALSE()))</f>
        <v>1726</v>
      </c>
      <c r="I623" s="5">
        <f>F623+(VLOOKUP(D623,'(Semelles.Monument.€HT)'!C:G,5,FALSE()))</f>
        <v>1811</v>
      </c>
    </row>
    <row r="624" spans="1:9" ht="26" customHeight="1">
      <c r="A624" s="17" t="s">
        <v>156</v>
      </c>
      <c r="B624" s="18" t="s">
        <v>159</v>
      </c>
      <c r="C624" s="18" t="s">
        <v>128</v>
      </c>
      <c r="D624" s="18">
        <v>47</v>
      </c>
      <c r="E624" s="17" t="s">
        <v>145</v>
      </c>
      <c r="F624" s="19">
        <v>1395</v>
      </c>
      <c r="G624" s="20">
        <f>F624+(VLOOKUP(D624,'(Semelles.Monument.€HT)'!C:G,3,FALSE()))</f>
        <v>1679</v>
      </c>
      <c r="H624" s="21">
        <f>F624+(VLOOKUP(D624,'(Semelles.Monument.€HT)'!C:G,4,FALSE()))</f>
        <v>1761</v>
      </c>
      <c r="I624" s="22">
        <f>F624+(VLOOKUP(D624,'(Semelles.Monument.€HT)'!C:G,5,FALSE()))</f>
        <v>1847</v>
      </c>
    </row>
    <row r="625" spans="1:9" ht="26" customHeight="1">
      <c r="A625" s="2" t="s">
        <v>156</v>
      </c>
      <c r="B625" s="13" t="s">
        <v>159</v>
      </c>
      <c r="C625" s="13" t="s">
        <v>128</v>
      </c>
      <c r="D625" s="13">
        <v>48</v>
      </c>
      <c r="E625" s="2" t="s">
        <v>146</v>
      </c>
      <c r="F625" s="7">
        <v>1411</v>
      </c>
      <c r="G625" s="3">
        <f>F625+(VLOOKUP(D625,'(Semelles.Monument.€HT)'!C:G,3,FALSE()))</f>
        <v>1698</v>
      </c>
      <c r="H625" s="4">
        <f>F625+(VLOOKUP(D625,'(Semelles.Monument.€HT)'!C:G,4,FALSE()))</f>
        <v>1781</v>
      </c>
      <c r="I625" s="5">
        <f>F625+(VLOOKUP(D625,'(Semelles.Monument.€HT)'!C:G,5,FALSE()))</f>
        <v>1868</v>
      </c>
    </row>
    <row r="626" spans="1:9" ht="26" customHeight="1">
      <c r="A626" s="17" t="s">
        <v>156</v>
      </c>
      <c r="B626" s="18" t="s">
        <v>160</v>
      </c>
      <c r="C626" s="18" t="s">
        <v>97</v>
      </c>
      <c r="D626" s="18">
        <v>1</v>
      </c>
      <c r="E626" s="17" t="s">
        <v>98</v>
      </c>
      <c r="F626" s="19">
        <v>646</v>
      </c>
      <c r="G626" s="20">
        <f>F626+(VLOOKUP(D626,'(Semelles.Monument.€HT)'!C:G,3,FALSE()))</f>
        <v>804</v>
      </c>
      <c r="H626" s="21">
        <f>F626+(VLOOKUP(D626,'(Semelles.Monument.€HT)'!C:G,4,FALSE()))</f>
        <v>850</v>
      </c>
      <c r="I626" s="22">
        <f>F626+(VLOOKUP(D626,'(Semelles.Monument.€HT)'!C:G,5,FALSE()))</f>
        <v>898</v>
      </c>
    </row>
    <row r="627" spans="1:9" ht="26" customHeight="1">
      <c r="A627" s="2" t="s">
        <v>156</v>
      </c>
      <c r="B627" s="13" t="s">
        <v>160</v>
      </c>
      <c r="C627" s="13" t="s">
        <v>97</v>
      </c>
      <c r="D627" s="13">
        <v>2</v>
      </c>
      <c r="E627" s="2" t="s">
        <v>99</v>
      </c>
      <c r="F627" s="7">
        <v>645</v>
      </c>
      <c r="G627" s="3">
        <f>F627+(VLOOKUP(D627,'(Semelles.Monument.€HT)'!C:G,3,FALSE()))</f>
        <v>803</v>
      </c>
      <c r="H627" s="4">
        <f>F627+(VLOOKUP(D627,'(Semelles.Monument.€HT)'!C:G,4,FALSE()))</f>
        <v>849</v>
      </c>
      <c r="I627" s="5">
        <f>F627+(VLOOKUP(D627,'(Semelles.Monument.€HT)'!C:G,5,FALSE()))</f>
        <v>897</v>
      </c>
    </row>
    <row r="628" spans="1:9" ht="26" customHeight="1">
      <c r="A628" s="17" t="s">
        <v>156</v>
      </c>
      <c r="B628" s="18" t="s">
        <v>160</v>
      </c>
      <c r="C628" s="18" t="s">
        <v>97</v>
      </c>
      <c r="D628" s="18">
        <v>3</v>
      </c>
      <c r="E628" s="17" t="s">
        <v>100</v>
      </c>
      <c r="F628" s="19">
        <v>718</v>
      </c>
      <c r="G628" s="20">
        <f>F628+(VLOOKUP(D628,'(Semelles.Monument.€HT)'!C:G,3,FALSE()))</f>
        <v>894</v>
      </c>
      <c r="H628" s="21">
        <f>F628+(VLOOKUP(D628,'(Semelles.Monument.€HT)'!C:G,4,FALSE()))</f>
        <v>945</v>
      </c>
      <c r="I628" s="22">
        <f>F628+(VLOOKUP(D628,'(Semelles.Monument.€HT)'!C:G,5,FALSE()))</f>
        <v>998</v>
      </c>
    </row>
    <row r="629" spans="1:9" ht="26" customHeight="1">
      <c r="A629" s="2" t="s">
        <v>156</v>
      </c>
      <c r="B629" s="13" t="s">
        <v>160</v>
      </c>
      <c r="C629" s="13" t="s">
        <v>97</v>
      </c>
      <c r="D629" s="13">
        <v>4</v>
      </c>
      <c r="E629" s="2" t="s">
        <v>101</v>
      </c>
      <c r="F629" s="7">
        <v>730</v>
      </c>
      <c r="G629" s="3">
        <f>F629+(VLOOKUP(D629,'(Semelles.Monument.€HT)'!C:G,3,FALSE()))</f>
        <v>909</v>
      </c>
      <c r="H629" s="4">
        <f>F629+(VLOOKUP(D629,'(Semelles.Monument.€HT)'!C:G,4,FALSE()))</f>
        <v>961</v>
      </c>
      <c r="I629" s="5">
        <f>F629+(VLOOKUP(D629,'(Semelles.Monument.€HT)'!C:G,5,FALSE()))</f>
        <v>1015</v>
      </c>
    </row>
    <row r="630" spans="1:9" ht="26" customHeight="1">
      <c r="A630" s="17" t="s">
        <v>156</v>
      </c>
      <c r="B630" s="18" t="s">
        <v>160</v>
      </c>
      <c r="C630" s="18" t="s">
        <v>97</v>
      </c>
      <c r="D630" s="18">
        <v>5</v>
      </c>
      <c r="E630" s="17" t="s">
        <v>102</v>
      </c>
      <c r="F630" s="19">
        <v>730</v>
      </c>
      <c r="G630" s="20">
        <f>F630+(VLOOKUP(D630,'(Semelles.Monument.€HT)'!C:G,3,FALSE()))</f>
        <v>909</v>
      </c>
      <c r="H630" s="21">
        <f>F630+(VLOOKUP(D630,'(Semelles.Monument.€HT)'!C:G,4,FALSE()))</f>
        <v>961</v>
      </c>
      <c r="I630" s="22">
        <f>F630+(VLOOKUP(D630,'(Semelles.Monument.€HT)'!C:G,5,FALSE()))</f>
        <v>1015</v>
      </c>
    </row>
    <row r="631" spans="1:9" ht="26" customHeight="1">
      <c r="A631" s="2" t="s">
        <v>156</v>
      </c>
      <c r="B631" s="13" t="s">
        <v>160</v>
      </c>
      <c r="C631" s="13" t="s">
        <v>97</v>
      </c>
      <c r="D631" s="13">
        <v>6</v>
      </c>
      <c r="E631" s="2" t="s">
        <v>103</v>
      </c>
      <c r="F631" s="7">
        <v>734</v>
      </c>
      <c r="G631" s="3">
        <f>F631+(VLOOKUP(D631,'(Semelles.Monument.€HT)'!C:G,3,FALSE()))</f>
        <v>914</v>
      </c>
      <c r="H631" s="4">
        <f>F631+(VLOOKUP(D631,'(Semelles.Monument.€HT)'!C:G,4,FALSE()))</f>
        <v>966</v>
      </c>
      <c r="I631" s="5">
        <f>F631+(VLOOKUP(D631,'(Semelles.Monument.€HT)'!C:G,5,FALSE()))</f>
        <v>1021</v>
      </c>
    </row>
    <row r="632" spans="1:9" ht="26" customHeight="1">
      <c r="A632" s="17" t="s">
        <v>156</v>
      </c>
      <c r="B632" s="18" t="s">
        <v>160</v>
      </c>
      <c r="C632" s="18" t="s">
        <v>97</v>
      </c>
      <c r="D632" s="18">
        <v>7</v>
      </c>
      <c r="E632" s="17" t="s">
        <v>104</v>
      </c>
      <c r="F632" s="19">
        <v>734</v>
      </c>
      <c r="G632" s="20">
        <f>F632+(VLOOKUP(D632,'(Semelles.Monument.€HT)'!C:G,3,FALSE()))</f>
        <v>914</v>
      </c>
      <c r="H632" s="21">
        <f>F632+(VLOOKUP(D632,'(Semelles.Monument.€HT)'!C:G,4,FALSE()))</f>
        <v>966</v>
      </c>
      <c r="I632" s="22">
        <f>F632+(VLOOKUP(D632,'(Semelles.Monument.€HT)'!C:G,5,FALSE()))</f>
        <v>1021</v>
      </c>
    </row>
    <row r="633" spans="1:9" ht="26" customHeight="1">
      <c r="A633" s="2" t="s">
        <v>156</v>
      </c>
      <c r="B633" s="13" t="s">
        <v>160</v>
      </c>
      <c r="C633" s="13" t="s">
        <v>97</v>
      </c>
      <c r="D633" s="13">
        <v>8</v>
      </c>
      <c r="E633" s="2" t="s">
        <v>105</v>
      </c>
      <c r="F633" s="7">
        <v>734</v>
      </c>
      <c r="G633" s="3">
        <f>F633+(VLOOKUP(D633,'(Semelles.Monument.€HT)'!C:G,3,FALSE()))</f>
        <v>914</v>
      </c>
      <c r="H633" s="4">
        <f>F633+(VLOOKUP(D633,'(Semelles.Monument.€HT)'!C:G,4,FALSE()))</f>
        <v>966</v>
      </c>
      <c r="I633" s="5">
        <f>F633+(VLOOKUP(D633,'(Semelles.Monument.€HT)'!C:G,5,FALSE()))</f>
        <v>1021</v>
      </c>
    </row>
    <row r="634" spans="1:9" ht="26" customHeight="1">
      <c r="A634" s="17" t="s">
        <v>156</v>
      </c>
      <c r="B634" s="18" t="s">
        <v>160</v>
      </c>
      <c r="C634" s="18" t="s">
        <v>97</v>
      </c>
      <c r="D634" s="18">
        <v>9</v>
      </c>
      <c r="E634" s="17" t="s">
        <v>106</v>
      </c>
      <c r="F634" s="19">
        <v>734</v>
      </c>
      <c r="G634" s="20">
        <f>F634+(VLOOKUP(D634,'(Semelles.Monument.€HT)'!C:G,3,FALSE()))</f>
        <v>914</v>
      </c>
      <c r="H634" s="21">
        <f>F634+(VLOOKUP(D634,'(Semelles.Monument.€HT)'!C:G,4,FALSE()))</f>
        <v>966</v>
      </c>
      <c r="I634" s="22">
        <f>F634+(VLOOKUP(D634,'(Semelles.Monument.€HT)'!C:G,5,FALSE()))</f>
        <v>1021</v>
      </c>
    </row>
    <row r="635" spans="1:9" ht="26" customHeight="1">
      <c r="A635" s="2" t="s">
        <v>156</v>
      </c>
      <c r="B635" s="13" t="s">
        <v>160</v>
      </c>
      <c r="C635" s="13" t="s">
        <v>97</v>
      </c>
      <c r="D635" s="13">
        <v>10</v>
      </c>
      <c r="E635" s="2" t="s">
        <v>107</v>
      </c>
      <c r="F635" s="7">
        <v>734</v>
      </c>
      <c r="G635" s="3">
        <f>F635+(VLOOKUP(D635,'(Semelles.Monument.€HT)'!C:G,3,FALSE()))</f>
        <v>914</v>
      </c>
      <c r="H635" s="4">
        <f>F635+(VLOOKUP(D635,'(Semelles.Monument.€HT)'!C:G,4,FALSE()))</f>
        <v>966</v>
      </c>
      <c r="I635" s="5">
        <f>F635+(VLOOKUP(D635,'(Semelles.Monument.€HT)'!C:G,5,FALSE()))</f>
        <v>1021</v>
      </c>
    </row>
    <row r="636" spans="1:9" ht="26" customHeight="1">
      <c r="A636" s="17" t="s">
        <v>156</v>
      </c>
      <c r="B636" s="18" t="s">
        <v>160</v>
      </c>
      <c r="C636" s="18" t="s">
        <v>97</v>
      </c>
      <c r="D636" s="18">
        <v>11</v>
      </c>
      <c r="E636" s="17" t="s">
        <v>108</v>
      </c>
      <c r="F636" s="19">
        <v>734</v>
      </c>
      <c r="G636" s="20">
        <f>F636+(VLOOKUP(D636,'(Semelles.Monument.€HT)'!C:G,3,FALSE()))</f>
        <v>914</v>
      </c>
      <c r="H636" s="21">
        <f>F636+(VLOOKUP(D636,'(Semelles.Monument.€HT)'!C:G,4,FALSE()))</f>
        <v>966</v>
      </c>
      <c r="I636" s="22">
        <f>F636+(VLOOKUP(D636,'(Semelles.Monument.€HT)'!C:G,5,FALSE()))</f>
        <v>1021</v>
      </c>
    </row>
    <row r="637" spans="1:9" ht="26" customHeight="1">
      <c r="A637" s="2" t="s">
        <v>156</v>
      </c>
      <c r="B637" s="13" t="s">
        <v>160</v>
      </c>
      <c r="C637" s="13" t="s">
        <v>97</v>
      </c>
      <c r="D637" s="13">
        <v>12</v>
      </c>
      <c r="E637" s="2" t="s">
        <v>109</v>
      </c>
      <c r="F637" s="7">
        <v>744</v>
      </c>
      <c r="G637" s="3">
        <f>F637+(VLOOKUP(D637,'(Semelles.Monument.€HT)'!C:G,3,FALSE()))</f>
        <v>926</v>
      </c>
      <c r="H637" s="4">
        <f>F637+(VLOOKUP(D637,'(Semelles.Monument.€HT)'!C:G,4,FALSE()))</f>
        <v>979</v>
      </c>
      <c r="I637" s="5">
        <f>F637+(VLOOKUP(D637,'(Semelles.Monument.€HT)'!C:G,5,FALSE()))</f>
        <v>1035</v>
      </c>
    </row>
    <row r="638" spans="1:9" ht="26" customHeight="1">
      <c r="A638" s="17" t="s">
        <v>156</v>
      </c>
      <c r="B638" s="18" t="s">
        <v>160</v>
      </c>
      <c r="C638" s="18" t="s">
        <v>97</v>
      </c>
      <c r="D638" s="18">
        <v>13</v>
      </c>
      <c r="E638" s="17" t="s">
        <v>110</v>
      </c>
      <c r="F638" s="19">
        <v>744</v>
      </c>
      <c r="G638" s="20">
        <f>F638+(VLOOKUP(D638,'(Semelles.Monument.€HT)'!C:G,3,FALSE()))</f>
        <v>926</v>
      </c>
      <c r="H638" s="21">
        <f>F638+(VLOOKUP(D638,'(Semelles.Monument.€HT)'!C:G,4,FALSE()))</f>
        <v>979</v>
      </c>
      <c r="I638" s="22">
        <f>F638+(VLOOKUP(D638,'(Semelles.Monument.€HT)'!C:G,5,FALSE()))</f>
        <v>1035</v>
      </c>
    </row>
    <row r="639" spans="1:9" ht="26" customHeight="1">
      <c r="A639" s="2" t="s">
        <v>156</v>
      </c>
      <c r="B639" s="13" t="s">
        <v>160</v>
      </c>
      <c r="C639" s="13" t="s">
        <v>97</v>
      </c>
      <c r="D639" s="13">
        <v>14</v>
      </c>
      <c r="E639" s="2" t="s">
        <v>111</v>
      </c>
      <c r="F639" s="7">
        <v>747</v>
      </c>
      <c r="G639" s="3">
        <f>F639+(VLOOKUP(D639,'(Semelles.Monument.€HT)'!C:G,3,FALSE()))</f>
        <v>930</v>
      </c>
      <c r="H639" s="4">
        <f>F639+(VLOOKUP(D639,'(Semelles.Monument.€HT)'!C:G,4,FALSE()))</f>
        <v>983</v>
      </c>
      <c r="I639" s="5">
        <f>F639+(VLOOKUP(D639,'(Semelles.Monument.€HT)'!C:G,5,FALSE()))</f>
        <v>1039</v>
      </c>
    </row>
    <row r="640" spans="1:9" ht="26" customHeight="1">
      <c r="A640" s="17" t="s">
        <v>156</v>
      </c>
      <c r="B640" s="18" t="s">
        <v>160</v>
      </c>
      <c r="C640" s="18" t="s">
        <v>97</v>
      </c>
      <c r="D640" s="18">
        <v>15</v>
      </c>
      <c r="E640" s="17" t="s">
        <v>112</v>
      </c>
      <c r="F640" s="19">
        <v>747</v>
      </c>
      <c r="G640" s="20">
        <f>F640+(VLOOKUP(D640,'(Semelles.Monument.€HT)'!C:G,3,FALSE()))</f>
        <v>930</v>
      </c>
      <c r="H640" s="21">
        <f>F640+(VLOOKUP(D640,'(Semelles.Monument.€HT)'!C:G,4,FALSE()))</f>
        <v>983</v>
      </c>
      <c r="I640" s="22">
        <f>F640+(VLOOKUP(D640,'(Semelles.Monument.€HT)'!C:G,5,FALSE()))</f>
        <v>1039</v>
      </c>
    </row>
    <row r="641" spans="1:9" ht="26" customHeight="1">
      <c r="A641" s="2" t="s">
        <v>156</v>
      </c>
      <c r="B641" s="13" t="s">
        <v>160</v>
      </c>
      <c r="C641" s="13" t="s">
        <v>97</v>
      </c>
      <c r="D641" s="13">
        <v>16</v>
      </c>
      <c r="E641" s="2" t="s">
        <v>113</v>
      </c>
      <c r="F641" s="7">
        <v>747</v>
      </c>
      <c r="G641" s="3">
        <f>F641+(VLOOKUP(D641,'(Semelles.Monument.€HT)'!C:G,3,FALSE()))</f>
        <v>930</v>
      </c>
      <c r="H641" s="4">
        <f>F641+(VLOOKUP(D641,'(Semelles.Monument.€HT)'!C:G,4,FALSE()))</f>
        <v>983</v>
      </c>
      <c r="I641" s="5">
        <f>F641+(VLOOKUP(D641,'(Semelles.Monument.€HT)'!C:G,5,FALSE()))</f>
        <v>1039</v>
      </c>
    </row>
    <row r="642" spans="1:9" ht="26" customHeight="1">
      <c r="A642" s="17" t="s">
        <v>156</v>
      </c>
      <c r="B642" s="18" t="s">
        <v>160</v>
      </c>
      <c r="C642" s="18" t="s">
        <v>97</v>
      </c>
      <c r="D642" s="18">
        <v>17</v>
      </c>
      <c r="E642" s="17" t="s">
        <v>114</v>
      </c>
      <c r="F642" s="19">
        <v>760</v>
      </c>
      <c r="G642" s="20">
        <f>F642+(VLOOKUP(D642,'(Semelles.Monument.€HT)'!C:G,3,FALSE()))</f>
        <v>946</v>
      </c>
      <c r="H642" s="21">
        <f>F642+(VLOOKUP(D642,'(Semelles.Monument.€HT)'!C:G,4,FALSE()))</f>
        <v>1000</v>
      </c>
      <c r="I642" s="22">
        <f>F642+(VLOOKUP(D642,'(Semelles.Monument.€HT)'!C:G,5,FALSE()))</f>
        <v>1057</v>
      </c>
    </row>
    <row r="643" spans="1:9" ht="26" customHeight="1">
      <c r="A643" s="2" t="s">
        <v>156</v>
      </c>
      <c r="B643" s="13" t="s">
        <v>160</v>
      </c>
      <c r="C643" s="13" t="s">
        <v>97</v>
      </c>
      <c r="D643" s="13">
        <v>18</v>
      </c>
      <c r="E643" s="2" t="s">
        <v>115</v>
      </c>
      <c r="F643" s="7">
        <v>760</v>
      </c>
      <c r="G643" s="3">
        <f>F643+(VLOOKUP(D643,'(Semelles.Monument.€HT)'!C:G,3,FALSE()))</f>
        <v>946</v>
      </c>
      <c r="H643" s="4">
        <f>F643+(VLOOKUP(D643,'(Semelles.Monument.€HT)'!C:G,4,FALSE()))</f>
        <v>1000</v>
      </c>
      <c r="I643" s="5">
        <f>F643+(VLOOKUP(D643,'(Semelles.Monument.€HT)'!C:G,5,FALSE()))</f>
        <v>1057</v>
      </c>
    </row>
    <row r="644" spans="1:9" ht="26" customHeight="1">
      <c r="A644" s="17" t="s">
        <v>156</v>
      </c>
      <c r="B644" s="18" t="s">
        <v>160</v>
      </c>
      <c r="C644" s="18" t="s">
        <v>97</v>
      </c>
      <c r="D644" s="18">
        <v>19</v>
      </c>
      <c r="E644" s="17" t="s">
        <v>116</v>
      </c>
      <c r="F644" s="19">
        <v>760</v>
      </c>
      <c r="G644" s="20">
        <f>F644+(VLOOKUP(D644,'(Semelles.Monument.€HT)'!C:G,3,FALSE()))</f>
        <v>946</v>
      </c>
      <c r="H644" s="21">
        <f>F644+(VLOOKUP(D644,'(Semelles.Monument.€HT)'!C:G,4,FALSE()))</f>
        <v>1000</v>
      </c>
      <c r="I644" s="22">
        <f>F644+(VLOOKUP(D644,'(Semelles.Monument.€HT)'!C:G,5,FALSE()))</f>
        <v>1057</v>
      </c>
    </row>
    <row r="645" spans="1:9" ht="26" customHeight="1">
      <c r="A645" s="2" t="s">
        <v>156</v>
      </c>
      <c r="B645" s="13" t="s">
        <v>160</v>
      </c>
      <c r="C645" s="13" t="s">
        <v>97</v>
      </c>
      <c r="D645" s="13">
        <v>20</v>
      </c>
      <c r="E645" s="2" t="s">
        <v>117</v>
      </c>
      <c r="F645" s="7">
        <v>766</v>
      </c>
      <c r="G645" s="3">
        <f>F645+(VLOOKUP(D645,'(Semelles.Monument.€HT)'!C:G,3,FALSE()))</f>
        <v>954</v>
      </c>
      <c r="H645" s="4">
        <f>F645+(VLOOKUP(D645,'(Semelles.Monument.€HT)'!C:G,4,FALSE()))</f>
        <v>1008</v>
      </c>
      <c r="I645" s="5">
        <f>F645+(VLOOKUP(D645,'(Semelles.Monument.€HT)'!C:G,5,FALSE()))</f>
        <v>1065</v>
      </c>
    </row>
    <row r="646" spans="1:9" ht="26" customHeight="1">
      <c r="A646" s="17" t="s">
        <v>156</v>
      </c>
      <c r="B646" s="18" t="s">
        <v>160</v>
      </c>
      <c r="C646" s="18" t="s">
        <v>97</v>
      </c>
      <c r="D646" s="18">
        <v>21</v>
      </c>
      <c r="E646" s="17" t="s">
        <v>118</v>
      </c>
      <c r="F646" s="19">
        <v>770</v>
      </c>
      <c r="G646" s="20">
        <f>F646+(VLOOKUP(D646,'(Semelles.Monument.€HT)'!C:G,3,FALSE()))</f>
        <v>959</v>
      </c>
      <c r="H646" s="21">
        <f>F646+(VLOOKUP(D646,'(Semelles.Monument.€HT)'!C:G,4,FALSE()))</f>
        <v>1013</v>
      </c>
      <c r="I646" s="22">
        <f>F646+(VLOOKUP(D646,'(Semelles.Monument.€HT)'!C:G,5,FALSE()))</f>
        <v>1071</v>
      </c>
    </row>
    <row r="647" spans="1:9" ht="26" customHeight="1">
      <c r="A647" s="2" t="s">
        <v>156</v>
      </c>
      <c r="B647" s="13" t="s">
        <v>160</v>
      </c>
      <c r="C647" s="13" t="s">
        <v>97</v>
      </c>
      <c r="D647" s="13">
        <v>22</v>
      </c>
      <c r="E647" s="2" t="s">
        <v>119</v>
      </c>
      <c r="F647" s="7">
        <v>770</v>
      </c>
      <c r="G647" s="3">
        <f>F647+(VLOOKUP(D647,'(Semelles.Monument.€HT)'!C:G,3,FALSE()))</f>
        <v>959</v>
      </c>
      <c r="H647" s="4">
        <f>F647+(VLOOKUP(D647,'(Semelles.Monument.€HT)'!C:G,4,FALSE()))</f>
        <v>1013</v>
      </c>
      <c r="I647" s="5">
        <f>F647+(VLOOKUP(D647,'(Semelles.Monument.€HT)'!C:G,5,FALSE()))</f>
        <v>1071</v>
      </c>
    </row>
    <row r="648" spans="1:9" ht="26" customHeight="1">
      <c r="A648" s="17" t="s">
        <v>156</v>
      </c>
      <c r="B648" s="18" t="s">
        <v>160</v>
      </c>
      <c r="C648" s="18" t="s">
        <v>97</v>
      </c>
      <c r="D648" s="18">
        <v>23</v>
      </c>
      <c r="E648" s="17" t="s">
        <v>120</v>
      </c>
      <c r="F648" s="19">
        <v>782</v>
      </c>
      <c r="G648" s="20">
        <f>F648+(VLOOKUP(D648,'(Semelles.Monument.€HT)'!C:G,3,FALSE()))</f>
        <v>974</v>
      </c>
      <c r="H648" s="21">
        <f>F648+(VLOOKUP(D648,'(Semelles.Monument.€HT)'!C:G,4,FALSE()))</f>
        <v>1029</v>
      </c>
      <c r="I648" s="22">
        <f>F648+(VLOOKUP(D648,'(Semelles.Monument.€HT)'!C:G,5,FALSE()))</f>
        <v>1087</v>
      </c>
    </row>
    <row r="649" spans="1:9" ht="26" customHeight="1">
      <c r="A649" s="2" t="s">
        <v>156</v>
      </c>
      <c r="B649" s="13" t="s">
        <v>160</v>
      </c>
      <c r="C649" s="13" t="s">
        <v>97</v>
      </c>
      <c r="D649" s="13">
        <v>24</v>
      </c>
      <c r="E649" s="2" t="s">
        <v>121</v>
      </c>
      <c r="F649" s="7">
        <v>782</v>
      </c>
      <c r="G649" s="3">
        <f>F649+(VLOOKUP(D649,'(Semelles.Monument.€HT)'!C:G,3,FALSE()))</f>
        <v>974</v>
      </c>
      <c r="H649" s="4">
        <f>F649+(VLOOKUP(D649,'(Semelles.Monument.€HT)'!C:G,4,FALSE()))</f>
        <v>1029</v>
      </c>
      <c r="I649" s="5">
        <f>F649+(VLOOKUP(D649,'(Semelles.Monument.€HT)'!C:G,5,FALSE()))</f>
        <v>1087</v>
      </c>
    </row>
    <row r="650" spans="1:9" ht="26" customHeight="1">
      <c r="A650" s="17" t="s">
        <v>156</v>
      </c>
      <c r="B650" s="18" t="s">
        <v>160</v>
      </c>
      <c r="C650" s="18" t="s">
        <v>97</v>
      </c>
      <c r="D650" s="18">
        <v>25</v>
      </c>
      <c r="E650" s="17" t="s">
        <v>122</v>
      </c>
      <c r="F650" s="19">
        <v>782</v>
      </c>
      <c r="G650" s="20">
        <f>F650+(VLOOKUP(D650,'(Semelles.Monument.€HT)'!C:G,3,FALSE()))</f>
        <v>974</v>
      </c>
      <c r="H650" s="21">
        <f>F650+(VLOOKUP(D650,'(Semelles.Monument.€HT)'!C:G,4,FALSE()))</f>
        <v>1029</v>
      </c>
      <c r="I650" s="22">
        <f>F650+(VLOOKUP(D650,'(Semelles.Monument.€HT)'!C:G,5,FALSE()))</f>
        <v>1087</v>
      </c>
    </row>
    <row r="651" spans="1:9" ht="26" customHeight="1">
      <c r="A651" s="2" t="s">
        <v>156</v>
      </c>
      <c r="B651" s="13" t="s">
        <v>160</v>
      </c>
      <c r="C651" s="13" t="s">
        <v>97</v>
      </c>
      <c r="D651" s="13">
        <v>26</v>
      </c>
      <c r="E651" s="2" t="s">
        <v>123</v>
      </c>
      <c r="F651" s="7">
        <v>795</v>
      </c>
      <c r="G651" s="3">
        <f>F651+(VLOOKUP(D651,'(Semelles.Monument.€HT)'!C:G,3,FALSE()))</f>
        <v>990</v>
      </c>
      <c r="H651" s="4">
        <f>F651+(VLOOKUP(D651,'(Semelles.Monument.€HT)'!C:G,4,FALSE()))</f>
        <v>1046</v>
      </c>
      <c r="I651" s="5">
        <f>F651+(VLOOKUP(D651,'(Semelles.Monument.€HT)'!C:G,5,FALSE()))</f>
        <v>1105</v>
      </c>
    </row>
    <row r="652" spans="1:9" ht="26" customHeight="1">
      <c r="A652" s="17" t="s">
        <v>156</v>
      </c>
      <c r="B652" s="18" t="s">
        <v>160</v>
      </c>
      <c r="C652" s="18" t="s">
        <v>97</v>
      </c>
      <c r="D652" s="18">
        <v>27</v>
      </c>
      <c r="E652" s="17" t="s">
        <v>124</v>
      </c>
      <c r="F652" s="19">
        <v>847</v>
      </c>
      <c r="G652" s="20">
        <f>F652+(VLOOKUP(D652,'(Semelles.Monument.€HT)'!C:G,3,FALSE()))</f>
        <v>1055</v>
      </c>
      <c r="H652" s="21">
        <f>F652+(VLOOKUP(D652,'(Semelles.Monument.€HT)'!C:G,4,FALSE()))</f>
        <v>1115</v>
      </c>
      <c r="I652" s="22">
        <f>F652+(VLOOKUP(D652,'(Semelles.Monument.€HT)'!C:G,5,FALSE()))</f>
        <v>1214</v>
      </c>
    </row>
    <row r="653" spans="1:9" ht="26" customHeight="1">
      <c r="A653" s="2" t="s">
        <v>156</v>
      </c>
      <c r="B653" s="13" t="s">
        <v>160</v>
      </c>
      <c r="C653" s="13" t="s">
        <v>97</v>
      </c>
      <c r="D653" s="13">
        <v>28</v>
      </c>
      <c r="E653" s="2" t="s">
        <v>125</v>
      </c>
      <c r="F653" s="7">
        <v>939</v>
      </c>
      <c r="G653" s="3">
        <f>F653+(VLOOKUP(D653,'(Semelles.Monument.€HT)'!C:G,3,FALSE()))</f>
        <v>1169</v>
      </c>
      <c r="H653" s="4">
        <f>F653+(VLOOKUP(D653,'(Semelles.Monument.€HT)'!C:G,4,FALSE()))</f>
        <v>1236</v>
      </c>
      <c r="I653" s="5">
        <f>F653+(VLOOKUP(D653,'(Semelles.Monument.€HT)'!C:G,5,FALSE()))</f>
        <v>1306</v>
      </c>
    </row>
    <row r="654" spans="1:9" ht="26" customHeight="1">
      <c r="A654" s="17" t="s">
        <v>156</v>
      </c>
      <c r="B654" s="18" t="s">
        <v>160</v>
      </c>
      <c r="C654" s="18" t="s">
        <v>97</v>
      </c>
      <c r="D654" s="18">
        <v>29</v>
      </c>
      <c r="E654" s="17" t="s">
        <v>126</v>
      </c>
      <c r="F654" s="19">
        <v>978</v>
      </c>
      <c r="G654" s="20">
        <f>F654+(VLOOKUP(D654,'(Semelles.Monument.€HT)'!C:G,3,FALSE()))</f>
        <v>1218</v>
      </c>
      <c r="H654" s="21">
        <f>F654+(VLOOKUP(D654,'(Semelles.Monument.€HT)'!C:G,4,FALSE()))</f>
        <v>1287</v>
      </c>
      <c r="I654" s="22">
        <f>F654+(VLOOKUP(D654,'(Semelles.Monument.€HT)'!C:G,5,FALSE()))</f>
        <v>1360</v>
      </c>
    </row>
    <row r="655" spans="1:9" ht="26" customHeight="1">
      <c r="A655" s="2" t="s">
        <v>156</v>
      </c>
      <c r="B655" s="13" t="s">
        <v>160</v>
      </c>
      <c r="C655" s="13" t="s">
        <v>97</v>
      </c>
      <c r="D655" s="13">
        <v>30</v>
      </c>
      <c r="E655" s="2" t="s">
        <v>127</v>
      </c>
      <c r="F655" s="7">
        <v>978</v>
      </c>
      <c r="G655" s="3">
        <f>F655+(VLOOKUP(D655,'(Semelles.Monument.€HT)'!C:G,3,FALSE()))</f>
        <v>1218</v>
      </c>
      <c r="H655" s="4">
        <f>F655+(VLOOKUP(D655,'(Semelles.Monument.€HT)'!C:G,4,FALSE()))</f>
        <v>1287</v>
      </c>
      <c r="I655" s="5">
        <f>F655+(VLOOKUP(D655,'(Semelles.Monument.€HT)'!C:G,5,FALSE()))</f>
        <v>1360</v>
      </c>
    </row>
    <row r="656" spans="1:9" ht="26" customHeight="1">
      <c r="A656" s="17" t="s">
        <v>156</v>
      </c>
      <c r="B656" s="18" t="s">
        <v>160</v>
      </c>
      <c r="C656" s="18" t="s">
        <v>128</v>
      </c>
      <c r="D656" s="18">
        <v>31</v>
      </c>
      <c r="E656" s="17" t="s">
        <v>129</v>
      </c>
      <c r="F656" s="19">
        <v>558</v>
      </c>
      <c r="G656" s="20">
        <f>F656+(VLOOKUP(D656,'(Semelles.Monument.€HT)'!C:G,3,FALSE()))</f>
        <v>690</v>
      </c>
      <c r="H656" s="21">
        <f>F656+(VLOOKUP(D656,'(Semelles.Monument.€HT)'!C:G,4,FALSE()))</f>
        <v>728</v>
      </c>
      <c r="I656" s="22">
        <f>F656+(VLOOKUP(D656,'(Semelles.Monument.€HT)'!C:G,5,FALSE()))</f>
        <v>768</v>
      </c>
    </row>
    <row r="657" spans="1:9" ht="26" customHeight="1">
      <c r="A657" s="2" t="s">
        <v>156</v>
      </c>
      <c r="B657" s="13" t="s">
        <v>160</v>
      </c>
      <c r="C657" s="13" t="s">
        <v>128</v>
      </c>
      <c r="D657" s="13">
        <v>32</v>
      </c>
      <c r="E657" s="2" t="s">
        <v>130</v>
      </c>
      <c r="F657" s="7">
        <v>566</v>
      </c>
      <c r="G657" s="3">
        <f>F657+(VLOOKUP(D657,'(Semelles.Monument.€HT)'!C:G,3,FALSE()))</f>
        <v>700</v>
      </c>
      <c r="H657" s="4">
        <f>F657+(VLOOKUP(D657,'(Semelles.Monument.€HT)'!C:G,4,FALSE()))</f>
        <v>739</v>
      </c>
      <c r="I657" s="5">
        <f>F657+(VLOOKUP(D657,'(Semelles.Monument.€HT)'!C:G,5,FALSE()))</f>
        <v>779</v>
      </c>
    </row>
    <row r="658" spans="1:9" ht="26" customHeight="1">
      <c r="A658" s="17" t="s">
        <v>156</v>
      </c>
      <c r="B658" s="18" t="s">
        <v>160</v>
      </c>
      <c r="C658" s="18" t="s">
        <v>128</v>
      </c>
      <c r="D658" s="18">
        <v>33</v>
      </c>
      <c r="E658" s="17" t="s">
        <v>131</v>
      </c>
      <c r="F658" s="19">
        <v>566</v>
      </c>
      <c r="G658" s="20">
        <f>F658+(VLOOKUP(D658,'(Semelles.Monument.€HT)'!C:G,3,FALSE()))</f>
        <v>700</v>
      </c>
      <c r="H658" s="21">
        <f>F658+(VLOOKUP(D658,'(Semelles.Monument.€HT)'!C:G,4,FALSE()))</f>
        <v>739</v>
      </c>
      <c r="I658" s="22">
        <f>F658+(VLOOKUP(D658,'(Semelles.Monument.€HT)'!C:G,5,FALSE()))</f>
        <v>779</v>
      </c>
    </row>
    <row r="659" spans="1:9" ht="26" customHeight="1">
      <c r="A659" s="2" t="s">
        <v>156</v>
      </c>
      <c r="B659" s="13" t="s">
        <v>160</v>
      </c>
      <c r="C659" s="13" t="s">
        <v>128</v>
      </c>
      <c r="D659" s="13">
        <v>34</v>
      </c>
      <c r="E659" s="2" t="s">
        <v>132</v>
      </c>
      <c r="F659" s="7">
        <v>571</v>
      </c>
      <c r="G659" s="3">
        <f>F659+(VLOOKUP(D659,'(Semelles.Monument.€HT)'!C:G,3,FALSE()))</f>
        <v>706</v>
      </c>
      <c r="H659" s="4">
        <f>F659+(VLOOKUP(D659,'(Semelles.Monument.€HT)'!C:G,4,FALSE()))</f>
        <v>745</v>
      </c>
      <c r="I659" s="5">
        <f>F659+(VLOOKUP(D659,'(Semelles.Monument.€HT)'!C:G,5,FALSE()))</f>
        <v>786</v>
      </c>
    </row>
    <row r="660" spans="1:9" ht="26" customHeight="1">
      <c r="A660" s="17" t="s">
        <v>156</v>
      </c>
      <c r="B660" s="18" t="s">
        <v>160</v>
      </c>
      <c r="C660" s="18" t="s">
        <v>128</v>
      </c>
      <c r="D660" s="18">
        <v>35</v>
      </c>
      <c r="E660" s="17" t="s">
        <v>133</v>
      </c>
      <c r="F660" s="19">
        <v>684</v>
      </c>
      <c r="G660" s="20">
        <f>F660+(VLOOKUP(D660,'(Semelles.Monument.€HT)'!C:G,3,FALSE()))</f>
        <v>847</v>
      </c>
      <c r="H660" s="21">
        <f>F660+(VLOOKUP(D660,'(Semelles.Monument.€HT)'!C:G,4,FALSE()))</f>
        <v>894</v>
      </c>
      <c r="I660" s="22">
        <f>F660+(VLOOKUP(D660,'(Semelles.Monument.€HT)'!C:G,5,FALSE()))</f>
        <v>943</v>
      </c>
    </row>
    <row r="661" spans="1:9" ht="26" customHeight="1">
      <c r="A661" s="2" t="s">
        <v>156</v>
      </c>
      <c r="B661" s="13" t="s">
        <v>160</v>
      </c>
      <c r="C661" s="13" t="s">
        <v>128</v>
      </c>
      <c r="D661" s="13">
        <v>36</v>
      </c>
      <c r="E661" s="2" t="s">
        <v>134</v>
      </c>
      <c r="F661" s="7">
        <v>707</v>
      </c>
      <c r="G661" s="3">
        <f>F661+(VLOOKUP(D661,'(Semelles.Monument.€HT)'!C:G,3,FALSE()))</f>
        <v>875</v>
      </c>
      <c r="H661" s="4">
        <f>F661+(VLOOKUP(D661,'(Semelles.Monument.€HT)'!C:G,4,FALSE()))</f>
        <v>924</v>
      </c>
      <c r="I661" s="5">
        <f>F661+(VLOOKUP(D661,'(Semelles.Monument.€HT)'!C:G,5,FALSE()))</f>
        <v>975</v>
      </c>
    </row>
    <row r="662" spans="1:9" ht="26" customHeight="1">
      <c r="A662" s="17" t="s">
        <v>156</v>
      </c>
      <c r="B662" s="18" t="s">
        <v>160</v>
      </c>
      <c r="C662" s="18" t="s">
        <v>128</v>
      </c>
      <c r="D662" s="18">
        <v>37</v>
      </c>
      <c r="E662" s="17" t="s">
        <v>135</v>
      </c>
      <c r="F662" s="19">
        <v>869</v>
      </c>
      <c r="G662" s="20">
        <f>F662+(VLOOKUP(D662,'(Semelles.Monument.€HT)'!C:G,3,FALSE()))</f>
        <v>1077</v>
      </c>
      <c r="H662" s="21">
        <f>F662+(VLOOKUP(D662,'(Semelles.Monument.€HT)'!C:G,4,FALSE()))</f>
        <v>1137</v>
      </c>
      <c r="I662" s="22">
        <f>F662+(VLOOKUP(D662,'(Semelles.Monument.€HT)'!C:G,5,FALSE()))</f>
        <v>1201</v>
      </c>
    </row>
    <row r="663" spans="1:9" ht="26" customHeight="1">
      <c r="A663" s="2" t="s">
        <v>156</v>
      </c>
      <c r="B663" s="13" t="s">
        <v>160</v>
      </c>
      <c r="C663" s="13" t="s">
        <v>128</v>
      </c>
      <c r="D663" s="13">
        <v>38</v>
      </c>
      <c r="E663" s="2" t="s">
        <v>136</v>
      </c>
      <c r="F663" s="7">
        <v>919</v>
      </c>
      <c r="G663" s="3">
        <f>F663+(VLOOKUP(D663,'(Semelles.Monument.€HT)'!C:G,3,FALSE()))</f>
        <v>1139</v>
      </c>
      <c r="H663" s="4">
        <f>F663+(VLOOKUP(D663,'(Semelles.Monument.€HT)'!C:G,4,FALSE()))</f>
        <v>1203</v>
      </c>
      <c r="I663" s="5">
        <f>F663+(VLOOKUP(D663,'(Semelles.Monument.€HT)'!C:G,5,FALSE()))</f>
        <v>1270</v>
      </c>
    </row>
    <row r="664" spans="1:9" ht="26" customHeight="1">
      <c r="A664" s="17" t="s">
        <v>156</v>
      </c>
      <c r="B664" s="18" t="s">
        <v>160</v>
      </c>
      <c r="C664" s="18" t="s">
        <v>128</v>
      </c>
      <c r="D664" s="18">
        <v>39</v>
      </c>
      <c r="E664" s="17" t="s">
        <v>137</v>
      </c>
      <c r="F664" s="19">
        <v>942</v>
      </c>
      <c r="G664" s="20">
        <f>F664+(VLOOKUP(D664,'(Semelles.Monument.€HT)'!C:G,3,FALSE()))</f>
        <v>1168</v>
      </c>
      <c r="H664" s="21">
        <f>F664+(VLOOKUP(D664,'(Semelles.Monument.€HT)'!C:G,4,FALSE()))</f>
        <v>1233</v>
      </c>
      <c r="I664" s="22">
        <f>F664+(VLOOKUP(D664,'(Semelles.Monument.€HT)'!C:G,5,FALSE()))</f>
        <v>1302</v>
      </c>
    </row>
    <row r="665" spans="1:9" ht="26" customHeight="1">
      <c r="A665" s="2" t="s">
        <v>156</v>
      </c>
      <c r="B665" s="13" t="s">
        <v>160</v>
      </c>
      <c r="C665" s="13" t="s">
        <v>128</v>
      </c>
      <c r="D665" s="13">
        <v>40</v>
      </c>
      <c r="E665" s="2" t="s">
        <v>138</v>
      </c>
      <c r="F665" s="7">
        <v>968</v>
      </c>
      <c r="G665" s="3">
        <f>F665+(VLOOKUP(D665,'(Semelles.Monument.€HT)'!C:G,3,FALSE()))</f>
        <v>1200</v>
      </c>
      <c r="H665" s="4">
        <f>F665+(VLOOKUP(D665,'(Semelles.Monument.€HT)'!C:G,4,FALSE()))</f>
        <v>1268</v>
      </c>
      <c r="I665" s="5">
        <f>F665+(VLOOKUP(D665,'(Semelles.Monument.€HT)'!C:G,5,FALSE()))</f>
        <v>1338</v>
      </c>
    </row>
    <row r="666" spans="1:9" ht="26" customHeight="1">
      <c r="A666" s="17" t="s">
        <v>156</v>
      </c>
      <c r="B666" s="18" t="s">
        <v>160</v>
      </c>
      <c r="C666" s="18" t="s">
        <v>128</v>
      </c>
      <c r="D666" s="18">
        <v>41</v>
      </c>
      <c r="E666" s="17" t="s">
        <v>139</v>
      </c>
      <c r="F666" s="19">
        <v>1028</v>
      </c>
      <c r="G666" s="20">
        <f>F666+(VLOOKUP(D666,'(Semelles.Monument.€HT)'!C:G,3,FALSE()))</f>
        <v>1275</v>
      </c>
      <c r="H666" s="21">
        <f>F666+(VLOOKUP(D666,'(Semelles.Monument.€HT)'!C:G,4,FALSE()))</f>
        <v>1347</v>
      </c>
      <c r="I666" s="22">
        <f>F666+(VLOOKUP(D666,'(Semelles.Monument.€HT)'!C:G,5,FALSE()))</f>
        <v>1422</v>
      </c>
    </row>
    <row r="667" spans="1:9" ht="26" customHeight="1">
      <c r="A667" s="2" t="s">
        <v>156</v>
      </c>
      <c r="B667" s="13" t="s">
        <v>160</v>
      </c>
      <c r="C667" s="13" t="s">
        <v>128</v>
      </c>
      <c r="D667" s="13">
        <v>42</v>
      </c>
      <c r="E667" s="2" t="s">
        <v>140</v>
      </c>
      <c r="F667" s="7">
        <v>1128</v>
      </c>
      <c r="G667" s="3">
        <f>F667+(VLOOKUP(D667,'(Semelles.Monument.€HT)'!C:G,3,FALSE()))</f>
        <v>1399</v>
      </c>
      <c r="H667" s="4">
        <f>F667+(VLOOKUP(D667,'(Semelles.Monument.€HT)'!C:G,4,FALSE()))</f>
        <v>1478</v>
      </c>
      <c r="I667" s="5">
        <f>F667+(VLOOKUP(D667,'(Semelles.Monument.€HT)'!C:G,5,FALSE()))</f>
        <v>1561</v>
      </c>
    </row>
    <row r="668" spans="1:9" ht="26" customHeight="1">
      <c r="A668" s="17" t="s">
        <v>156</v>
      </c>
      <c r="B668" s="18" t="s">
        <v>160</v>
      </c>
      <c r="C668" s="18" t="s">
        <v>128</v>
      </c>
      <c r="D668" s="18">
        <v>43</v>
      </c>
      <c r="E668" s="17" t="s">
        <v>141</v>
      </c>
      <c r="F668" s="19">
        <v>1128</v>
      </c>
      <c r="G668" s="20">
        <f>F668+(VLOOKUP(D668,'(Semelles.Monument.€HT)'!C:G,3,FALSE()))</f>
        <v>1399</v>
      </c>
      <c r="H668" s="21">
        <f>F668+(VLOOKUP(D668,'(Semelles.Monument.€HT)'!C:G,4,FALSE()))</f>
        <v>1478</v>
      </c>
      <c r="I668" s="22">
        <f>F668+(VLOOKUP(D668,'(Semelles.Monument.€HT)'!C:G,5,FALSE()))</f>
        <v>1561</v>
      </c>
    </row>
    <row r="669" spans="1:9" ht="26" customHeight="1">
      <c r="A669" s="2" t="s">
        <v>156</v>
      </c>
      <c r="B669" s="13" t="s">
        <v>160</v>
      </c>
      <c r="C669" s="13" t="s">
        <v>128</v>
      </c>
      <c r="D669" s="13">
        <v>44</v>
      </c>
      <c r="E669" s="2" t="s">
        <v>142</v>
      </c>
      <c r="F669" s="7">
        <v>1141</v>
      </c>
      <c r="G669" s="3">
        <f>F669+(VLOOKUP(D669,'(Semelles.Monument.€HT)'!C:G,3,FALSE()))</f>
        <v>1416</v>
      </c>
      <c r="H669" s="4">
        <f>F669+(VLOOKUP(D669,'(Semelles.Monument.€HT)'!C:G,4,FALSE()))</f>
        <v>1495</v>
      </c>
      <c r="I669" s="5">
        <f>F669+(VLOOKUP(D669,'(Semelles.Monument.€HT)'!C:G,5,FALSE()))</f>
        <v>1579</v>
      </c>
    </row>
    <row r="670" spans="1:9" ht="26" customHeight="1">
      <c r="A670" s="17" t="s">
        <v>156</v>
      </c>
      <c r="B670" s="18" t="s">
        <v>160</v>
      </c>
      <c r="C670" s="18" t="s">
        <v>128</v>
      </c>
      <c r="D670" s="18">
        <v>45</v>
      </c>
      <c r="E670" s="17" t="s">
        <v>143</v>
      </c>
      <c r="F670" s="19">
        <v>1154</v>
      </c>
      <c r="G670" s="20">
        <f>F670+(VLOOKUP(D670,'(Semelles.Monument.€HT)'!C:G,3,FALSE()))</f>
        <v>1432</v>
      </c>
      <c r="H670" s="21">
        <f>F670+(VLOOKUP(D670,'(Semelles.Monument.€HT)'!C:G,4,FALSE()))</f>
        <v>1512</v>
      </c>
      <c r="I670" s="22">
        <f>F670+(VLOOKUP(D670,'(Semelles.Monument.€HT)'!C:G,5,FALSE()))</f>
        <v>1597</v>
      </c>
    </row>
    <row r="671" spans="1:9" ht="26" customHeight="1">
      <c r="A671" s="2" t="s">
        <v>156</v>
      </c>
      <c r="B671" s="13" t="s">
        <v>160</v>
      </c>
      <c r="C671" s="13" t="s">
        <v>128</v>
      </c>
      <c r="D671" s="13">
        <v>46</v>
      </c>
      <c r="E671" s="2" t="s">
        <v>144</v>
      </c>
      <c r="F671" s="7">
        <v>1154</v>
      </c>
      <c r="G671" s="3">
        <f>F671+(VLOOKUP(D671,'(Semelles.Monument.€HT)'!C:G,3,FALSE()))</f>
        <v>1432</v>
      </c>
      <c r="H671" s="4">
        <f>F671+(VLOOKUP(D671,'(Semelles.Monument.€HT)'!C:G,4,FALSE()))</f>
        <v>1512</v>
      </c>
      <c r="I671" s="5">
        <f>F671+(VLOOKUP(D671,'(Semelles.Monument.€HT)'!C:G,5,FALSE()))</f>
        <v>1597</v>
      </c>
    </row>
    <row r="672" spans="1:9" ht="26" customHeight="1">
      <c r="A672" s="17" t="s">
        <v>156</v>
      </c>
      <c r="B672" s="18" t="s">
        <v>160</v>
      </c>
      <c r="C672" s="18" t="s">
        <v>128</v>
      </c>
      <c r="D672" s="18">
        <v>47</v>
      </c>
      <c r="E672" s="17" t="s">
        <v>145</v>
      </c>
      <c r="F672" s="19">
        <v>1177</v>
      </c>
      <c r="G672" s="20">
        <f>F672+(VLOOKUP(D672,'(Semelles.Monument.€HT)'!C:G,3,FALSE()))</f>
        <v>1461</v>
      </c>
      <c r="H672" s="21">
        <f>F672+(VLOOKUP(D672,'(Semelles.Monument.€HT)'!C:G,4,FALSE()))</f>
        <v>1543</v>
      </c>
      <c r="I672" s="22">
        <f>F672+(VLOOKUP(D672,'(Semelles.Monument.€HT)'!C:G,5,FALSE()))</f>
        <v>1629</v>
      </c>
    </row>
    <row r="673" spans="1:9" ht="26" customHeight="1">
      <c r="A673" s="2" t="s">
        <v>156</v>
      </c>
      <c r="B673" s="13" t="s">
        <v>160</v>
      </c>
      <c r="C673" s="13" t="s">
        <v>128</v>
      </c>
      <c r="D673" s="13">
        <v>48</v>
      </c>
      <c r="E673" s="2" t="s">
        <v>146</v>
      </c>
      <c r="F673" s="7">
        <v>1190</v>
      </c>
      <c r="G673" s="3">
        <f>F673+(VLOOKUP(D673,'(Semelles.Monument.€HT)'!C:G,3,FALSE()))</f>
        <v>1477</v>
      </c>
      <c r="H673" s="4">
        <f>F673+(VLOOKUP(D673,'(Semelles.Monument.€HT)'!C:G,4,FALSE()))</f>
        <v>1560</v>
      </c>
      <c r="I673" s="5">
        <f>F673+(VLOOKUP(D673,'(Semelles.Monument.€HT)'!C:G,5,FALSE()))</f>
        <v>1647</v>
      </c>
    </row>
    <row r="674" spans="1:9" ht="26" customHeight="1">
      <c r="A674" s="17" t="s">
        <v>156</v>
      </c>
      <c r="B674" s="18" t="s">
        <v>161</v>
      </c>
      <c r="C674" s="18" t="s">
        <v>97</v>
      </c>
      <c r="D674" s="18">
        <v>1</v>
      </c>
      <c r="E674" s="17" t="s">
        <v>98</v>
      </c>
      <c r="F674" s="19">
        <v>651</v>
      </c>
      <c r="G674" s="20">
        <f>F674+(VLOOKUP(D674,'(Semelles.Monument.€HT)'!C:G,3,FALSE()))</f>
        <v>809</v>
      </c>
      <c r="H674" s="21">
        <f>F674+(VLOOKUP(D674,'(Semelles.Monument.€HT)'!C:G,4,FALSE()))</f>
        <v>855</v>
      </c>
      <c r="I674" s="22">
        <f>F674+(VLOOKUP(D674,'(Semelles.Monument.€HT)'!C:G,5,FALSE()))</f>
        <v>903</v>
      </c>
    </row>
    <row r="675" spans="1:9" ht="26" customHeight="1">
      <c r="A675" s="2" t="s">
        <v>156</v>
      </c>
      <c r="B675" s="13" t="s">
        <v>161</v>
      </c>
      <c r="C675" s="13" t="s">
        <v>97</v>
      </c>
      <c r="D675" s="13">
        <v>2</v>
      </c>
      <c r="E675" s="2" t="s">
        <v>99</v>
      </c>
      <c r="F675" s="7">
        <v>650</v>
      </c>
      <c r="G675" s="3">
        <f>F675+(VLOOKUP(D675,'(Semelles.Monument.€HT)'!C:G,3,FALSE()))</f>
        <v>808</v>
      </c>
      <c r="H675" s="4">
        <f>F675+(VLOOKUP(D675,'(Semelles.Monument.€HT)'!C:G,4,FALSE()))</f>
        <v>854</v>
      </c>
      <c r="I675" s="5">
        <f>F675+(VLOOKUP(D675,'(Semelles.Monument.€HT)'!C:G,5,FALSE()))</f>
        <v>902</v>
      </c>
    </row>
    <row r="676" spans="1:9" ht="26" customHeight="1">
      <c r="A676" s="17" t="s">
        <v>156</v>
      </c>
      <c r="B676" s="18" t="s">
        <v>161</v>
      </c>
      <c r="C676" s="18" t="s">
        <v>97</v>
      </c>
      <c r="D676" s="18">
        <v>3</v>
      </c>
      <c r="E676" s="17" t="s">
        <v>100</v>
      </c>
      <c r="F676" s="19">
        <v>723</v>
      </c>
      <c r="G676" s="20">
        <f>F676+(VLOOKUP(D676,'(Semelles.Monument.€HT)'!C:G,3,FALSE()))</f>
        <v>899</v>
      </c>
      <c r="H676" s="21">
        <f>F676+(VLOOKUP(D676,'(Semelles.Monument.€HT)'!C:G,4,FALSE()))</f>
        <v>950</v>
      </c>
      <c r="I676" s="22">
        <f>F676+(VLOOKUP(D676,'(Semelles.Monument.€HT)'!C:G,5,FALSE()))</f>
        <v>1003</v>
      </c>
    </row>
    <row r="677" spans="1:9" ht="26" customHeight="1">
      <c r="A677" s="2" t="s">
        <v>156</v>
      </c>
      <c r="B677" s="13" t="s">
        <v>161</v>
      </c>
      <c r="C677" s="13" t="s">
        <v>97</v>
      </c>
      <c r="D677" s="13">
        <v>4</v>
      </c>
      <c r="E677" s="2" t="s">
        <v>101</v>
      </c>
      <c r="F677" s="7">
        <v>735</v>
      </c>
      <c r="G677" s="3">
        <f>F677+(VLOOKUP(D677,'(Semelles.Monument.€HT)'!C:G,3,FALSE()))</f>
        <v>914</v>
      </c>
      <c r="H677" s="4">
        <f>F677+(VLOOKUP(D677,'(Semelles.Monument.€HT)'!C:G,4,FALSE()))</f>
        <v>966</v>
      </c>
      <c r="I677" s="5">
        <f>F677+(VLOOKUP(D677,'(Semelles.Monument.€HT)'!C:G,5,FALSE()))</f>
        <v>1020</v>
      </c>
    </row>
    <row r="678" spans="1:9" ht="26" customHeight="1">
      <c r="A678" s="17" t="s">
        <v>156</v>
      </c>
      <c r="B678" s="18" t="s">
        <v>161</v>
      </c>
      <c r="C678" s="18" t="s">
        <v>97</v>
      </c>
      <c r="D678" s="18">
        <v>5</v>
      </c>
      <c r="E678" s="17" t="s">
        <v>102</v>
      </c>
      <c r="F678" s="19">
        <v>735</v>
      </c>
      <c r="G678" s="20">
        <f>F678+(VLOOKUP(D678,'(Semelles.Monument.€HT)'!C:G,3,FALSE()))</f>
        <v>914</v>
      </c>
      <c r="H678" s="21">
        <f>F678+(VLOOKUP(D678,'(Semelles.Monument.€HT)'!C:G,4,FALSE()))</f>
        <v>966</v>
      </c>
      <c r="I678" s="22">
        <f>F678+(VLOOKUP(D678,'(Semelles.Monument.€HT)'!C:G,5,FALSE()))</f>
        <v>1020</v>
      </c>
    </row>
    <row r="679" spans="1:9" ht="26" customHeight="1">
      <c r="A679" s="2" t="s">
        <v>156</v>
      </c>
      <c r="B679" s="13" t="s">
        <v>161</v>
      </c>
      <c r="C679" s="13" t="s">
        <v>97</v>
      </c>
      <c r="D679" s="13">
        <v>6</v>
      </c>
      <c r="E679" s="2" t="s">
        <v>103</v>
      </c>
      <c r="F679" s="7">
        <v>739</v>
      </c>
      <c r="G679" s="3">
        <f>F679+(VLOOKUP(D679,'(Semelles.Monument.€HT)'!C:G,3,FALSE()))</f>
        <v>919</v>
      </c>
      <c r="H679" s="4">
        <f>F679+(VLOOKUP(D679,'(Semelles.Monument.€HT)'!C:G,4,FALSE()))</f>
        <v>971</v>
      </c>
      <c r="I679" s="5">
        <f>F679+(VLOOKUP(D679,'(Semelles.Monument.€HT)'!C:G,5,FALSE()))</f>
        <v>1026</v>
      </c>
    </row>
    <row r="680" spans="1:9" ht="26" customHeight="1">
      <c r="A680" s="17" t="s">
        <v>156</v>
      </c>
      <c r="B680" s="18" t="s">
        <v>161</v>
      </c>
      <c r="C680" s="18" t="s">
        <v>97</v>
      </c>
      <c r="D680" s="18">
        <v>7</v>
      </c>
      <c r="E680" s="17" t="s">
        <v>104</v>
      </c>
      <c r="F680" s="19">
        <v>739</v>
      </c>
      <c r="G680" s="20">
        <f>F680+(VLOOKUP(D680,'(Semelles.Monument.€HT)'!C:G,3,FALSE()))</f>
        <v>919</v>
      </c>
      <c r="H680" s="21">
        <f>F680+(VLOOKUP(D680,'(Semelles.Monument.€HT)'!C:G,4,FALSE()))</f>
        <v>971</v>
      </c>
      <c r="I680" s="22">
        <f>F680+(VLOOKUP(D680,'(Semelles.Monument.€HT)'!C:G,5,FALSE()))</f>
        <v>1026</v>
      </c>
    </row>
    <row r="681" spans="1:9" ht="26" customHeight="1">
      <c r="A681" s="2" t="s">
        <v>156</v>
      </c>
      <c r="B681" s="13" t="s">
        <v>161</v>
      </c>
      <c r="C681" s="13" t="s">
        <v>97</v>
      </c>
      <c r="D681" s="13">
        <v>8</v>
      </c>
      <c r="E681" s="2" t="s">
        <v>105</v>
      </c>
      <c r="F681" s="7">
        <v>739</v>
      </c>
      <c r="G681" s="3">
        <f>F681+(VLOOKUP(D681,'(Semelles.Monument.€HT)'!C:G,3,FALSE()))</f>
        <v>919</v>
      </c>
      <c r="H681" s="4">
        <f>F681+(VLOOKUP(D681,'(Semelles.Monument.€HT)'!C:G,4,FALSE()))</f>
        <v>971</v>
      </c>
      <c r="I681" s="5">
        <f>F681+(VLOOKUP(D681,'(Semelles.Monument.€HT)'!C:G,5,FALSE()))</f>
        <v>1026</v>
      </c>
    </row>
    <row r="682" spans="1:9" ht="26" customHeight="1">
      <c r="A682" s="17" t="s">
        <v>156</v>
      </c>
      <c r="B682" s="18" t="s">
        <v>161</v>
      </c>
      <c r="C682" s="18" t="s">
        <v>97</v>
      </c>
      <c r="D682" s="18">
        <v>9</v>
      </c>
      <c r="E682" s="17" t="s">
        <v>106</v>
      </c>
      <c r="F682" s="19">
        <v>739</v>
      </c>
      <c r="G682" s="20">
        <f>F682+(VLOOKUP(D682,'(Semelles.Monument.€HT)'!C:G,3,FALSE()))</f>
        <v>919</v>
      </c>
      <c r="H682" s="21">
        <f>F682+(VLOOKUP(D682,'(Semelles.Monument.€HT)'!C:G,4,FALSE()))</f>
        <v>971</v>
      </c>
      <c r="I682" s="22">
        <f>F682+(VLOOKUP(D682,'(Semelles.Monument.€HT)'!C:G,5,FALSE()))</f>
        <v>1026</v>
      </c>
    </row>
    <row r="683" spans="1:9" ht="26" customHeight="1">
      <c r="A683" s="2" t="s">
        <v>156</v>
      </c>
      <c r="B683" s="13" t="s">
        <v>161</v>
      </c>
      <c r="C683" s="13" t="s">
        <v>97</v>
      </c>
      <c r="D683" s="13">
        <v>10</v>
      </c>
      <c r="E683" s="2" t="s">
        <v>107</v>
      </c>
      <c r="F683" s="7">
        <v>739</v>
      </c>
      <c r="G683" s="3">
        <f>F683+(VLOOKUP(D683,'(Semelles.Monument.€HT)'!C:G,3,FALSE()))</f>
        <v>919</v>
      </c>
      <c r="H683" s="4">
        <f>F683+(VLOOKUP(D683,'(Semelles.Monument.€HT)'!C:G,4,FALSE()))</f>
        <v>971</v>
      </c>
      <c r="I683" s="5">
        <f>F683+(VLOOKUP(D683,'(Semelles.Monument.€HT)'!C:G,5,FALSE()))</f>
        <v>1026</v>
      </c>
    </row>
    <row r="684" spans="1:9" ht="26" customHeight="1">
      <c r="A684" s="17" t="s">
        <v>156</v>
      </c>
      <c r="B684" s="18" t="s">
        <v>161</v>
      </c>
      <c r="C684" s="18" t="s">
        <v>97</v>
      </c>
      <c r="D684" s="18">
        <v>11</v>
      </c>
      <c r="E684" s="17" t="s">
        <v>108</v>
      </c>
      <c r="F684" s="19">
        <v>739</v>
      </c>
      <c r="G684" s="20">
        <f>F684+(VLOOKUP(D684,'(Semelles.Monument.€HT)'!C:G,3,FALSE()))</f>
        <v>919</v>
      </c>
      <c r="H684" s="21">
        <f>F684+(VLOOKUP(D684,'(Semelles.Monument.€HT)'!C:G,4,FALSE()))</f>
        <v>971</v>
      </c>
      <c r="I684" s="22">
        <f>F684+(VLOOKUP(D684,'(Semelles.Monument.€HT)'!C:G,5,FALSE()))</f>
        <v>1026</v>
      </c>
    </row>
    <row r="685" spans="1:9" ht="26" customHeight="1">
      <c r="A685" s="2" t="s">
        <v>156</v>
      </c>
      <c r="B685" s="13" t="s">
        <v>161</v>
      </c>
      <c r="C685" s="13" t="s">
        <v>97</v>
      </c>
      <c r="D685" s="13">
        <v>12</v>
      </c>
      <c r="E685" s="2" t="s">
        <v>109</v>
      </c>
      <c r="F685" s="7">
        <v>749</v>
      </c>
      <c r="G685" s="3">
        <f>F685+(VLOOKUP(D685,'(Semelles.Monument.€HT)'!C:G,3,FALSE()))</f>
        <v>931</v>
      </c>
      <c r="H685" s="4">
        <f>F685+(VLOOKUP(D685,'(Semelles.Monument.€HT)'!C:G,4,FALSE()))</f>
        <v>984</v>
      </c>
      <c r="I685" s="5">
        <f>F685+(VLOOKUP(D685,'(Semelles.Monument.€HT)'!C:G,5,FALSE()))</f>
        <v>1040</v>
      </c>
    </row>
    <row r="686" spans="1:9" ht="26" customHeight="1">
      <c r="A686" s="17" t="s">
        <v>156</v>
      </c>
      <c r="B686" s="18" t="s">
        <v>161</v>
      </c>
      <c r="C686" s="18" t="s">
        <v>97</v>
      </c>
      <c r="D686" s="18">
        <v>13</v>
      </c>
      <c r="E686" s="17" t="s">
        <v>110</v>
      </c>
      <c r="F686" s="19">
        <v>749</v>
      </c>
      <c r="G686" s="20">
        <f>F686+(VLOOKUP(D686,'(Semelles.Monument.€HT)'!C:G,3,FALSE()))</f>
        <v>931</v>
      </c>
      <c r="H686" s="21">
        <f>F686+(VLOOKUP(D686,'(Semelles.Monument.€HT)'!C:G,4,FALSE()))</f>
        <v>984</v>
      </c>
      <c r="I686" s="22">
        <f>F686+(VLOOKUP(D686,'(Semelles.Monument.€HT)'!C:G,5,FALSE()))</f>
        <v>1040</v>
      </c>
    </row>
    <row r="687" spans="1:9" ht="26" customHeight="1">
      <c r="A687" s="2" t="s">
        <v>156</v>
      </c>
      <c r="B687" s="13" t="s">
        <v>161</v>
      </c>
      <c r="C687" s="13" t="s">
        <v>97</v>
      </c>
      <c r="D687" s="13">
        <v>14</v>
      </c>
      <c r="E687" s="2" t="s">
        <v>111</v>
      </c>
      <c r="F687" s="7">
        <v>752</v>
      </c>
      <c r="G687" s="3">
        <f>F687+(VLOOKUP(D687,'(Semelles.Monument.€HT)'!C:G,3,FALSE()))</f>
        <v>935</v>
      </c>
      <c r="H687" s="4">
        <f>F687+(VLOOKUP(D687,'(Semelles.Monument.€HT)'!C:G,4,FALSE()))</f>
        <v>988</v>
      </c>
      <c r="I687" s="5">
        <f>F687+(VLOOKUP(D687,'(Semelles.Monument.€HT)'!C:G,5,FALSE()))</f>
        <v>1044</v>
      </c>
    </row>
    <row r="688" spans="1:9" ht="26" customHeight="1">
      <c r="A688" s="17" t="s">
        <v>156</v>
      </c>
      <c r="B688" s="18" t="s">
        <v>161</v>
      </c>
      <c r="C688" s="18" t="s">
        <v>97</v>
      </c>
      <c r="D688" s="18">
        <v>15</v>
      </c>
      <c r="E688" s="17" t="s">
        <v>112</v>
      </c>
      <c r="F688" s="19">
        <v>752</v>
      </c>
      <c r="G688" s="20">
        <f>F688+(VLOOKUP(D688,'(Semelles.Monument.€HT)'!C:G,3,FALSE()))</f>
        <v>935</v>
      </c>
      <c r="H688" s="21">
        <f>F688+(VLOOKUP(D688,'(Semelles.Monument.€HT)'!C:G,4,FALSE()))</f>
        <v>988</v>
      </c>
      <c r="I688" s="22">
        <f>F688+(VLOOKUP(D688,'(Semelles.Monument.€HT)'!C:G,5,FALSE()))</f>
        <v>1044</v>
      </c>
    </row>
    <row r="689" spans="1:9" ht="26" customHeight="1">
      <c r="A689" s="2" t="s">
        <v>156</v>
      </c>
      <c r="B689" s="13" t="s">
        <v>161</v>
      </c>
      <c r="C689" s="13" t="s">
        <v>97</v>
      </c>
      <c r="D689" s="13">
        <v>16</v>
      </c>
      <c r="E689" s="2" t="s">
        <v>113</v>
      </c>
      <c r="F689" s="7">
        <v>752</v>
      </c>
      <c r="G689" s="3">
        <f>F689+(VLOOKUP(D689,'(Semelles.Monument.€HT)'!C:G,3,FALSE()))</f>
        <v>935</v>
      </c>
      <c r="H689" s="4">
        <f>F689+(VLOOKUP(D689,'(Semelles.Monument.€HT)'!C:G,4,FALSE()))</f>
        <v>988</v>
      </c>
      <c r="I689" s="5">
        <f>F689+(VLOOKUP(D689,'(Semelles.Monument.€HT)'!C:G,5,FALSE()))</f>
        <v>1044</v>
      </c>
    </row>
    <row r="690" spans="1:9" ht="26" customHeight="1">
      <c r="A690" s="17" t="s">
        <v>156</v>
      </c>
      <c r="B690" s="18" t="s">
        <v>161</v>
      </c>
      <c r="C690" s="18" t="s">
        <v>97</v>
      </c>
      <c r="D690" s="18">
        <v>17</v>
      </c>
      <c r="E690" s="17" t="s">
        <v>114</v>
      </c>
      <c r="F690" s="19">
        <v>765</v>
      </c>
      <c r="G690" s="20">
        <f>F690+(VLOOKUP(D690,'(Semelles.Monument.€HT)'!C:G,3,FALSE()))</f>
        <v>951</v>
      </c>
      <c r="H690" s="21">
        <f>F690+(VLOOKUP(D690,'(Semelles.Monument.€HT)'!C:G,4,FALSE()))</f>
        <v>1005</v>
      </c>
      <c r="I690" s="22">
        <f>F690+(VLOOKUP(D690,'(Semelles.Monument.€HT)'!C:G,5,FALSE()))</f>
        <v>1062</v>
      </c>
    </row>
    <row r="691" spans="1:9" ht="26" customHeight="1">
      <c r="A691" s="2" t="s">
        <v>156</v>
      </c>
      <c r="B691" s="13" t="s">
        <v>161</v>
      </c>
      <c r="C691" s="13" t="s">
        <v>97</v>
      </c>
      <c r="D691" s="13">
        <v>18</v>
      </c>
      <c r="E691" s="2" t="s">
        <v>115</v>
      </c>
      <c r="F691" s="7">
        <v>765</v>
      </c>
      <c r="G691" s="3">
        <f>F691+(VLOOKUP(D691,'(Semelles.Monument.€HT)'!C:G,3,FALSE()))</f>
        <v>951</v>
      </c>
      <c r="H691" s="4">
        <f>F691+(VLOOKUP(D691,'(Semelles.Monument.€HT)'!C:G,4,FALSE()))</f>
        <v>1005</v>
      </c>
      <c r="I691" s="5">
        <f>F691+(VLOOKUP(D691,'(Semelles.Monument.€HT)'!C:G,5,FALSE()))</f>
        <v>1062</v>
      </c>
    </row>
    <row r="692" spans="1:9" ht="26" customHeight="1">
      <c r="A692" s="17" t="s">
        <v>156</v>
      </c>
      <c r="B692" s="18" t="s">
        <v>161</v>
      </c>
      <c r="C692" s="18" t="s">
        <v>97</v>
      </c>
      <c r="D692" s="18">
        <v>19</v>
      </c>
      <c r="E692" s="17" t="s">
        <v>116</v>
      </c>
      <c r="F692" s="19">
        <v>765</v>
      </c>
      <c r="G692" s="20">
        <f>F692+(VLOOKUP(D692,'(Semelles.Monument.€HT)'!C:G,3,FALSE()))</f>
        <v>951</v>
      </c>
      <c r="H692" s="21">
        <f>F692+(VLOOKUP(D692,'(Semelles.Monument.€HT)'!C:G,4,FALSE()))</f>
        <v>1005</v>
      </c>
      <c r="I692" s="22">
        <f>F692+(VLOOKUP(D692,'(Semelles.Monument.€HT)'!C:G,5,FALSE()))</f>
        <v>1062</v>
      </c>
    </row>
    <row r="693" spans="1:9" ht="26" customHeight="1">
      <c r="A693" s="2" t="s">
        <v>156</v>
      </c>
      <c r="B693" s="13" t="s">
        <v>161</v>
      </c>
      <c r="C693" s="13" t="s">
        <v>97</v>
      </c>
      <c r="D693" s="13">
        <v>20</v>
      </c>
      <c r="E693" s="2" t="s">
        <v>117</v>
      </c>
      <c r="F693" s="7">
        <v>771</v>
      </c>
      <c r="G693" s="3">
        <f>F693+(VLOOKUP(D693,'(Semelles.Monument.€HT)'!C:G,3,FALSE()))</f>
        <v>959</v>
      </c>
      <c r="H693" s="4">
        <f>F693+(VLOOKUP(D693,'(Semelles.Monument.€HT)'!C:G,4,FALSE()))</f>
        <v>1013</v>
      </c>
      <c r="I693" s="5">
        <f>F693+(VLOOKUP(D693,'(Semelles.Monument.€HT)'!C:G,5,FALSE()))</f>
        <v>1070</v>
      </c>
    </row>
    <row r="694" spans="1:9" ht="26" customHeight="1">
      <c r="A694" s="17" t="s">
        <v>156</v>
      </c>
      <c r="B694" s="18" t="s">
        <v>161</v>
      </c>
      <c r="C694" s="18" t="s">
        <v>97</v>
      </c>
      <c r="D694" s="18">
        <v>21</v>
      </c>
      <c r="E694" s="17" t="s">
        <v>118</v>
      </c>
      <c r="F694" s="19">
        <v>776</v>
      </c>
      <c r="G694" s="20">
        <f>F694+(VLOOKUP(D694,'(Semelles.Monument.€HT)'!C:G,3,FALSE()))</f>
        <v>965</v>
      </c>
      <c r="H694" s="21">
        <f>F694+(VLOOKUP(D694,'(Semelles.Monument.€HT)'!C:G,4,FALSE()))</f>
        <v>1019</v>
      </c>
      <c r="I694" s="22">
        <f>F694+(VLOOKUP(D694,'(Semelles.Monument.€HT)'!C:G,5,FALSE()))</f>
        <v>1077</v>
      </c>
    </row>
    <row r="695" spans="1:9" ht="26" customHeight="1">
      <c r="A695" s="2" t="s">
        <v>156</v>
      </c>
      <c r="B695" s="13" t="s">
        <v>161</v>
      </c>
      <c r="C695" s="13" t="s">
        <v>97</v>
      </c>
      <c r="D695" s="13">
        <v>22</v>
      </c>
      <c r="E695" s="2" t="s">
        <v>119</v>
      </c>
      <c r="F695" s="7">
        <v>776</v>
      </c>
      <c r="G695" s="3">
        <f>F695+(VLOOKUP(D695,'(Semelles.Monument.€HT)'!C:G,3,FALSE()))</f>
        <v>965</v>
      </c>
      <c r="H695" s="4">
        <f>F695+(VLOOKUP(D695,'(Semelles.Monument.€HT)'!C:G,4,FALSE()))</f>
        <v>1019</v>
      </c>
      <c r="I695" s="5">
        <f>F695+(VLOOKUP(D695,'(Semelles.Monument.€HT)'!C:G,5,FALSE()))</f>
        <v>1077</v>
      </c>
    </row>
    <row r="696" spans="1:9" ht="26" customHeight="1">
      <c r="A696" s="17" t="s">
        <v>156</v>
      </c>
      <c r="B696" s="18" t="s">
        <v>161</v>
      </c>
      <c r="C696" s="18" t="s">
        <v>97</v>
      </c>
      <c r="D696" s="18">
        <v>23</v>
      </c>
      <c r="E696" s="17" t="s">
        <v>120</v>
      </c>
      <c r="F696" s="19">
        <v>787</v>
      </c>
      <c r="G696" s="20">
        <f>F696+(VLOOKUP(D696,'(Semelles.Monument.€HT)'!C:G,3,FALSE()))</f>
        <v>979</v>
      </c>
      <c r="H696" s="21">
        <f>F696+(VLOOKUP(D696,'(Semelles.Monument.€HT)'!C:G,4,FALSE()))</f>
        <v>1034</v>
      </c>
      <c r="I696" s="22">
        <f>F696+(VLOOKUP(D696,'(Semelles.Monument.€HT)'!C:G,5,FALSE()))</f>
        <v>1092</v>
      </c>
    </row>
    <row r="697" spans="1:9" ht="26" customHeight="1">
      <c r="A697" s="2" t="s">
        <v>156</v>
      </c>
      <c r="B697" s="13" t="s">
        <v>161</v>
      </c>
      <c r="C697" s="13" t="s">
        <v>97</v>
      </c>
      <c r="D697" s="13">
        <v>24</v>
      </c>
      <c r="E697" s="2" t="s">
        <v>121</v>
      </c>
      <c r="F697" s="7">
        <v>787</v>
      </c>
      <c r="G697" s="3">
        <f>F697+(VLOOKUP(D697,'(Semelles.Monument.€HT)'!C:G,3,FALSE()))</f>
        <v>979</v>
      </c>
      <c r="H697" s="4">
        <f>F697+(VLOOKUP(D697,'(Semelles.Monument.€HT)'!C:G,4,FALSE()))</f>
        <v>1034</v>
      </c>
      <c r="I697" s="5">
        <f>F697+(VLOOKUP(D697,'(Semelles.Monument.€HT)'!C:G,5,FALSE()))</f>
        <v>1092</v>
      </c>
    </row>
    <row r="698" spans="1:9" ht="26" customHeight="1">
      <c r="A698" s="17" t="s">
        <v>156</v>
      </c>
      <c r="B698" s="18" t="s">
        <v>161</v>
      </c>
      <c r="C698" s="18" t="s">
        <v>97</v>
      </c>
      <c r="D698" s="18">
        <v>25</v>
      </c>
      <c r="E698" s="17" t="s">
        <v>122</v>
      </c>
      <c r="F698" s="19">
        <v>787</v>
      </c>
      <c r="G698" s="20">
        <f>F698+(VLOOKUP(D698,'(Semelles.Monument.€HT)'!C:G,3,FALSE()))</f>
        <v>979</v>
      </c>
      <c r="H698" s="21">
        <f>F698+(VLOOKUP(D698,'(Semelles.Monument.€HT)'!C:G,4,FALSE()))</f>
        <v>1034</v>
      </c>
      <c r="I698" s="22">
        <f>F698+(VLOOKUP(D698,'(Semelles.Monument.€HT)'!C:G,5,FALSE()))</f>
        <v>1092</v>
      </c>
    </row>
    <row r="699" spans="1:9" ht="26" customHeight="1">
      <c r="A699" s="2" t="s">
        <v>156</v>
      </c>
      <c r="B699" s="13" t="s">
        <v>161</v>
      </c>
      <c r="C699" s="13" t="s">
        <v>97</v>
      </c>
      <c r="D699" s="13">
        <v>26</v>
      </c>
      <c r="E699" s="2" t="s">
        <v>123</v>
      </c>
      <c r="F699" s="7">
        <v>801</v>
      </c>
      <c r="G699" s="3">
        <f>F699+(VLOOKUP(D699,'(Semelles.Monument.€HT)'!C:G,3,FALSE()))</f>
        <v>996</v>
      </c>
      <c r="H699" s="4">
        <f>F699+(VLOOKUP(D699,'(Semelles.Monument.€HT)'!C:G,4,FALSE()))</f>
        <v>1052</v>
      </c>
      <c r="I699" s="5">
        <f>F699+(VLOOKUP(D699,'(Semelles.Monument.€HT)'!C:G,5,FALSE()))</f>
        <v>1111</v>
      </c>
    </row>
    <row r="700" spans="1:9" ht="26" customHeight="1">
      <c r="A700" s="17" t="s">
        <v>156</v>
      </c>
      <c r="B700" s="18" t="s">
        <v>161</v>
      </c>
      <c r="C700" s="18" t="s">
        <v>97</v>
      </c>
      <c r="D700" s="18">
        <v>27</v>
      </c>
      <c r="E700" s="17" t="s">
        <v>124</v>
      </c>
      <c r="F700" s="19">
        <v>853</v>
      </c>
      <c r="G700" s="20">
        <f>F700+(VLOOKUP(D700,'(Semelles.Monument.€HT)'!C:G,3,FALSE()))</f>
        <v>1061</v>
      </c>
      <c r="H700" s="21">
        <f>F700+(VLOOKUP(D700,'(Semelles.Monument.€HT)'!C:G,4,FALSE()))</f>
        <v>1121</v>
      </c>
      <c r="I700" s="22">
        <f>F700+(VLOOKUP(D700,'(Semelles.Monument.€HT)'!C:G,5,FALSE()))</f>
        <v>1220</v>
      </c>
    </row>
    <row r="701" spans="1:9" ht="26" customHeight="1">
      <c r="A701" s="2" t="s">
        <v>156</v>
      </c>
      <c r="B701" s="13" t="s">
        <v>161</v>
      </c>
      <c r="C701" s="13" t="s">
        <v>97</v>
      </c>
      <c r="D701" s="13">
        <v>28</v>
      </c>
      <c r="E701" s="2" t="s">
        <v>125</v>
      </c>
      <c r="F701" s="7">
        <v>945</v>
      </c>
      <c r="G701" s="3">
        <f>F701+(VLOOKUP(D701,'(Semelles.Monument.€HT)'!C:G,3,FALSE()))</f>
        <v>1175</v>
      </c>
      <c r="H701" s="4">
        <f>F701+(VLOOKUP(D701,'(Semelles.Monument.€HT)'!C:G,4,FALSE()))</f>
        <v>1242</v>
      </c>
      <c r="I701" s="5">
        <f>F701+(VLOOKUP(D701,'(Semelles.Monument.€HT)'!C:G,5,FALSE()))</f>
        <v>1312</v>
      </c>
    </row>
    <row r="702" spans="1:9" ht="26" customHeight="1">
      <c r="A702" s="17" t="s">
        <v>156</v>
      </c>
      <c r="B702" s="18" t="s">
        <v>161</v>
      </c>
      <c r="C702" s="18" t="s">
        <v>97</v>
      </c>
      <c r="D702" s="18">
        <v>29</v>
      </c>
      <c r="E702" s="17" t="s">
        <v>126</v>
      </c>
      <c r="F702" s="19">
        <v>985</v>
      </c>
      <c r="G702" s="20">
        <f>F702+(VLOOKUP(D702,'(Semelles.Monument.€HT)'!C:G,3,FALSE()))</f>
        <v>1225</v>
      </c>
      <c r="H702" s="21">
        <f>F702+(VLOOKUP(D702,'(Semelles.Monument.€HT)'!C:G,4,FALSE()))</f>
        <v>1294</v>
      </c>
      <c r="I702" s="22">
        <f>F702+(VLOOKUP(D702,'(Semelles.Monument.€HT)'!C:G,5,FALSE()))</f>
        <v>1367</v>
      </c>
    </row>
    <row r="703" spans="1:9" ht="26" customHeight="1">
      <c r="A703" s="2" t="s">
        <v>156</v>
      </c>
      <c r="B703" s="13" t="s">
        <v>161</v>
      </c>
      <c r="C703" s="13" t="s">
        <v>97</v>
      </c>
      <c r="D703" s="13">
        <v>30</v>
      </c>
      <c r="E703" s="2" t="s">
        <v>127</v>
      </c>
      <c r="F703" s="7">
        <v>985</v>
      </c>
      <c r="G703" s="3">
        <f>F703+(VLOOKUP(D703,'(Semelles.Monument.€HT)'!C:G,3,FALSE()))</f>
        <v>1225</v>
      </c>
      <c r="H703" s="4">
        <f>F703+(VLOOKUP(D703,'(Semelles.Monument.€HT)'!C:G,4,FALSE()))</f>
        <v>1294</v>
      </c>
      <c r="I703" s="5">
        <f>F703+(VLOOKUP(D703,'(Semelles.Monument.€HT)'!C:G,5,FALSE()))</f>
        <v>1367</v>
      </c>
    </row>
    <row r="704" spans="1:9" ht="26" customHeight="1">
      <c r="A704" s="17" t="s">
        <v>156</v>
      </c>
      <c r="B704" s="18" t="s">
        <v>161</v>
      </c>
      <c r="C704" s="18" t="s">
        <v>128</v>
      </c>
      <c r="D704" s="18">
        <v>31</v>
      </c>
      <c r="E704" s="17" t="s">
        <v>129</v>
      </c>
      <c r="F704" s="19">
        <v>642</v>
      </c>
      <c r="G704" s="20">
        <f>F704+(VLOOKUP(D704,'(Semelles.Monument.€HT)'!C:G,3,FALSE()))</f>
        <v>774</v>
      </c>
      <c r="H704" s="21">
        <f>F704+(VLOOKUP(D704,'(Semelles.Monument.€HT)'!C:G,4,FALSE()))</f>
        <v>812</v>
      </c>
      <c r="I704" s="22">
        <f>F704+(VLOOKUP(D704,'(Semelles.Monument.€HT)'!C:G,5,FALSE()))</f>
        <v>852</v>
      </c>
    </row>
    <row r="705" spans="1:9" ht="26" customHeight="1">
      <c r="A705" s="2" t="s">
        <v>156</v>
      </c>
      <c r="B705" s="13" t="s">
        <v>161</v>
      </c>
      <c r="C705" s="13" t="s">
        <v>128</v>
      </c>
      <c r="D705" s="13">
        <v>32</v>
      </c>
      <c r="E705" s="2" t="s">
        <v>130</v>
      </c>
      <c r="F705" s="7">
        <v>650</v>
      </c>
      <c r="G705" s="3">
        <f>F705+(VLOOKUP(D705,'(Semelles.Monument.€HT)'!C:G,3,FALSE()))</f>
        <v>784</v>
      </c>
      <c r="H705" s="4">
        <f>F705+(VLOOKUP(D705,'(Semelles.Monument.€HT)'!C:G,4,FALSE()))</f>
        <v>823</v>
      </c>
      <c r="I705" s="5">
        <f>F705+(VLOOKUP(D705,'(Semelles.Monument.€HT)'!C:G,5,FALSE()))</f>
        <v>863</v>
      </c>
    </row>
    <row r="706" spans="1:9" ht="26" customHeight="1">
      <c r="A706" s="17" t="s">
        <v>156</v>
      </c>
      <c r="B706" s="18" t="s">
        <v>161</v>
      </c>
      <c r="C706" s="18" t="s">
        <v>128</v>
      </c>
      <c r="D706" s="18">
        <v>33</v>
      </c>
      <c r="E706" s="17" t="s">
        <v>131</v>
      </c>
      <c r="F706" s="19">
        <v>650</v>
      </c>
      <c r="G706" s="20">
        <f>F706+(VLOOKUP(D706,'(Semelles.Monument.€HT)'!C:G,3,FALSE()))</f>
        <v>784</v>
      </c>
      <c r="H706" s="21">
        <f>F706+(VLOOKUP(D706,'(Semelles.Monument.€HT)'!C:G,4,FALSE()))</f>
        <v>823</v>
      </c>
      <c r="I706" s="22">
        <f>F706+(VLOOKUP(D706,'(Semelles.Monument.€HT)'!C:G,5,FALSE()))</f>
        <v>863</v>
      </c>
    </row>
    <row r="707" spans="1:9" ht="26" customHeight="1">
      <c r="A707" s="2" t="s">
        <v>156</v>
      </c>
      <c r="B707" s="13" t="s">
        <v>161</v>
      </c>
      <c r="C707" s="13" t="s">
        <v>128</v>
      </c>
      <c r="D707" s="13">
        <v>34</v>
      </c>
      <c r="E707" s="2" t="s">
        <v>132</v>
      </c>
      <c r="F707" s="7">
        <v>655</v>
      </c>
      <c r="G707" s="3">
        <f>F707+(VLOOKUP(D707,'(Semelles.Monument.€HT)'!C:G,3,FALSE()))</f>
        <v>790</v>
      </c>
      <c r="H707" s="4">
        <f>F707+(VLOOKUP(D707,'(Semelles.Monument.€HT)'!C:G,4,FALSE()))</f>
        <v>829</v>
      </c>
      <c r="I707" s="5">
        <f>F707+(VLOOKUP(D707,'(Semelles.Monument.€HT)'!C:G,5,FALSE()))</f>
        <v>870</v>
      </c>
    </row>
    <row r="708" spans="1:9" ht="26" customHeight="1">
      <c r="A708" s="17" t="s">
        <v>156</v>
      </c>
      <c r="B708" s="18" t="s">
        <v>161</v>
      </c>
      <c r="C708" s="18" t="s">
        <v>128</v>
      </c>
      <c r="D708" s="18">
        <v>35</v>
      </c>
      <c r="E708" s="17" t="s">
        <v>133</v>
      </c>
      <c r="F708" s="19">
        <v>768</v>
      </c>
      <c r="G708" s="20">
        <f>F708+(VLOOKUP(D708,'(Semelles.Monument.€HT)'!C:G,3,FALSE()))</f>
        <v>931</v>
      </c>
      <c r="H708" s="21">
        <f>F708+(VLOOKUP(D708,'(Semelles.Monument.€HT)'!C:G,4,FALSE()))</f>
        <v>978</v>
      </c>
      <c r="I708" s="22">
        <f>F708+(VLOOKUP(D708,'(Semelles.Monument.€HT)'!C:G,5,FALSE()))</f>
        <v>1027</v>
      </c>
    </row>
    <row r="709" spans="1:9" ht="26" customHeight="1">
      <c r="A709" s="2" t="s">
        <v>156</v>
      </c>
      <c r="B709" s="13" t="s">
        <v>161</v>
      </c>
      <c r="C709" s="13" t="s">
        <v>128</v>
      </c>
      <c r="D709" s="13">
        <v>36</v>
      </c>
      <c r="E709" s="2" t="s">
        <v>134</v>
      </c>
      <c r="F709" s="7">
        <v>792</v>
      </c>
      <c r="G709" s="3">
        <f>F709+(VLOOKUP(D709,'(Semelles.Monument.€HT)'!C:G,3,FALSE()))</f>
        <v>960</v>
      </c>
      <c r="H709" s="4">
        <f>F709+(VLOOKUP(D709,'(Semelles.Monument.€HT)'!C:G,4,FALSE()))</f>
        <v>1009</v>
      </c>
      <c r="I709" s="5">
        <f>F709+(VLOOKUP(D709,'(Semelles.Monument.€HT)'!C:G,5,FALSE()))</f>
        <v>1060</v>
      </c>
    </row>
    <row r="710" spans="1:9" ht="26" customHeight="1">
      <c r="A710" s="17" t="s">
        <v>156</v>
      </c>
      <c r="B710" s="18" t="s">
        <v>161</v>
      </c>
      <c r="C710" s="18" t="s">
        <v>128</v>
      </c>
      <c r="D710" s="18">
        <v>37</v>
      </c>
      <c r="E710" s="17" t="s">
        <v>135</v>
      </c>
      <c r="F710" s="19">
        <v>955</v>
      </c>
      <c r="G710" s="20">
        <f>F710+(VLOOKUP(D710,'(Semelles.Monument.€HT)'!C:G,3,FALSE()))</f>
        <v>1163</v>
      </c>
      <c r="H710" s="21">
        <f>F710+(VLOOKUP(D710,'(Semelles.Monument.€HT)'!C:G,4,FALSE()))</f>
        <v>1223</v>
      </c>
      <c r="I710" s="22">
        <f>F710+(VLOOKUP(D710,'(Semelles.Monument.€HT)'!C:G,5,FALSE()))</f>
        <v>1287</v>
      </c>
    </row>
    <row r="711" spans="1:9" ht="26" customHeight="1">
      <c r="A711" s="2" t="s">
        <v>156</v>
      </c>
      <c r="B711" s="13" t="s">
        <v>161</v>
      </c>
      <c r="C711" s="13" t="s">
        <v>128</v>
      </c>
      <c r="D711" s="13">
        <v>38</v>
      </c>
      <c r="E711" s="2" t="s">
        <v>136</v>
      </c>
      <c r="F711" s="7">
        <v>1005</v>
      </c>
      <c r="G711" s="3">
        <f>F711+(VLOOKUP(D711,'(Semelles.Monument.€HT)'!C:G,3,FALSE()))</f>
        <v>1225</v>
      </c>
      <c r="H711" s="4">
        <f>F711+(VLOOKUP(D711,'(Semelles.Monument.€HT)'!C:G,4,FALSE()))</f>
        <v>1289</v>
      </c>
      <c r="I711" s="5">
        <f>F711+(VLOOKUP(D711,'(Semelles.Monument.€HT)'!C:G,5,FALSE()))</f>
        <v>1356</v>
      </c>
    </row>
    <row r="712" spans="1:9" ht="26" customHeight="1">
      <c r="A712" s="17" t="s">
        <v>156</v>
      </c>
      <c r="B712" s="18" t="s">
        <v>161</v>
      </c>
      <c r="C712" s="18" t="s">
        <v>128</v>
      </c>
      <c r="D712" s="18">
        <v>39</v>
      </c>
      <c r="E712" s="17" t="s">
        <v>137</v>
      </c>
      <c r="F712" s="19">
        <v>1029</v>
      </c>
      <c r="G712" s="20">
        <f>F712+(VLOOKUP(D712,'(Semelles.Monument.€HT)'!C:G,3,FALSE()))</f>
        <v>1255</v>
      </c>
      <c r="H712" s="21">
        <f>F712+(VLOOKUP(D712,'(Semelles.Monument.€HT)'!C:G,4,FALSE()))</f>
        <v>1320</v>
      </c>
      <c r="I712" s="22">
        <f>F712+(VLOOKUP(D712,'(Semelles.Monument.€HT)'!C:G,5,FALSE()))</f>
        <v>1389</v>
      </c>
    </row>
    <row r="713" spans="1:9" ht="26" customHeight="1">
      <c r="A713" s="2" t="s">
        <v>156</v>
      </c>
      <c r="B713" s="13" t="s">
        <v>161</v>
      </c>
      <c r="C713" s="13" t="s">
        <v>128</v>
      </c>
      <c r="D713" s="13">
        <v>40</v>
      </c>
      <c r="E713" s="2" t="s">
        <v>138</v>
      </c>
      <c r="F713" s="7">
        <v>1055</v>
      </c>
      <c r="G713" s="3">
        <f>F713+(VLOOKUP(D713,'(Semelles.Monument.€HT)'!C:G,3,FALSE()))</f>
        <v>1287</v>
      </c>
      <c r="H713" s="4">
        <f>F713+(VLOOKUP(D713,'(Semelles.Monument.€HT)'!C:G,4,FALSE()))</f>
        <v>1355</v>
      </c>
      <c r="I713" s="5">
        <f>F713+(VLOOKUP(D713,'(Semelles.Monument.€HT)'!C:G,5,FALSE()))</f>
        <v>1425</v>
      </c>
    </row>
    <row r="714" spans="1:9" ht="26" customHeight="1">
      <c r="A714" s="17" t="s">
        <v>156</v>
      </c>
      <c r="B714" s="18" t="s">
        <v>161</v>
      </c>
      <c r="C714" s="18" t="s">
        <v>128</v>
      </c>
      <c r="D714" s="18">
        <v>41</v>
      </c>
      <c r="E714" s="17" t="s">
        <v>139</v>
      </c>
      <c r="F714" s="19">
        <v>1115</v>
      </c>
      <c r="G714" s="20">
        <f>F714+(VLOOKUP(D714,'(Semelles.Monument.€HT)'!C:G,3,FALSE()))</f>
        <v>1362</v>
      </c>
      <c r="H714" s="21">
        <f>F714+(VLOOKUP(D714,'(Semelles.Monument.€HT)'!C:G,4,FALSE()))</f>
        <v>1434</v>
      </c>
      <c r="I714" s="22">
        <f>F714+(VLOOKUP(D714,'(Semelles.Monument.€HT)'!C:G,5,FALSE()))</f>
        <v>1509</v>
      </c>
    </row>
    <row r="715" spans="1:9" ht="26" customHeight="1">
      <c r="A715" s="2" t="s">
        <v>156</v>
      </c>
      <c r="B715" s="13" t="s">
        <v>161</v>
      </c>
      <c r="C715" s="13" t="s">
        <v>128</v>
      </c>
      <c r="D715" s="13">
        <v>42</v>
      </c>
      <c r="E715" s="2" t="s">
        <v>140</v>
      </c>
      <c r="F715" s="7">
        <v>1215</v>
      </c>
      <c r="G715" s="3">
        <f>F715+(VLOOKUP(D715,'(Semelles.Monument.€HT)'!C:G,3,FALSE()))</f>
        <v>1486</v>
      </c>
      <c r="H715" s="4">
        <f>F715+(VLOOKUP(D715,'(Semelles.Monument.€HT)'!C:G,4,FALSE()))</f>
        <v>1565</v>
      </c>
      <c r="I715" s="5">
        <f>F715+(VLOOKUP(D715,'(Semelles.Monument.€HT)'!C:G,5,FALSE()))</f>
        <v>1648</v>
      </c>
    </row>
    <row r="716" spans="1:9" ht="26" customHeight="1">
      <c r="A716" s="17" t="s">
        <v>156</v>
      </c>
      <c r="B716" s="18" t="s">
        <v>161</v>
      </c>
      <c r="C716" s="18" t="s">
        <v>128</v>
      </c>
      <c r="D716" s="18">
        <v>43</v>
      </c>
      <c r="E716" s="17" t="s">
        <v>141</v>
      </c>
      <c r="F716" s="19">
        <v>1215</v>
      </c>
      <c r="G716" s="20">
        <f>F716+(VLOOKUP(D716,'(Semelles.Monument.€HT)'!C:G,3,FALSE()))</f>
        <v>1486</v>
      </c>
      <c r="H716" s="21">
        <f>F716+(VLOOKUP(D716,'(Semelles.Monument.€HT)'!C:G,4,FALSE()))</f>
        <v>1565</v>
      </c>
      <c r="I716" s="22">
        <f>F716+(VLOOKUP(D716,'(Semelles.Monument.€HT)'!C:G,5,FALSE()))</f>
        <v>1648</v>
      </c>
    </row>
    <row r="717" spans="1:9" ht="26" customHeight="1">
      <c r="A717" s="2" t="s">
        <v>156</v>
      </c>
      <c r="B717" s="13" t="s">
        <v>161</v>
      </c>
      <c r="C717" s="13" t="s">
        <v>128</v>
      </c>
      <c r="D717" s="13">
        <v>44</v>
      </c>
      <c r="E717" s="2" t="s">
        <v>142</v>
      </c>
      <c r="F717" s="7">
        <v>1229</v>
      </c>
      <c r="G717" s="3">
        <f>F717+(VLOOKUP(D717,'(Semelles.Monument.€HT)'!C:G,3,FALSE()))</f>
        <v>1504</v>
      </c>
      <c r="H717" s="4">
        <f>F717+(VLOOKUP(D717,'(Semelles.Monument.€HT)'!C:G,4,FALSE()))</f>
        <v>1583</v>
      </c>
      <c r="I717" s="5">
        <f>F717+(VLOOKUP(D717,'(Semelles.Monument.€HT)'!C:G,5,FALSE()))</f>
        <v>1667</v>
      </c>
    </row>
    <row r="718" spans="1:9" ht="26" customHeight="1">
      <c r="A718" s="17" t="s">
        <v>156</v>
      </c>
      <c r="B718" s="18" t="s">
        <v>161</v>
      </c>
      <c r="C718" s="18" t="s">
        <v>128</v>
      </c>
      <c r="D718" s="18">
        <v>45</v>
      </c>
      <c r="E718" s="17" t="s">
        <v>143</v>
      </c>
      <c r="F718" s="19">
        <v>1242</v>
      </c>
      <c r="G718" s="20">
        <f>F718+(VLOOKUP(D718,'(Semelles.Monument.€HT)'!C:G,3,FALSE()))</f>
        <v>1520</v>
      </c>
      <c r="H718" s="21">
        <f>F718+(VLOOKUP(D718,'(Semelles.Monument.€HT)'!C:G,4,FALSE()))</f>
        <v>1600</v>
      </c>
      <c r="I718" s="22">
        <f>F718+(VLOOKUP(D718,'(Semelles.Monument.€HT)'!C:G,5,FALSE()))</f>
        <v>1685</v>
      </c>
    </row>
    <row r="719" spans="1:9" ht="26" customHeight="1">
      <c r="A719" s="2" t="s">
        <v>156</v>
      </c>
      <c r="B719" s="13" t="s">
        <v>161</v>
      </c>
      <c r="C719" s="13" t="s">
        <v>128</v>
      </c>
      <c r="D719" s="13">
        <v>46</v>
      </c>
      <c r="E719" s="2" t="s">
        <v>144</v>
      </c>
      <c r="F719" s="7">
        <v>1242</v>
      </c>
      <c r="G719" s="3">
        <f>F719+(VLOOKUP(D719,'(Semelles.Monument.€HT)'!C:G,3,FALSE()))</f>
        <v>1520</v>
      </c>
      <c r="H719" s="4">
        <f>F719+(VLOOKUP(D719,'(Semelles.Monument.€HT)'!C:G,4,FALSE()))</f>
        <v>1600</v>
      </c>
      <c r="I719" s="5">
        <f>F719+(VLOOKUP(D719,'(Semelles.Monument.€HT)'!C:G,5,FALSE()))</f>
        <v>1685</v>
      </c>
    </row>
    <row r="720" spans="1:9" ht="26" customHeight="1">
      <c r="A720" s="17" t="s">
        <v>156</v>
      </c>
      <c r="B720" s="18" t="s">
        <v>161</v>
      </c>
      <c r="C720" s="18" t="s">
        <v>128</v>
      </c>
      <c r="D720" s="18">
        <v>47</v>
      </c>
      <c r="E720" s="17" t="s">
        <v>145</v>
      </c>
      <c r="F720" s="19">
        <v>1265</v>
      </c>
      <c r="G720" s="20">
        <f>F720+(VLOOKUP(D720,'(Semelles.Monument.€HT)'!C:G,3,FALSE()))</f>
        <v>1549</v>
      </c>
      <c r="H720" s="21">
        <f>F720+(VLOOKUP(D720,'(Semelles.Monument.€HT)'!C:G,4,FALSE()))</f>
        <v>1631</v>
      </c>
      <c r="I720" s="22">
        <f>F720+(VLOOKUP(D720,'(Semelles.Monument.€HT)'!C:G,5,FALSE()))</f>
        <v>1717</v>
      </c>
    </row>
    <row r="721" spans="1:9" ht="26" customHeight="1">
      <c r="A721" s="2" t="s">
        <v>156</v>
      </c>
      <c r="B721" s="13" t="s">
        <v>161</v>
      </c>
      <c r="C721" s="13" t="s">
        <v>128</v>
      </c>
      <c r="D721" s="13">
        <v>48</v>
      </c>
      <c r="E721" s="2" t="s">
        <v>146</v>
      </c>
      <c r="F721" s="7">
        <v>1279</v>
      </c>
      <c r="G721" s="3">
        <f>F721+(VLOOKUP(D721,'(Semelles.Monument.€HT)'!C:G,3,FALSE()))</f>
        <v>1566</v>
      </c>
      <c r="H721" s="4">
        <f>F721+(VLOOKUP(D721,'(Semelles.Monument.€HT)'!C:G,4,FALSE()))</f>
        <v>1649</v>
      </c>
      <c r="I721" s="5">
        <f>F721+(VLOOKUP(D721,'(Semelles.Monument.€HT)'!C:G,5,FALSE()))</f>
        <v>1736</v>
      </c>
    </row>
    <row r="722" spans="1:9" ht="26" customHeight="1">
      <c r="A722" s="17" t="s">
        <v>156</v>
      </c>
      <c r="B722" s="18" t="s">
        <v>162</v>
      </c>
      <c r="C722" s="18" t="s">
        <v>97</v>
      </c>
      <c r="D722" s="18">
        <v>1</v>
      </c>
      <c r="E722" s="17" t="s">
        <v>98</v>
      </c>
      <c r="F722" s="19">
        <v>727</v>
      </c>
      <c r="G722" s="20">
        <f>F722+(VLOOKUP(D722,'(Semelles.Monument.€HT)'!C:G,3,FALSE()))</f>
        <v>885</v>
      </c>
      <c r="H722" s="21">
        <f>F722+(VLOOKUP(D722,'(Semelles.Monument.€HT)'!C:G,4,FALSE()))</f>
        <v>931</v>
      </c>
      <c r="I722" s="22">
        <f>F722+(VLOOKUP(D722,'(Semelles.Monument.€HT)'!C:G,5,FALSE()))</f>
        <v>979</v>
      </c>
    </row>
    <row r="723" spans="1:9" ht="26" customHeight="1">
      <c r="A723" s="2" t="s">
        <v>156</v>
      </c>
      <c r="B723" s="13" t="s">
        <v>162</v>
      </c>
      <c r="C723" s="13" t="s">
        <v>97</v>
      </c>
      <c r="D723" s="13">
        <v>2</v>
      </c>
      <c r="E723" s="2" t="s">
        <v>99</v>
      </c>
      <c r="F723" s="7">
        <v>726</v>
      </c>
      <c r="G723" s="3">
        <f>F723+(VLOOKUP(D723,'(Semelles.Monument.€HT)'!C:G,3,FALSE()))</f>
        <v>884</v>
      </c>
      <c r="H723" s="4">
        <f>F723+(VLOOKUP(D723,'(Semelles.Monument.€HT)'!C:G,4,FALSE()))</f>
        <v>930</v>
      </c>
      <c r="I723" s="5">
        <f>F723+(VLOOKUP(D723,'(Semelles.Monument.€HT)'!C:G,5,FALSE()))</f>
        <v>978</v>
      </c>
    </row>
    <row r="724" spans="1:9" ht="26" customHeight="1">
      <c r="A724" s="17" t="s">
        <v>156</v>
      </c>
      <c r="B724" s="18" t="s">
        <v>162</v>
      </c>
      <c r="C724" s="18" t="s">
        <v>97</v>
      </c>
      <c r="D724" s="18">
        <v>3</v>
      </c>
      <c r="E724" s="17" t="s">
        <v>100</v>
      </c>
      <c r="F724" s="19">
        <v>808</v>
      </c>
      <c r="G724" s="20">
        <f>F724+(VLOOKUP(D724,'(Semelles.Monument.€HT)'!C:G,3,FALSE()))</f>
        <v>984</v>
      </c>
      <c r="H724" s="21">
        <f>F724+(VLOOKUP(D724,'(Semelles.Monument.€HT)'!C:G,4,FALSE()))</f>
        <v>1035</v>
      </c>
      <c r="I724" s="22">
        <f>F724+(VLOOKUP(D724,'(Semelles.Monument.€HT)'!C:G,5,FALSE()))</f>
        <v>1088</v>
      </c>
    </row>
    <row r="725" spans="1:9" ht="26" customHeight="1">
      <c r="A725" s="2" t="s">
        <v>156</v>
      </c>
      <c r="B725" s="13" t="s">
        <v>162</v>
      </c>
      <c r="C725" s="13" t="s">
        <v>97</v>
      </c>
      <c r="D725" s="13">
        <v>4</v>
      </c>
      <c r="E725" s="2" t="s">
        <v>101</v>
      </c>
      <c r="F725" s="7">
        <v>821</v>
      </c>
      <c r="G725" s="3">
        <f>F725+(VLOOKUP(D725,'(Semelles.Monument.€HT)'!C:G,3,FALSE()))</f>
        <v>1000</v>
      </c>
      <c r="H725" s="4">
        <f>F725+(VLOOKUP(D725,'(Semelles.Monument.€HT)'!C:G,4,FALSE()))</f>
        <v>1052</v>
      </c>
      <c r="I725" s="5">
        <f>F725+(VLOOKUP(D725,'(Semelles.Monument.€HT)'!C:G,5,FALSE()))</f>
        <v>1106</v>
      </c>
    </row>
    <row r="726" spans="1:9" ht="26" customHeight="1">
      <c r="A726" s="17" t="s">
        <v>156</v>
      </c>
      <c r="B726" s="18" t="s">
        <v>162</v>
      </c>
      <c r="C726" s="18" t="s">
        <v>97</v>
      </c>
      <c r="D726" s="18">
        <v>5</v>
      </c>
      <c r="E726" s="17" t="s">
        <v>102</v>
      </c>
      <c r="F726" s="19">
        <v>821</v>
      </c>
      <c r="G726" s="20">
        <f>F726+(VLOOKUP(D726,'(Semelles.Monument.€HT)'!C:G,3,FALSE()))</f>
        <v>1000</v>
      </c>
      <c r="H726" s="21">
        <f>F726+(VLOOKUP(D726,'(Semelles.Monument.€HT)'!C:G,4,FALSE()))</f>
        <v>1052</v>
      </c>
      <c r="I726" s="22">
        <f>F726+(VLOOKUP(D726,'(Semelles.Monument.€HT)'!C:G,5,FALSE()))</f>
        <v>1106</v>
      </c>
    </row>
    <row r="727" spans="1:9" ht="26" customHeight="1">
      <c r="A727" s="2" t="s">
        <v>156</v>
      </c>
      <c r="B727" s="13" t="s">
        <v>162</v>
      </c>
      <c r="C727" s="13" t="s">
        <v>97</v>
      </c>
      <c r="D727" s="13">
        <v>6</v>
      </c>
      <c r="E727" s="2" t="s">
        <v>103</v>
      </c>
      <c r="F727" s="7">
        <v>826</v>
      </c>
      <c r="G727" s="3">
        <f>F727+(VLOOKUP(D727,'(Semelles.Monument.€HT)'!C:G,3,FALSE()))</f>
        <v>1006</v>
      </c>
      <c r="H727" s="4">
        <f>F727+(VLOOKUP(D727,'(Semelles.Monument.€HT)'!C:G,4,FALSE()))</f>
        <v>1058</v>
      </c>
      <c r="I727" s="5">
        <f>F727+(VLOOKUP(D727,'(Semelles.Monument.€HT)'!C:G,5,FALSE()))</f>
        <v>1113</v>
      </c>
    </row>
    <row r="728" spans="1:9" ht="26" customHeight="1">
      <c r="A728" s="17" t="s">
        <v>156</v>
      </c>
      <c r="B728" s="18" t="s">
        <v>162</v>
      </c>
      <c r="C728" s="18" t="s">
        <v>97</v>
      </c>
      <c r="D728" s="18">
        <v>7</v>
      </c>
      <c r="E728" s="17" t="s">
        <v>104</v>
      </c>
      <c r="F728" s="19">
        <v>826</v>
      </c>
      <c r="G728" s="20">
        <f>F728+(VLOOKUP(D728,'(Semelles.Monument.€HT)'!C:G,3,FALSE()))</f>
        <v>1006</v>
      </c>
      <c r="H728" s="21">
        <f>F728+(VLOOKUP(D728,'(Semelles.Monument.€HT)'!C:G,4,FALSE()))</f>
        <v>1058</v>
      </c>
      <c r="I728" s="22">
        <f>F728+(VLOOKUP(D728,'(Semelles.Monument.€HT)'!C:G,5,FALSE()))</f>
        <v>1113</v>
      </c>
    </row>
    <row r="729" spans="1:9" ht="26" customHeight="1">
      <c r="A729" s="2" t="s">
        <v>156</v>
      </c>
      <c r="B729" s="13" t="s">
        <v>162</v>
      </c>
      <c r="C729" s="13" t="s">
        <v>97</v>
      </c>
      <c r="D729" s="13">
        <v>8</v>
      </c>
      <c r="E729" s="2" t="s">
        <v>105</v>
      </c>
      <c r="F729" s="7">
        <v>826</v>
      </c>
      <c r="G729" s="3">
        <f>F729+(VLOOKUP(D729,'(Semelles.Monument.€HT)'!C:G,3,FALSE()))</f>
        <v>1006</v>
      </c>
      <c r="H729" s="4">
        <f>F729+(VLOOKUP(D729,'(Semelles.Monument.€HT)'!C:G,4,FALSE()))</f>
        <v>1058</v>
      </c>
      <c r="I729" s="5">
        <f>F729+(VLOOKUP(D729,'(Semelles.Monument.€HT)'!C:G,5,FALSE()))</f>
        <v>1113</v>
      </c>
    </row>
    <row r="730" spans="1:9" ht="26" customHeight="1">
      <c r="A730" s="17" t="s">
        <v>156</v>
      </c>
      <c r="B730" s="18" t="s">
        <v>162</v>
      </c>
      <c r="C730" s="18" t="s">
        <v>97</v>
      </c>
      <c r="D730" s="18">
        <v>9</v>
      </c>
      <c r="E730" s="17" t="s">
        <v>106</v>
      </c>
      <c r="F730" s="19">
        <v>826</v>
      </c>
      <c r="G730" s="20">
        <f>F730+(VLOOKUP(D730,'(Semelles.Monument.€HT)'!C:G,3,FALSE()))</f>
        <v>1006</v>
      </c>
      <c r="H730" s="21">
        <f>F730+(VLOOKUP(D730,'(Semelles.Monument.€HT)'!C:G,4,FALSE()))</f>
        <v>1058</v>
      </c>
      <c r="I730" s="22">
        <f>F730+(VLOOKUP(D730,'(Semelles.Monument.€HT)'!C:G,5,FALSE()))</f>
        <v>1113</v>
      </c>
    </row>
    <row r="731" spans="1:9" ht="26" customHeight="1">
      <c r="A731" s="2" t="s">
        <v>156</v>
      </c>
      <c r="B731" s="13" t="s">
        <v>162</v>
      </c>
      <c r="C731" s="13" t="s">
        <v>97</v>
      </c>
      <c r="D731" s="13">
        <v>10</v>
      </c>
      <c r="E731" s="2" t="s">
        <v>107</v>
      </c>
      <c r="F731" s="7">
        <v>826</v>
      </c>
      <c r="G731" s="3">
        <f>F731+(VLOOKUP(D731,'(Semelles.Monument.€HT)'!C:G,3,FALSE()))</f>
        <v>1006</v>
      </c>
      <c r="H731" s="4">
        <f>F731+(VLOOKUP(D731,'(Semelles.Monument.€HT)'!C:G,4,FALSE()))</f>
        <v>1058</v>
      </c>
      <c r="I731" s="5">
        <f>F731+(VLOOKUP(D731,'(Semelles.Monument.€HT)'!C:G,5,FALSE()))</f>
        <v>1113</v>
      </c>
    </row>
    <row r="732" spans="1:9" ht="26" customHeight="1">
      <c r="A732" s="17" t="s">
        <v>156</v>
      </c>
      <c r="B732" s="18" t="s">
        <v>162</v>
      </c>
      <c r="C732" s="18" t="s">
        <v>97</v>
      </c>
      <c r="D732" s="18">
        <v>11</v>
      </c>
      <c r="E732" s="17" t="s">
        <v>108</v>
      </c>
      <c r="F732" s="19">
        <v>826</v>
      </c>
      <c r="G732" s="20">
        <f>F732+(VLOOKUP(D732,'(Semelles.Monument.€HT)'!C:G,3,FALSE()))</f>
        <v>1006</v>
      </c>
      <c r="H732" s="21">
        <f>F732+(VLOOKUP(D732,'(Semelles.Monument.€HT)'!C:G,4,FALSE()))</f>
        <v>1058</v>
      </c>
      <c r="I732" s="22">
        <f>F732+(VLOOKUP(D732,'(Semelles.Monument.€HT)'!C:G,5,FALSE()))</f>
        <v>1113</v>
      </c>
    </row>
    <row r="733" spans="1:9" ht="26" customHeight="1">
      <c r="A733" s="2" t="s">
        <v>156</v>
      </c>
      <c r="B733" s="13" t="s">
        <v>162</v>
      </c>
      <c r="C733" s="13" t="s">
        <v>97</v>
      </c>
      <c r="D733" s="13">
        <v>12</v>
      </c>
      <c r="E733" s="2" t="s">
        <v>109</v>
      </c>
      <c r="F733" s="7">
        <v>838</v>
      </c>
      <c r="G733" s="3">
        <f>F733+(VLOOKUP(D733,'(Semelles.Monument.€HT)'!C:G,3,FALSE()))</f>
        <v>1020</v>
      </c>
      <c r="H733" s="4">
        <f>F733+(VLOOKUP(D733,'(Semelles.Monument.€HT)'!C:G,4,FALSE()))</f>
        <v>1073</v>
      </c>
      <c r="I733" s="5">
        <f>F733+(VLOOKUP(D733,'(Semelles.Monument.€HT)'!C:G,5,FALSE()))</f>
        <v>1129</v>
      </c>
    </row>
    <row r="734" spans="1:9" ht="26" customHeight="1">
      <c r="A734" s="17" t="s">
        <v>156</v>
      </c>
      <c r="B734" s="18" t="s">
        <v>162</v>
      </c>
      <c r="C734" s="18" t="s">
        <v>97</v>
      </c>
      <c r="D734" s="18">
        <v>13</v>
      </c>
      <c r="E734" s="17" t="s">
        <v>110</v>
      </c>
      <c r="F734" s="19">
        <v>838</v>
      </c>
      <c r="G734" s="20">
        <f>F734+(VLOOKUP(D734,'(Semelles.Monument.€HT)'!C:G,3,FALSE()))</f>
        <v>1020</v>
      </c>
      <c r="H734" s="21">
        <f>F734+(VLOOKUP(D734,'(Semelles.Monument.€HT)'!C:G,4,FALSE()))</f>
        <v>1073</v>
      </c>
      <c r="I734" s="22">
        <f>F734+(VLOOKUP(D734,'(Semelles.Monument.€HT)'!C:G,5,FALSE()))</f>
        <v>1129</v>
      </c>
    </row>
    <row r="735" spans="1:9" ht="26" customHeight="1">
      <c r="A735" s="2" t="s">
        <v>156</v>
      </c>
      <c r="B735" s="13" t="s">
        <v>162</v>
      </c>
      <c r="C735" s="13" t="s">
        <v>97</v>
      </c>
      <c r="D735" s="13">
        <v>14</v>
      </c>
      <c r="E735" s="2" t="s">
        <v>111</v>
      </c>
      <c r="F735" s="7">
        <v>841</v>
      </c>
      <c r="G735" s="3">
        <f>F735+(VLOOKUP(D735,'(Semelles.Monument.€HT)'!C:G,3,FALSE()))</f>
        <v>1024</v>
      </c>
      <c r="H735" s="4">
        <f>F735+(VLOOKUP(D735,'(Semelles.Monument.€HT)'!C:G,4,FALSE()))</f>
        <v>1077</v>
      </c>
      <c r="I735" s="5">
        <f>F735+(VLOOKUP(D735,'(Semelles.Monument.€HT)'!C:G,5,FALSE()))</f>
        <v>1133</v>
      </c>
    </row>
    <row r="736" spans="1:9" ht="26" customHeight="1">
      <c r="A736" s="17" t="s">
        <v>156</v>
      </c>
      <c r="B736" s="18" t="s">
        <v>162</v>
      </c>
      <c r="C736" s="18" t="s">
        <v>97</v>
      </c>
      <c r="D736" s="18">
        <v>15</v>
      </c>
      <c r="E736" s="17" t="s">
        <v>112</v>
      </c>
      <c r="F736" s="19">
        <v>841</v>
      </c>
      <c r="G736" s="20">
        <f>F736+(VLOOKUP(D736,'(Semelles.Monument.€HT)'!C:G,3,FALSE()))</f>
        <v>1024</v>
      </c>
      <c r="H736" s="21">
        <f>F736+(VLOOKUP(D736,'(Semelles.Monument.€HT)'!C:G,4,FALSE()))</f>
        <v>1077</v>
      </c>
      <c r="I736" s="22">
        <f>F736+(VLOOKUP(D736,'(Semelles.Monument.€HT)'!C:G,5,FALSE()))</f>
        <v>1133</v>
      </c>
    </row>
    <row r="737" spans="1:9" ht="26" customHeight="1">
      <c r="A737" s="2" t="s">
        <v>156</v>
      </c>
      <c r="B737" s="13" t="s">
        <v>162</v>
      </c>
      <c r="C737" s="13" t="s">
        <v>97</v>
      </c>
      <c r="D737" s="13">
        <v>16</v>
      </c>
      <c r="E737" s="2" t="s">
        <v>113</v>
      </c>
      <c r="F737" s="7">
        <v>841</v>
      </c>
      <c r="G737" s="3">
        <f>F737+(VLOOKUP(D737,'(Semelles.Monument.€HT)'!C:G,3,FALSE()))</f>
        <v>1024</v>
      </c>
      <c r="H737" s="4">
        <f>F737+(VLOOKUP(D737,'(Semelles.Monument.€HT)'!C:G,4,FALSE()))</f>
        <v>1077</v>
      </c>
      <c r="I737" s="5">
        <f>F737+(VLOOKUP(D737,'(Semelles.Monument.€HT)'!C:G,5,FALSE()))</f>
        <v>1133</v>
      </c>
    </row>
    <row r="738" spans="1:9" ht="26" customHeight="1">
      <c r="A738" s="17" t="s">
        <v>156</v>
      </c>
      <c r="B738" s="18" t="s">
        <v>162</v>
      </c>
      <c r="C738" s="18" t="s">
        <v>97</v>
      </c>
      <c r="D738" s="18">
        <v>17</v>
      </c>
      <c r="E738" s="17" t="s">
        <v>114</v>
      </c>
      <c r="F738" s="19">
        <v>855</v>
      </c>
      <c r="G738" s="20">
        <f>F738+(VLOOKUP(D738,'(Semelles.Monument.€HT)'!C:G,3,FALSE()))</f>
        <v>1041</v>
      </c>
      <c r="H738" s="21">
        <f>F738+(VLOOKUP(D738,'(Semelles.Monument.€HT)'!C:G,4,FALSE()))</f>
        <v>1095</v>
      </c>
      <c r="I738" s="22">
        <f>F738+(VLOOKUP(D738,'(Semelles.Monument.€HT)'!C:G,5,FALSE()))</f>
        <v>1152</v>
      </c>
    </row>
    <row r="739" spans="1:9" ht="26" customHeight="1">
      <c r="A739" s="2" t="s">
        <v>156</v>
      </c>
      <c r="B739" s="13" t="s">
        <v>162</v>
      </c>
      <c r="C739" s="13" t="s">
        <v>97</v>
      </c>
      <c r="D739" s="13">
        <v>18</v>
      </c>
      <c r="E739" s="2" t="s">
        <v>115</v>
      </c>
      <c r="F739" s="7">
        <v>855</v>
      </c>
      <c r="G739" s="3">
        <f>F739+(VLOOKUP(D739,'(Semelles.Monument.€HT)'!C:G,3,FALSE()))</f>
        <v>1041</v>
      </c>
      <c r="H739" s="4">
        <f>F739+(VLOOKUP(D739,'(Semelles.Monument.€HT)'!C:G,4,FALSE()))</f>
        <v>1095</v>
      </c>
      <c r="I739" s="5">
        <f>F739+(VLOOKUP(D739,'(Semelles.Monument.€HT)'!C:G,5,FALSE()))</f>
        <v>1152</v>
      </c>
    </row>
    <row r="740" spans="1:9" ht="26" customHeight="1">
      <c r="A740" s="17" t="s">
        <v>156</v>
      </c>
      <c r="B740" s="18" t="s">
        <v>162</v>
      </c>
      <c r="C740" s="18" t="s">
        <v>97</v>
      </c>
      <c r="D740" s="18">
        <v>19</v>
      </c>
      <c r="E740" s="17" t="s">
        <v>116</v>
      </c>
      <c r="F740" s="19">
        <v>855</v>
      </c>
      <c r="G740" s="20">
        <f>F740+(VLOOKUP(D740,'(Semelles.Monument.€HT)'!C:G,3,FALSE()))</f>
        <v>1041</v>
      </c>
      <c r="H740" s="21">
        <f>F740+(VLOOKUP(D740,'(Semelles.Monument.€HT)'!C:G,4,FALSE()))</f>
        <v>1095</v>
      </c>
      <c r="I740" s="22">
        <f>F740+(VLOOKUP(D740,'(Semelles.Monument.€HT)'!C:G,5,FALSE()))</f>
        <v>1152</v>
      </c>
    </row>
    <row r="741" spans="1:9" ht="26" customHeight="1">
      <c r="A741" s="2" t="s">
        <v>156</v>
      </c>
      <c r="B741" s="13" t="s">
        <v>162</v>
      </c>
      <c r="C741" s="13" t="s">
        <v>97</v>
      </c>
      <c r="D741" s="13">
        <v>20</v>
      </c>
      <c r="E741" s="2" t="s">
        <v>117</v>
      </c>
      <c r="F741" s="7">
        <v>862</v>
      </c>
      <c r="G741" s="3">
        <f>F741+(VLOOKUP(D741,'(Semelles.Monument.€HT)'!C:G,3,FALSE()))</f>
        <v>1050</v>
      </c>
      <c r="H741" s="4">
        <f>F741+(VLOOKUP(D741,'(Semelles.Monument.€HT)'!C:G,4,FALSE()))</f>
        <v>1104</v>
      </c>
      <c r="I741" s="5">
        <f>F741+(VLOOKUP(D741,'(Semelles.Monument.€HT)'!C:G,5,FALSE()))</f>
        <v>1161</v>
      </c>
    </row>
    <row r="742" spans="1:9" ht="26" customHeight="1">
      <c r="A742" s="17" t="s">
        <v>156</v>
      </c>
      <c r="B742" s="18" t="s">
        <v>162</v>
      </c>
      <c r="C742" s="18" t="s">
        <v>97</v>
      </c>
      <c r="D742" s="18">
        <v>21</v>
      </c>
      <c r="E742" s="17" t="s">
        <v>118</v>
      </c>
      <c r="F742" s="19">
        <v>867</v>
      </c>
      <c r="G742" s="20">
        <f>F742+(VLOOKUP(D742,'(Semelles.Monument.€HT)'!C:G,3,FALSE()))</f>
        <v>1056</v>
      </c>
      <c r="H742" s="21">
        <f>F742+(VLOOKUP(D742,'(Semelles.Monument.€HT)'!C:G,4,FALSE()))</f>
        <v>1110</v>
      </c>
      <c r="I742" s="22">
        <f>F742+(VLOOKUP(D742,'(Semelles.Monument.€HT)'!C:G,5,FALSE()))</f>
        <v>1168</v>
      </c>
    </row>
    <row r="743" spans="1:9" ht="26" customHeight="1">
      <c r="A743" s="2" t="s">
        <v>156</v>
      </c>
      <c r="B743" s="13" t="s">
        <v>162</v>
      </c>
      <c r="C743" s="13" t="s">
        <v>97</v>
      </c>
      <c r="D743" s="13">
        <v>22</v>
      </c>
      <c r="E743" s="2" t="s">
        <v>119</v>
      </c>
      <c r="F743" s="7">
        <v>867</v>
      </c>
      <c r="G743" s="3">
        <f>F743+(VLOOKUP(D743,'(Semelles.Monument.€HT)'!C:G,3,FALSE()))</f>
        <v>1056</v>
      </c>
      <c r="H743" s="4">
        <f>F743+(VLOOKUP(D743,'(Semelles.Monument.€HT)'!C:G,4,FALSE()))</f>
        <v>1110</v>
      </c>
      <c r="I743" s="5">
        <f>F743+(VLOOKUP(D743,'(Semelles.Monument.€HT)'!C:G,5,FALSE()))</f>
        <v>1168</v>
      </c>
    </row>
    <row r="744" spans="1:9" ht="26" customHeight="1">
      <c r="A744" s="17" t="s">
        <v>156</v>
      </c>
      <c r="B744" s="18" t="s">
        <v>162</v>
      </c>
      <c r="C744" s="18" t="s">
        <v>97</v>
      </c>
      <c r="D744" s="18">
        <v>23</v>
      </c>
      <c r="E744" s="17" t="s">
        <v>120</v>
      </c>
      <c r="F744" s="19">
        <v>880</v>
      </c>
      <c r="G744" s="20">
        <f>F744+(VLOOKUP(D744,'(Semelles.Monument.€HT)'!C:G,3,FALSE()))</f>
        <v>1072</v>
      </c>
      <c r="H744" s="21">
        <f>F744+(VLOOKUP(D744,'(Semelles.Monument.€HT)'!C:G,4,FALSE()))</f>
        <v>1127</v>
      </c>
      <c r="I744" s="22">
        <f>F744+(VLOOKUP(D744,'(Semelles.Monument.€HT)'!C:G,5,FALSE()))</f>
        <v>1185</v>
      </c>
    </row>
    <row r="745" spans="1:9" ht="26" customHeight="1">
      <c r="A745" s="2" t="s">
        <v>156</v>
      </c>
      <c r="B745" s="13" t="s">
        <v>162</v>
      </c>
      <c r="C745" s="13" t="s">
        <v>97</v>
      </c>
      <c r="D745" s="13">
        <v>24</v>
      </c>
      <c r="E745" s="2" t="s">
        <v>121</v>
      </c>
      <c r="F745" s="7">
        <v>880</v>
      </c>
      <c r="G745" s="3">
        <f>F745+(VLOOKUP(D745,'(Semelles.Monument.€HT)'!C:G,3,FALSE()))</f>
        <v>1072</v>
      </c>
      <c r="H745" s="4">
        <f>F745+(VLOOKUP(D745,'(Semelles.Monument.€HT)'!C:G,4,FALSE()))</f>
        <v>1127</v>
      </c>
      <c r="I745" s="5">
        <f>F745+(VLOOKUP(D745,'(Semelles.Monument.€HT)'!C:G,5,FALSE()))</f>
        <v>1185</v>
      </c>
    </row>
    <row r="746" spans="1:9" ht="26" customHeight="1">
      <c r="A746" s="17" t="s">
        <v>156</v>
      </c>
      <c r="B746" s="18" t="s">
        <v>162</v>
      </c>
      <c r="C746" s="18" t="s">
        <v>97</v>
      </c>
      <c r="D746" s="18">
        <v>25</v>
      </c>
      <c r="E746" s="17" t="s">
        <v>122</v>
      </c>
      <c r="F746" s="19">
        <v>880</v>
      </c>
      <c r="G746" s="20">
        <f>F746+(VLOOKUP(D746,'(Semelles.Monument.€HT)'!C:G,3,FALSE()))</f>
        <v>1072</v>
      </c>
      <c r="H746" s="21">
        <f>F746+(VLOOKUP(D746,'(Semelles.Monument.€HT)'!C:G,4,FALSE()))</f>
        <v>1127</v>
      </c>
      <c r="I746" s="22">
        <f>F746+(VLOOKUP(D746,'(Semelles.Monument.€HT)'!C:G,5,FALSE()))</f>
        <v>1185</v>
      </c>
    </row>
    <row r="747" spans="1:9" ht="26" customHeight="1">
      <c r="A747" s="2" t="s">
        <v>156</v>
      </c>
      <c r="B747" s="13" t="s">
        <v>162</v>
      </c>
      <c r="C747" s="13" t="s">
        <v>97</v>
      </c>
      <c r="D747" s="13">
        <v>26</v>
      </c>
      <c r="E747" s="2" t="s">
        <v>123</v>
      </c>
      <c r="F747" s="7">
        <v>895</v>
      </c>
      <c r="G747" s="3">
        <f>F747+(VLOOKUP(D747,'(Semelles.Monument.€HT)'!C:G,3,FALSE()))</f>
        <v>1090</v>
      </c>
      <c r="H747" s="4">
        <f>F747+(VLOOKUP(D747,'(Semelles.Monument.€HT)'!C:G,4,FALSE()))</f>
        <v>1146</v>
      </c>
      <c r="I747" s="5">
        <f>F747+(VLOOKUP(D747,'(Semelles.Monument.€HT)'!C:G,5,FALSE()))</f>
        <v>1205</v>
      </c>
    </row>
    <row r="748" spans="1:9" ht="26" customHeight="1">
      <c r="A748" s="17" t="s">
        <v>156</v>
      </c>
      <c r="B748" s="18" t="s">
        <v>162</v>
      </c>
      <c r="C748" s="18" t="s">
        <v>97</v>
      </c>
      <c r="D748" s="18">
        <v>27</v>
      </c>
      <c r="E748" s="17" t="s">
        <v>124</v>
      </c>
      <c r="F748" s="19">
        <v>954</v>
      </c>
      <c r="G748" s="20">
        <f>F748+(VLOOKUP(D748,'(Semelles.Monument.€HT)'!C:G,3,FALSE()))</f>
        <v>1162</v>
      </c>
      <c r="H748" s="21">
        <f>F748+(VLOOKUP(D748,'(Semelles.Monument.€HT)'!C:G,4,FALSE()))</f>
        <v>1222</v>
      </c>
      <c r="I748" s="22">
        <f>F748+(VLOOKUP(D748,'(Semelles.Monument.€HT)'!C:G,5,FALSE()))</f>
        <v>1321</v>
      </c>
    </row>
    <row r="749" spans="1:9" ht="26" customHeight="1">
      <c r="A749" s="2" t="s">
        <v>156</v>
      </c>
      <c r="B749" s="13" t="s">
        <v>162</v>
      </c>
      <c r="C749" s="13" t="s">
        <v>97</v>
      </c>
      <c r="D749" s="13">
        <v>28</v>
      </c>
      <c r="E749" s="2" t="s">
        <v>125</v>
      </c>
      <c r="F749" s="7">
        <v>1057</v>
      </c>
      <c r="G749" s="3">
        <f>F749+(VLOOKUP(D749,'(Semelles.Monument.€HT)'!C:G,3,FALSE()))</f>
        <v>1287</v>
      </c>
      <c r="H749" s="4">
        <f>F749+(VLOOKUP(D749,'(Semelles.Monument.€HT)'!C:G,4,FALSE()))</f>
        <v>1354</v>
      </c>
      <c r="I749" s="5">
        <f>F749+(VLOOKUP(D749,'(Semelles.Monument.€HT)'!C:G,5,FALSE()))</f>
        <v>1424</v>
      </c>
    </row>
    <row r="750" spans="1:9" ht="26" customHeight="1">
      <c r="A750" s="17" t="s">
        <v>156</v>
      </c>
      <c r="B750" s="18" t="s">
        <v>162</v>
      </c>
      <c r="C750" s="18" t="s">
        <v>97</v>
      </c>
      <c r="D750" s="18">
        <v>29</v>
      </c>
      <c r="E750" s="17" t="s">
        <v>126</v>
      </c>
      <c r="F750" s="19">
        <v>1101</v>
      </c>
      <c r="G750" s="20">
        <f>F750+(VLOOKUP(D750,'(Semelles.Monument.€HT)'!C:G,3,FALSE()))</f>
        <v>1341</v>
      </c>
      <c r="H750" s="21">
        <f>F750+(VLOOKUP(D750,'(Semelles.Monument.€HT)'!C:G,4,FALSE()))</f>
        <v>1410</v>
      </c>
      <c r="I750" s="22">
        <f>F750+(VLOOKUP(D750,'(Semelles.Monument.€HT)'!C:G,5,FALSE()))</f>
        <v>1483</v>
      </c>
    </row>
    <row r="751" spans="1:9" ht="26" customHeight="1">
      <c r="A751" s="2" t="s">
        <v>156</v>
      </c>
      <c r="B751" s="13" t="s">
        <v>162</v>
      </c>
      <c r="C751" s="13" t="s">
        <v>97</v>
      </c>
      <c r="D751" s="13">
        <v>30</v>
      </c>
      <c r="E751" s="2" t="s">
        <v>127</v>
      </c>
      <c r="F751" s="7">
        <v>1101</v>
      </c>
      <c r="G751" s="3">
        <f>F751+(VLOOKUP(D751,'(Semelles.Monument.€HT)'!C:G,3,FALSE()))</f>
        <v>1341</v>
      </c>
      <c r="H751" s="4">
        <f>F751+(VLOOKUP(D751,'(Semelles.Monument.€HT)'!C:G,4,FALSE()))</f>
        <v>1410</v>
      </c>
      <c r="I751" s="5">
        <f>F751+(VLOOKUP(D751,'(Semelles.Monument.€HT)'!C:G,5,FALSE()))</f>
        <v>1483</v>
      </c>
    </row>
    <row r="752" spans="1:9" ht="26" customHeight="1">
      <c r="A752" s="17" t="s">
        <v>156</v>
      </c>
      <c r="B752" s="18" t="s">
        <v>162</v>
      </c>
      <c r="C752" s="18" t="s">
        <v>128</v>
      </c>
      <c r="D752" s="18">
        <v>31</v>
      </c>
      <c r="E752" s="17" t="s">
        <v>129</v>
      </c>
      <c r="F752" s="19">
        <v>656</v>
      </c>
      <c r="G752" s="20">
        <f>F752+(VLOOKUP(D752,'(Semelles.Monument.€HT)'!C:G,3,FALSE()))</f>
        <v>788</v>
      </c>
      <c r="H752" s="21">
        <f>F752+(VLOOKUP(D752,'(Semelles.Monument.€HT)'!C:G,4,FALSE()))</f>
        <v>826</v>
      </c>
      <c r="I752" s="22">
        <f>F752+(VLOOKUP(D752,'(Semelles.Monument.€HT)'!C:G,5,FALSE()))</f>
        <v>866</v>
      </c>
    </row>
    <row r="753" spans="1:9" ht="26" customHeight="1">
      <c r="A753" s="2" t="s">
        <v>156</v>
      </c>
      <c r="B753" s="13" t="s">
        <v>162</v>
      </c>
      <c r="C753" s="13" t="s">
        <v>128</v>
      </c>
      <c r="D753" s="13">
        <v>32</v>
      </c>
      <c r="E753" s="2" t="s">
        <v>130</v>
      </c>
      <c r="F753" s="7">
        <v>665</v>
      </c>
      <c r="G753" s="3">
        <f>F753+(VLOOKUP(D753,'(Semelles.Monument.€HT)'!C:G,3,FALSE()))</f>
        <v>799</v>
      </c>
      <c r="H753" s="4">
        <f>F753+(VLOOKUP(D753,'(Semelles.Monument.€HT)'!C:G,4,FALSE()))</f>
        <v>838</v>
      </c>
      <c r="I753" s="5">
        <f>F753+(VLOOKUP(D753,'(Semelles.Monument.€HT)'!C:G,5,FALSE()))</f>
        <v>878</v>
      </c>
    </row>
    <row r="754" spans="1:9" ht="26" customHeight="1">
      <c r="A754" s="17" t="s">
        <v>156</v>
      </c>
      <c r="B754" s="18" t="s">
        <v>162</v>
      </c>
      <c r="C754" s="18" t="s">
        <v>128</v>
      </c>
      <c r="D754" s="18">
        <v>33</v>
      </c>
      <c r="E754" s="17" t="s">
        <v>131</v>
      </c>
      <c r="F754" s="19">
        <v>665</v>
      </c>
      <c r="G754" s="20">
        <f>F754+(VLOOKUP(D754,'(Semelles.Monument.€HT)'!C:G,3,FALSE()))</f>
        <v>799</v>
      </c>
      <c r="H754" s="21">
        <f>F754+(VLOOKUP(D754,'(Semelles.Monument.€HT)'!C:G,4,FALSE()))</f>
        <v>838</v>
      </c>
      <c r="I754" s="22">
        <f>F754+(VLOOKUP(D754,'(Semelles.Monument.€HT)'!C:G,5,FALSE()))</f>
        <v>878</v>
      </c>
    </row>
    <row r="755" spans="1:9" ht="26" customHeight="1">
      <c r="A755" s="2" t="s">
        <v>156</v>
      </c>
      <c r="B755" s="13" t="s">
        <v>162</v>
      </c>
      <c r="C755" s="13" t="s">
        <v>128</v>
      </c>
      <c r="D755" s="13">
        <v>34</v>
      </c>
      <c r="E755" s="2" t="s">
        <v>132</v>
      </c>
      <c r="F755" s="7">
        <v>671</v>
      </c>
      <c r="G755" s="3">
        <f>F755+(VLOOKUP(D755,'(Semelles.Monument.€HT)'!C:G,3,FALSE()))</f>
        <v>806</v>
      </c>
      <c r="H755" s="4">
        <f>F755+(VLOOKUP(D755,'(Semelles.Monument.€HT)'!C:G,4,FALSE()))</f>
        <v>845</v>
      </c>
      <c r="I755" s="5">
        <f>F755+(VLOOKUP(D755,'(Semelles.Monument.€HT)'!C:G,5,FALSE()))</f>
        <v>886</v>
      </c>
    </row>
    <row r="756" spans="1:9" ht="26" customHeight="1">
      <c r="A756" s="17" t="s">
        <v>156</v>
      </c>
      <c r="B756" s="18" t="s">
        <v>162</v>
      </c>
      <c r="C756" s="18" t="s">
        <v>128</v>
      </c>
      <c r="D756" s="18">
        <v>35</v>
      </c>
      <c r="E756" s="17" t="s">
        <v>133</v>
      </c>
      <c r="F756" s="19">
        <v>797</v>
      </c>
      <c r="G756" s="20">
        <f>F756+(VLOOKUP(D756,'(Semelles.Monument.€HT)'!C:G,3,FALSE()))</f>
        <v>960</v>
      </c>
      <c r="H756" s="21">
        <f>F756+(VLOOKUP(D756,'(Semelles.Monument.€HT)'!C:G,4,FALSE()))</f>
        <v>1007</v>
      </c>
      <c r="I756" s="22">
        <f>F756+(VLOOKUP(D756,'(Semelles.Monument.€HT)'!C:G,5,FALSE()))</f>
        <v>1056</v>
      </c>
    </row>
    <row r="757" spans="1:9" ht="26" customHeight="1">
      <c r="A757" s="2" t="s">
        <v>156</v>
      </c>
      <c r="B757" s="13" t="s">
        <v>162</v>
      </c>
      <c r="C757" s="13" t="s">
        <v>128</v>
      </c>
      <c r="D757" s="13">
        <v>36</v>
      </c>
      <c r="E757" s="2" t="s">
        <v>134</v>
      </c>
      <c r="F757" s="7">
        <v>824</v>
      </c>
      <c r="G757" s="3">
        <f>F757+(VLOOKUP(D757,'(Semelles.Monument.€HT)'!C:G,3,FALSE()))</f>
        <v>992</v>
      </c>
      <c r="H757" s="4">
        <f>F757+(VLOOKUP(D757,'(Semelles.Monument.€HT)'!C:G,4,FALSE()))</f>
        <v>1041</v>
      </c>
      <c r="I757" s="5">
        <f>F757+(VLOOKUP(D757,'(Semelles.Monument.€HT)'!C:G,5,FALSE()))</f>
        <v>1092</v>
      </c>
    </row>
    <row r="758" spans="1:9" ht="26" customHeight="1">
      <c r="A758" s="17" t="s">
        <v>156</v>
      </c>
      <c r="B758" s="18" t="s">
        <v>162</v>
      </c>
      <c r="C758" s="18" t="s">
        <v>128</v>
      </c>
      <c r="D758" s="18">
        <v>37</v>
      </c>
      <c r="E758" s="17" t="s">
        <v>135</v>
      </c>
      <c r="F758" s="19">
        <v>1006</v>
      </c>
      <c r="G758" s="20">
        <f>F758+(VLOOKUP(D758,'(Semelles.Monument.€HT)'!C:G,3,FALSE()))</f>
        <v>1214</v>
      </c>
      <c r="H758" s="21">
        <f>F758+(VLOOKUP(D758,'(Semelles.Monument.€HT)'!C:G,4,FALSE()))</f>
        <v>1274</v>
      </c>
      <c r="I758" s="22">
        <f>F758+(VLOOKUP(D758,'(Semelles.Monument.€HT)'!C:G,5,FALSE()))</f>
        <v>1338</v>
      </c>
    </row>
    <row r="759" spans="1:9" ht="26" customHeight="1">
      <c r="A759" s="2" t="s">
        <v>156</v>
      </c>
      <c r="B759" s="13" t="s">
        <v>162</v>
      </c>
      <c r="C759" s="13" t="s">
        <v>128</v>
      </c>
      <c r="D759" s="13">
        <v>38</v>
      </c>
      <c r="E759" s="2" t="s">
        <v>136</v>
      </c>
      <c r="F759" s="7">
        <v>1062</v>
      </c>
      <c r="G759" s="3">
        <f>F759+(VLOOKUP(D759,'(Semelles.Monument.€HT)'!C:G,3,FALSE()))</f>
        <v>1282</v>
      </c>
      <c r="H759" s="4">
        <f>F759+(VLOOKUP(D759,'(Semelles.Monument.€HT)'!C:G,4,FALSE()))</f>
        <v>1346</v>
      </c>
      <c r="I759" s="5">
        <f>F759+(VLOOKUP(D759,'(Semelles.Monument.€HT)'!C:G,5,FALSE()))</f>
        <v>1413</v>
      </c>
    </row>
    <row r="760" spans="1:9" ht="26" customHeight="1">
      <c r="A760" s="17" t="s">
        <v>156</v>
      </c>
      <c r="B760" s="18" t="s">
        <v>162</v>
      </c>
      <c r="C760" s="18" t="s">
        <v>128</v>
      </c>
      <c r="D760" s="18">
        <v>39</v>
      </c>
      <c r="E760" s="17" t="s">
        <v>137</v>
      </c>
      <c r="F760" s="19">
        <v>1088</v>
      </c>
      <c r="G760" s="20">
        <f>F760+(VLOOKUP(D760,'(Semelles.Monument.€HT)'!C:G,3,FALSE()))</f>
        <v>1314</v>
      </c>
      <c r="H760" s="21">
        <f>F760+(VLOOKUP(D760,'(Semelles.Monument.€HT)'!C:G,4,FALSE()))</f>
        <v>1379</v>
      </c>
      <c r="I760" s="22">
        <f>F760+(VLOOKUP(D760,'(Semelles.Monument.€HT)'!C:G,5,FALSE()))</f>
        <v>1448</v>
      </c>
    </row>
    <row r="761" spans="1:9" ht="26" customHeight="1">
      <c r="A761" s="2" t="s">
        <v>156</v>
      </c>
      <c r="B761" s="13" t="s">
        <v>162</v>
      </c>
      <c r="C761" s="13" t="s">
        <v>128</v>
      </c>
      <c r="D761" s="13">
        <v>40</v>
      </c>
      <c r="E761" s="2" t="s">
        <v>138</v>
      </c>
      <c r="F761" s="7">
        <v>1118</v>
      </c>
      <c r="G761" s="3">
        <f>F761+(VLOOKUP(D761,'(Semelles.Monument.€HT)'!C:G,3,FALSE()))</f>
        <v>1350</v>
      </c>
      <c r="H761" s="4">
        <f>F761+(VLOOKUP(D761,'(Semelles.Monument.€HT)'!C:G,4,FALSE()))</f>
        <v>1418</v>
      </c>
      <c r="I761" s="5">
        <f>F761+(VLOOKUP(D761,'(Semelles.Monument.€HT)'!C:G,5,FALSE()))</f>
        <v>1488</v>
      </c>
    </row>
    <row r="762" spans="1:9" ht="26" customHeight="1">
      <c r="A762" s="17" t="s">
        <v>156</v>
      </c>
      <c r="B762" s="18" t="s">
        <v>162</v>
      </c>
      <c r="C762" s="18" t="s">
        <v>128</v>
      </c>
      <c r="D762" s="18">
        <v>41</v>
      </c>
      <c r="E762" s="17" t="s">
        <v>139</v>
      </c>
      <c r="F762" s="19">
        <v>1185</v>
      </c>
      <c r="G762" s="20">
        <f>F762+(VLOOKUP(D762,'(Semelles.Monument.€HT)'!C:G,3,FALSE()))</f>
        <v>1432</v>
      </c>
      <c r="H762" s="21">
        <f>F762+(VLOOKUP(D762,'(Semelles.Monument.€HT)'!C:G,4,FALSE()))</f>
        <v>1504</v>
      </c>
      <c r="I762" s="22">
        <f>F762+(VLOOKUP(D762,'(Semelles.Monument.€HT)'!C:G,5,FALSE()))</f>
        <v>1579</v>
      </c>
    </row>
    <row r="763" spans="1:9" ht="26" customHeight="1">
      <c r="A763" s="2" t="s">
        <v>156</v>
      </c>
      <c r="B763" s="13" t="s">
        <v>162</v>
      </c>
      <c r="C763" s="13" t="s">
        <v>128</v>
      </c>
      <c r="D763" s="13">
        <v>42</v>
      </c>
      <c r="E763" s="2" t="s">
        <v>140</v>
      </c>
      <c r="F763" s="7">
        <v>1297</v>
      </c>
      <c r="G763" s="3">
        <f>F763+(VLOOKUP(D763,'(Semelles.Monument.€HT)'!C:G,3,FALSE()))</f>
        <v>1568</v>
      </c>
      <c r="H763" s="4">
        <f>F763+(VLOOKUP(D763,'(Semelles.Monument.€HT)'!C:G,4,FALSE()))</f>
        <v>1647</v>
      </c>
      <c r="I763" s="5">
        <f>F763+(VLOOKUP(D763,'(Semelles.Monument.€HT)'!C:G,5,FALSE()))</f>
        <v>1730</v>
      </c>
    </row>
    <row r="764" spans="1:9" ht="26" customHeight="1">
      <c r="A764" s="17" t="s">
        <v>156</v>
      </c>
      <c r="B764" s="18" t="s">
        <v>162</v>
      </c>
      <c r="C764" s="18" t="s">
        <v>128</v>
      </c>
      <c r="D764" s="18">
        <v>43</v>
      </c>
      <c r="E764" s="17" t="s">
        <v>141</v>
      </c>
      <c r="F764" s="19">
        <v>1297</v>
      </c>
      <c r="G764" s="20">
        <f>F764+(VLOOKUP(D764,'(Semelles.Monument.€HT)'!C:G,3,FALSE()))</f>
        <v>1568</v>
      </c>
      <c r="H764" s="21">
        <f>F764+(VLOOKUP(D764,'(Semelles.Monument.€HT)'!C:G,4,FALSE()))</f>
        <v>1647</v>
      </c>
      <c r="I764" s="22">
        <f>F764+(VLOOKUP(D764,'(Semelles.Monument.€HT)'!C:G,5,FALSE()))</f>
        <v>1730</v>
      </c>
    </row>
    <row r="765" spans="1:9" ht="26" customHeight="1">
      <c r="A765" s="2" t="s">
        <v>156</v>
      </c>
      <c r="B765" s="13" t="s">
        <v>162</v>
      </c>
      <c r="C765" s="13" t="s">
        <v>128</v>
      </c>
      <c r="D765" s="13">
        <v>44</v>
      </c>
      <c r="E765" s="2" t="s">
        <v>142</v>
      </c>
      <c r="F765" s="7">
        <v>1312</v>
      </c>
      <c r="G765" s="3">
        <f>F765+(VLOOKUP(D765,'(Semelles.Monument.€HT)'!C:G,3,FALSE()))</f>
        <v>1587</v>
      </c>
      <c r="H765" s="4">
        <f>F765+(VLOOKUP(D765,'(Semelles.Monument.€HT)'!C:G,4,FALSE()))</f>
        <v>1666</v>
      </c>
      <c r="I765" s="5">
        <f>F765+(VLOOKUP(D765,'(Semelles.Monument.€HT)'!C:G,5,FALSE()))</f>
        <v>1750</v>
      </c>
    </row>
    <row r="766" spans="1:9" ht="26" customHeight="1">
      <c r="A766" s="17" t="s">
        <v>156</v>
      </c>
      <c r="B766" s="18" t="s">
        <v>162</v>
      </c>
      <c r="C766" s="18" t="s">
        <v>128</v>
      </c>
      <c r="D766" s="18">
        <v>45</v>
      </c>
      <c r="E766" s="17" t="s">
        <v>143</v>
      </c>
      <c r="F766" s="19">
        <v>1326</v>
      </c>
      <c r="G766" s="20">
        <f>F766+(VLOOKUP(D766,'(Semelles.Monument.€HT)'!C:G,3,FALSE()))</f>
        <v>1604</v>
      </c>
      <c r="H766" s="21">
        <f>F766+(VLOOKUP(D766,'(Semelles.Monument.€HT)'!C:G,4,FALSE()))</f>
        <v>1684</v>
      </c>
      <c r="I766" s="22">
        <f>F766+(VLOOKUP(D766,'(Semelles.Monument.€HT)'!C:G,5,FALSE()))</f>
        <v>1769</v>
      </c>
    </row>
    <row r="767" spans="1:9" ht="26" customHeight="1">
      <c r="A767" s="2" t="s">
        <v>156</v>
      </c>
      <c r="B767" s="13" t="s">
        <v>162</v>
      </c>
      <c r="C767" s="13" t="s">
        <v>128</v>
      </c>
      <c r="D767" s="13">
        <v>46</v>
      </c>
      <c r="E767" s="2" t="s">
        <v>144</v>
      </c>
      <c r="F767" s="7">
        <v>1326</v>
      </c>
      <c r="G767" s="3">
        <f>F767+(VLOOKUP(D767,'(Semelles.Monument.€HT)'!C:G,3,FALSE()))</f>
        <v>1604</v>
      </c>
      <c r="H767" s="4">
        <f>F767+(VLOOKUP(D767,'(Semelles.Monument.€HT)'!C:G,4,FALSE()))</f>
        <v>1684</v>
      </c>
      <c r="I767" s="5">
        <f>F767+(VLOOKUP(D767,'(Semelles.Monument.€HT)'!C:G,5,FALSE()))</f>
        <v>1769</v>
      </c>
    </row>
    <row r="768" spans="1:9" ht="26" customHeight="1">
      <c r="A768" s="17" t="s">
        <v>156</v>
      </c>
      <c r="B768" s="18" t="s">
        <v>162</v>
      </c>
      <c r="C768" s="18" t="s">
        <v>128</v>
      </c>
      <c r="D768" s="18">
        <v>47</v>
      </c>
      <c r="E768" s="17" t="s">
        <v>145</v>
      </c>
      <c r="F768" s="19">
        <v>1353</v>
      </c>
      <c r="G768" s="20">
        <f>F768+(VLOOKUP(D768,'(Semelles.Monument.€HT)'!C:G,3,FALSE()))</f>
        <v>1637</v>
      </c>
      <c r="H768" s="21">
        <f>F768+(VLOOKUP(D768,'(Semelles.Monument.€HT)'!C:G,4,FALSE()))</f>
        <v>1719</v>
      </c>
      <c r="I768" s="22">
        <f>F768+(VLOOKUP(D768,'(Semelles.Monument.€HT)'!C:G,5,FALSE()))</f>
        <v>1805</v>
      </c>
    </row>
    <row r="769" spans="1:9" ht="26" customHeight="1">
      <c r="A769" s="2" t="s">
        <v>156</v>
      </c>
      <c r="B769" s="13" t="s">
        <v>162</v>
      </c>
      <c r="C769" s="13" t="s">
        <v>128</v>
      </c>
      <c r="D769" s="13">
        <v>48</v>
      </c>
      <c r="E769" s="2" t="s">
        <v>146</v>
      </c>
      <c r="F769" s="7">
        <v>1367</v>
      </c>
      <c r="G769" s="3">
        <f>F769+(VLOOKUP(D769,'(Semelles.Monument.€HT)'!C:G,3,FALSE()))</f>
        <v>1654</v>
      </c>
      <c r="H769" s="4">
        <f>F769+(VLOOKUP(D769,'(Semelles.Monument.€HT)'!C:G,4,FALSE()))</f>
        <v>1737</v>
      </c>
      <c r="I769" s="5">
        <f>F769+(VLOOKUP(D769,'(Semelles.Monument.€HT)'!C:G,5,FALSE()))</f>
        <v>1824</v>
      </c>
    </row>
    <row r="770" spans="1:9" ht="26" customHeight="1">
      <c r="A770" s="17" t="s">
        <v>156</v>
      </c>
      <c r="B770" s="18" t="s">
        <v>163</v>
      </c>
      <c r="C770" s="18" t="s">
        <v>97</v>
      </c>
      <c r="D770" s="18">
        <v>1</v>
      </c>
      <c r="E770" s="17" t="s">
        <v>98</v>
      </c>
      <c r="F770" s="19">
        <v>1027</v>
      </c>
      <c r="G770" s="20">
        <f>F770+(VLOOKUP(D770,'(Semelles.Monument.€HT)'!C:G,3,FALSE()))</f>
        <v>1185</v>
      </c>
      <c r="H770" s="21">
        <f>F770+(VLOOKUP(D770,'(Semelles.Monument.€HT)'!C:G,4,FALSE()))</f>
        <v>1231</v>
      </c>
      <c r="I770" s="22">
        <f>F770+(VLOOKUP(D770,'(Semelles.Monument.€HT)'!C:G,5,FALSE()))</f>
        <v>1279</v>
      </c>
    </row>
    <row r="771" spans="1:9" ht="26" customHeight="1">
      <c r="A771" s="2" t="s">
        <v>156</v>
      </c>
      <c r="B771" s="13" t="s">
        <v>163</v>
      </c>
      <c r="C771" s="13" t="s">
        <v>97</v>
      </c>
      <c r="D771" s="13">
        <v>2</v>
      </c>
      <c r="E771" s="2" t="s">
        <v>99</v>
      </c>
      <c r="F771" s="7">
        <v>1025</v>
      </c>
      <c r="G771" s="3">
        <f>F771+(VLOOKUP(D771,'(Semelles.Monument.€HT)'!C:G,3,FALSE()))</f>
        <v>1183</v>
      </c>
      <c r="H771" s="4">
        <f>F771+(VLOOKUP(D771,'(Semelles.Monument.€HT)'!C:G,4,FALSE()))</f>
        <v>1229</v>
      </c>
      <c r="I771" s="5">
        <f>F771+(VLOOKUP(D771,'(Semelles.Monument.€HT)'!C:G,5,FALSE()))</f>
        <v>1277</v>
      </c>
    </row>
    <row r="772" spans="1:9" ht="26" customHeight="1">
      <c r="A772" s="17" t="s">
        <v>156</v>
      </c>
      <c r="B772" s="18" t="s">
        <v>163</v>
      </c>
      <c r="C772" s="18" t="s">
        <v>97</v>
      </c>
      <c r="D772" s="18">
        <v>3</v>
      </c>
      <c r="E772" s="17" t="s">
        <v>100</v>
      </c>
      <c r="F772" s="19">
        <v>1141</v>
      </c>
      <c r="G772" s="20">
        <f>F772+(VLOOKUP(D772,'(Semelles.Monument.€HT)'!C:G,3,FALSE()))</f>
        <v>1317</v>
      </c>
      <c r="H772" s="21">
        <f>F772+(VLOOKUP(D772,'(Semelles.Monument.€HT)'!C:G,4,FALSE()))</f>
        <v>1368</v>
      </c>
      <c r="I772" s="22">
        <f>F772+(VLOOKUP(D772,'(Semelles.Monument.€HT)'!C:G,5,FALSE()))</f>
        <v>1421</v>
      </c>
    </row>
    <row r="773" spans="1:9" ht="26" customHeight="1">
      <c r="A773" s="2" t="s">
        <v>156</v>
      </c>
      <c r="B773" s="13" t="s">
        <v>163</v>
      </c>
      <c r="C773" s="13" t="s">
        <v>97</v>
      </c>
      <c r="D773" s="13">
        <v>4</v>
      </c>
      <c r="E773" s="2" t="s">
        <v>101</v>
      </c>
      <c r="F773" s="7">
        <v>1160</v>
      </c>
      <c r="G773" s="3">
        <f>F773+(VLOOKUP(D773,'(Semelles.Monument.€HT)'!C:G,3,FALSE()))</f>
        <v>1339</v>
      </c>
      <c r="H773" s="4">
        <f>F773+(VLOOKUP(D773,'(Semelles.Monument.€HT)'!C:G,4,FALSE()))</f>
        <v>1391</v>
      </c>
      <c r="I773" s="5">
        <f>F773+(VLOOKUP(D773,'(Semelles.Monument.€HT)'!C:G,5,FALSE()))</f>
        <v>1445</v>
      </c>
    </row>
    <row r="774" spans="1:9" ht="26" customHeight="1">
      <c r="A774" s="17" t="s">
        <v>156</v>
      </c>
      <c r="B774" s="18" t="s">
        <v>163</v>
      </c>
      <c r="C774" s="18" t="s">
        <v>97</v>
      </c>
      <c r="D774" s="18">
        <v>5</v>
      </c>
      <c r="E774" s="17" t="s">
        <v>102</v>
      </c>
      <c r="F774" s="19">
        <v>1160</v>
      </c>
      <c r="G774" s="20">
        <f>F774+(VLOOKUP(D774,'(Semelles.Monument.€HT)'!C:G,3,FALSE()))</f>
        <v>1339</v>
      </c>
      <c r="H774" s="21">
        <f>F774+(VLOOKUP(D774,'(Semelles.Monument.€HT)'!C:G,4,FALSE()))</f>
        <v>1391</v>
      </c>
      <c r="I774" s="22">
        <f>F774+(VLOOKUP(D774,'(Semelles.Monument.€HT)'!C:G,5,FALSE()))</f>
        <v>1445</v>
      </c>
    </row>
    <row r="775" spans="1:9" ht="26" customHeight="1">
      <c r="A775" s="2" t="s">
        <v>156</v>
      </c>
      <c r="B775" s="13" t="s">
        <v>163</v>
      </c>
      <c r="C775" s="13" t="s">
        <v>97</v>
      </c>
      <c r="D775" s="13">
        <v>6</v>
      </c>
      <c r="E775" s="2" t="s">
        <v>103</v>
      </c>
      <c r="F775" s="7">
        <v>1166</v>
      </c>
      <c r="G775" s="3">
        <f>F775+(VLOOKUP(D775,'(Semelles.Monument.€HT)'!C:G,3,FALSE()))</f>
        <v>1346</v>
      </c>
      <c r="H775" s="4">
        <f>F775+(VLOOKUP(D775,'(Semelles.Monument.€HT)'!C:G,4,FALSE()))</f>
        <v>1398</v>
      </c>
      <c r="I775" s="5">
        <f>F775+(VLOOKUP(D775,'(Semelles.Monument.€HT)'!C:G,5,FALSE()))</f>
        <v>1453</v>
      </c>
    </row>
    <row r="776" spans="1:9" ht="26" customHeight="1">
      <c r="A776" s="17" t="s">
        <v>156</v>
      </c>
      <c r="B776" s="18" t="s">
        <v>163</v>
      </c>
      <c r="C776" s="18" t="s">
        <v>97</v>
      </c>
      <c r="D776" s="18">
        <v>7</v>
      </c>
      <c r="E776" s="17" t="s">
        <v>104</v>
      </c>
      <c r="F776" s="19">
        <v>1166</v>
      </c>
      <c r="G776" s="20">
        <f>F776+(VLOOKUP(D776,'(Semelles.Monument.€HT)'!C:G,3,FALSE()))</f>
        <v>1346</v>
      </c>
      <c r="H776" s="21">
        <f>F776+(VLOOKUP(D776,'(Semelles.Monument.€HT)'!C:G,4,FALSE()))</f>
        <v>1398</v>
      </c>
      <c r="I776" s="22">
        <f>F776+(VLOOKUP(D776,'(Semelles.Monument.€HT)'!C:G,5,FALSE()))</f>
        <v>1453</v>
      </c>
    </row>
    <row r="777" spans="1:9" ht="26" customHeight="1">
      <c r="A777" s="2" t="s">
        <v>156</v>
      </c>
      <c r="B777" s="13" t="s">
        <v>163</v>
      </c>
      <c r="C777" s="13" t="s">
        <v>97</v>
      </c>
      <c r="D777" s="13">
        <v>8</v>
      </c>
      <c r="E777" s="2" t="s">
        <v>105</v>
      </c>
      <c r="F777" s="7">
        <v>1166</v>
      </c>
      <c r="G777" s="3">
        <f>F777+(VLOOKUP(D777,'(Semelles.Monument.€HT)'!C:G,3,FALSE()))</f>
        <v>1346</v>
      </c>
      <c r="H777" s="4">
        <f>F777+(VLOOKUP(D777,'(Semelles.Monument.€HT)'!C:G,4,FALSE()))</f>
        <v>1398</v>
      </c>
      <c r="I777" s="5">
        <f>F777+(VLOOKUP(D777,'(Semelles.Monument.€HT)'!C:G,5,FALSE()))</f>
        <v>1453</v>
      </c>
    </row>
    <row r="778" spans="1:9" ht="26" customHeight="1">
      <c r="A778" s="17" t="s">
        <v>156</v>
      </c>
      <c r="B778" s="18" t="s">
        <v>163</v>
      </c>
      <c r="C778" s="18" t="s">
        <v>97</v>
      </c>
      <c r="D778" s="18">
        <v>9</v>
      </c>
      <c r="E778" s="17" t="s">
        <v>106</v>
      </c>
      <c r="F778" s="19">
        <v>1166</v>
      </c>
      <c r="G778" s="20">
        <f>F778+(VLOOKUP(D778,'(Semelles.Monument.€HT)'!C:G,3,FALSE()))</f>
        <v>1346</v>
      </c>
      <c r="H778" s="21">
        <f>F778+(VLOOKUP(D778,'(Semelles.Monument.€HT)'!C:G,4,FALSE()))</f>
        <v>1398</v>
      </c>
      <c r="I778" s="22">
        <f>F778+(VLOOKUP(D778,'(Semelles.Monument.€HT)'!C:G,5,FALSE()))</f>
        <v>1453</v>
      </c>
    </row>
    <row r="779" spans="1:9" ht="26" customHeight="1">
      <c r="A779" s="2" t="s">
        <v>156</v>
      </c>
      <c r="B779" s="13" t="s">
        <v>163</v>
      </c>
      <c r="C779" s="13" t="s">
        <v>97</v>
      </c>
      <c r="D779" s="13">
        <v>10</v>
      </c>
      <c r="E779" s="2" t="s">
        <v>107</v>
      </c>
      <c r="F779" s="7">
        <v>1166</v>
      </c>
      <c r="G779" s="3">
        <f>F779+(VLOOKUP(D779,'(Semelles.Monument.€HT)'!C:G,3,FALSE()))</f>
        <v>1346</v>
      </c>
      <c r="H779" s="4">
        <f>F779+(VLOOKUP(D779,'(Semelles.Monument.€HT)'!C:G,4,FALSE()))</f>
        <v>1398</v>
      </c>
      <c r="I779" s="5">
        <f>F779+(VLOOKUP(D779,'(Semelles.Monument.€HT)'!C:G,5,FALSE()))</f>
        <v>1453</v>
      </c>
    </row>
    <row r="780" spans="1:9" ht="26" customHeight="1">
      <c r="A780" s="17" t="s">
        <v>156</v>
      </c>
      <c r="B780" s="18" t="s">
        <v>163</v>
      </c>
      <c r="C780" s="18" t="s">
        <v>97</v>
      </c>
      <c r="D780" s="18">
        <v>11</v>
      </c>
      <c r="E780" s="17" t="s">
        <v>108</v>
      </c>
      <c r="F780" s="19">
        <v>1166</v>
      </c>
      <c r="G780" s="20">
        <f>F780+(VLOOKUP(D780,'(Semelles.Monument.€HT)'!C:G,3,FALSE()))</f>
        <v>1346</v>
      </c>
      <c r="H780" s="21">
        <f>F780+(VLOOKUP(D780,'(Semelles.Monument.€HT)'!C:G,4,FALSE()))</f>
        <v>1398</v>
      </c>
      <c r="I780" s="22">
        <f>F780+(VLOOKUP(D780,'(Semelles.Monument.€HT)'!C:G,5,FALSE()))</f>
        <v>1453</v>
      </c>
    </row>
    <row r="781" spans="1:9" ht="26" customHeight="1">
      <c r="A781" s="2" t="s">
        <v>156</v>
      </c>
      <c r="B781" s="13" t="s">
        <v>163</v>
      </c>
      <c r="C781" s="13" t="s">
        <v>97</v>
      </c>
      <c r="D781" s="13">
        <v>12</v>
      </c>
      <c r="E781" s="2" t="s">
        <v>109</v>
      </c>
      <c r="F781" s="7">
        <v>1182</v>
      </c>
      <c r="G781" s="3">
        <f>F781+(VLOOKUP(D781,'(Semelles.Monument.€HT)'!C:G,3,FALSE()))</f>
        <v>1364</v>
      </c>
      <c r="H781" s="4">
        <f>F781+(VLOOKUP(D781,'(Semelles.Monument.€HT)'!C:G,4,FALSE()))</f>
        <v>1417</v>
      </c>
      <c r="I781" s="5">
        <f>F781+(VLOOKUP(D781,'(Semelles.Monument.€HT)'!C:G,5,FALSE()))</f>
        <v>1473</v>
      </c>
    </row>
    <row r="782" spans="1:9" ht="26" customHeight="1">
      <c r="A782" s="17" t="s">
        <v>156</v>
      </c>
      <c r="B782" s="18" t="s">
        <v>163</v>
      </c>
      <c r="C782" s="18" t="s">
        <v>97</v>
      </c>
      <c r="D782" s="18">
        <v>13</v>
      </c>
      <c r="E782" s="17" t="s">
        <v>110</v>
      </c>
      <c r="F782" s="19">
        <v>1182</v>
      </c>
      <c r="G782" s="20">
        <f>F782+(VLOOKUP(D782,'(Semelles.Monument.€HT)'!C:G,3,FALSE()))</f>
        <v>1364</v>
      </c>
      <c r="H782" s="21">
        <f>F782+(VLOOKUP(D782,'(Semelles.Monument.€HT)'!C:G,4,FALSE()))</f>
        <v>1417</v>
      </c>
      <c r="I782" s="22">
        <f>F782+(VLOOKUP(D782,'(Semelles.Monument.€HT)'!C:G,5,FALSE()))</f>
        <v>1473</v>
      </c>
    </row>
    <row r="783" spans="1:9" ht="26" customHeight="1">
      <c r="A783" s="2" t="s">
        <v>156</v>
      </c>
      <c r="B783" s="13" t="s">
        <v>163</v>
      </c>
      <c r="C783" s="13" t="s">
        <v>97</v>
      </c>
      <c r="D783" s="13">
        <v>14</v>
      </c>
      <c r="E783" s="2" t="s">
        <v>111</v>
      </c>
      <c r="F783" s="7">
        <v>1186</v>
      </c>
      <c r="G783" s="3">
        <f>F783+(VLOOKUP(D783,'(Semelles.Monument.€HT)'!C:G,3,FALSE()))</f>
        <v>1369</v>
      </c>
      <c r="H783" s="4">
        <f>F783+(VLOOKUP(D783,'(Semelles.Monument.€HT)'!C:G,4,FALSE()))</f>
        <v>1422</v>
      </c>
      <c r="I783" s="5">
        <f>F783+(VLOOKUP(D783,'(Semelles.Monument.€HT)'!C:G,5,FALSE()))</f>
        <v>1478</v>
      </c>
    </row>
    <row r="784" spans="1:9" ht="26" customHeight="1">
      <c r="A784" s="17" t="s">
        <v>156</v>
      </c>
      <c r="B784" s="18" t="s">
        <v>163</v>
      </c>
      <c r="C784" s="18" t="s">
        <v>97</v>
      </c>
      <c r="D784" s="18">
        <v>15</v>
      </c>
      <c r="E784" s="17" t="s">
        <v>112</v>
      </c>
      <c r="F784" s="19">
        <v>1186</v>
      </c>
      <c r="G784" s="20">
        <f>F784+(VLOOKUP(D784,'(Semelles.Monument.€HT)'!C:G,3,FALSE()))</f>
        <v>1369</v>
      </c>
      <c r="H784" s="21">
        <f>F784+(VLOOKUP(D784,'(Semelles.Monument.€HT)'!C:G,4,FALSE()))</f>
        <v>1422</v>
      </c>
      <c r="I784" s="22">
        <f>F784+(VLOOKUP(D784,'(Semelles.Monument.€HT)'!C:G,5,FALSE()))</f>
        <v>1478</v>
      </c>
    </row>
    <row r="785" spans="1:9" ht="26" customHeight="1">
      <c r="A785" s="2" t="s">
        <v>156</v>
      </c>
      <c r="B785" s="13" t="s">
        <v>163</v>
      </c>
      <c r="C785" s="13" t="s">
        <v>97</v>
      </c>
      <c r="D785" s="13">
        <v>16</v>
      </c>
      <c r="E785" s="2" t="s">
        <v>113</v>
      </c>
      <c r="F785" s="7">
        <v>1186</v>
      </c>
      <c r="G785" s="3">
        <f>F785+(VLOOKUP(D785,'(Semelles.Monument.€HT)'!C:G,3,FALSE()))</f>
        <v>1369</v>
      </c>
      <c r="H785" s="4">
        <f>F785+(VLOOKUP(D785,'(Semelles.Monument.€HT)'!C:G,4,FALSE()))</f>
        <v>1422</v>
      </c>
      <c r="I785" s="5">
        <f>F785+(VLOOKUP(D785,'(Semelles.Monument.€HT)'!C:G,5,FALSE()))</f>
        <v>1478</v>
      </c>
    </row>
    <row r="786" spans="1:9" ht="26" customHeight="1">
      <c r="A786" s="17" t="s">
        <v>156</v>
      </c>
      <c r="B786" s="18" t="s">
        <v>163</v>
      </c>
      <c r="C786" s="18" t="s">
        <v>97</v>
      </c>
      <c r="D786" s="18">
        <v>17</v>
      </c>
      <c r="E786" s="17" t="s">
        <v>114</v>
      </c>
      <c r="F786" s="19">
        <v>1207</v>
      </c>
      <c r="G786" s="20">
        <f>F786+(VLOOKUP(D786,'(Semelles.Monument.€HT)'!C:G,3,FALSE()))</f>
        <v>1393</v>
      </c>
      <c r="H786" s="21">
        <f>F786+(VLOOKUP(D786,'(Semelles.Monument.€HT)'!C:G,4,FALSE()))</f>
        <v>1447</v>
      </c>
      <c r="I786" s="22">
        <f>F786+(VLOOKUP(D786,'(Semelles.Monument.€HT)'!C:G,5,FALSE()))</f>
        <v>1504</v>
      </c>
    </row>
    <row r="787" spans="1:9" ht="26" customHeight="1">
      <c r="A787" s="2" t="s">
        <v>156</v>
      </c>
      <c r="B787" s="13" t="s">
        <v>163</v>
      </c>
      <c r="C787" s="13" t="s">
        <v>97</v>
      </c>
      <c r="D787" s="13">
        <v>18</v>
      </c>
      <c r="E787" s="2" t="s">
        <v>115</v>
      </c>
      <c r="F787" s="7">
        <v>1207</v>
      </c>
      <c r="G787" s="3">
        <f>F787+(VLOOKUP(D787,'(Semelles.Monument.€HT)'!C:G,3,FALSE()))</f>
        <v>1393</v>
      </c>
      <c r="H787" s="4">
        <f>F787+(VLOOKUP(D787,'(Semelles.Monument.€HT)'!C:G,4,FALSE()))</f>
        <v>1447</v>
      </c>
      <c r="I787" s="5">
        <f>F787+(VLOOKUP(D787,'(Semelles.Monument.€HT)'!C:G,5,FALSE()))</f>
        <v>1504</v>
      </c>
    </row>
    <row r="788" spans="1:9" ht="26" customHeight="1">
      <c r="A788" s="17" t="s">
        <v>156</v>
      </c>
      <c r="B788" s="18" t="s">
        <v>163</v>
      </c>
      <c r="C788" s="18" t="s">
        <v>97</v>
      </c>
      <c r="D788" s="18">
        <v>19</v>
      </c>
      <c r="E788" s="17" t="s">
        <v>116</v>
      </c>
      <c r="F788" s="19">
        <v>1207</v>
      </c>
      <c r="G788" s="20">
        <f>F788+(VLOOKUP(D788,'(Semelles.Monument.€HT)'!C:G,3,FALSE()))</f>
        <v>1393</v>
      </c>
      <c r="H788" s="21">
        <f>F788+(VLOOKUP(D788,'(Semelles.Monument.€HT)'!C:G,4,FALSE()))</f>
        <v>1447</v>
      </c>
      <c r="I788" s="22">
        <f>F788+(VLOOKUP(D788,'(Semelles.Monument.€HT)'!C:G,5,FALSE()))</f>
        <v>1504</v>
      </c>
    </row>
    <row r="789" spans="1:9" ht="26" customHeight="1">
      <c r="A789" s="2" t="s">
        <v>156</v>
      </c>
      <c r="B789" s="13" t="s">
        <v>163</v>
      </c>
      <c r="C789" s="13" t="s">
        <v>97</v>
      </c>
      <c r="D789" s="13">
        <v>20</v>
      </c>
      <c r="E789" s="2" t="s">
        <v>117</v>
      </c>
      <c r="F789" s="7">
        <v>1216</v>
      </c>
      <c r="G789" s="3">
        <f>F789+(VLOOKUP(D789,'(Semelles.Monument.€HT)'!C:G,3,FALSE()))</f>
        <v>1404</v>
      </c>
      <c r="H789" s="4">
        <f>F789+(VLOOKUP(D789,'(Semelles.Monument.€HT)'!C:G,4,FALSE()))</f>
        <v>1458</v>
      </c>
      <c r="I789" s="5">
        <f>F789+(VLOOKUP(D789,'(Semelles.Monument.€HT)'!C:G,5,FALSE()))</f>
        <v>1515</v>
      </c>
    </row>
    <row r="790" spans="1:9" ht="26" customHeight="1">
      <c r="A790" s="17" t="s">
        <v>156</v>
      </c>
      <c r="B790" s="18" t="s">
        <v>163</v>
      </c>
      <c r="C790" s="18" t="s">
        <v>97</v>
      </c>
      <c r="D790" s="18">
        <v>21</v>
      </c>
      <c r="E790" s="17" t="s">
        <v>118</v>
      </c>
      <c r="F790" s="19">
        <v>1224</v>
      </c>
      <c r="G790" s="20">
        <f>F790+(VLOOKUP(D790,'(Semelles.Monument.€HT)'!C:G,3,FALSE()))</f>
        <v>1413</v>
      </c>
      <c r="H790" s="21">
        <f>F790+(VLOOKUP(D790,'(Semelles.Monument.€HT)'!C:G,4,FALSE()))</f>
        <v>1467</v>
      </c>
      <c r="I790" s="22">
        <f>F790+(VLOOKUP(D790,'(Semelles.Monument.€HT)'!C:G,5,FALSE()))</f>
        <v>1525</v>
      </c>
    </row>
    <row r="791" spans="1:9" ht="26" customHeight="1">
      <c r="A791" s="2" t="s">
        <v>156</v>
      </c>
      <c r="B791" s="13" t="s">
        <v>163</v>
      </c>
      <c r="C791" s="13" t="s">
        <v>97</v>
      </c>
      <c r="D791" s="13">
        <v>22</v>
      </c>
      <c r="E791" s="2" t="s">
        <v>119</v>
      </c>
      <c r="F791" s="7">
        <v>1224</v>
      </c>
      <c r="G791" s="3">
        <f>F791+(VLOOKUP(D791,'(Semelles.Monument.€HT)'!C:G,3,FALSE()))</f>
        <v>1413</v>
      </c>
      <c r="H791" s="4">
        <f>F791+(VLOOKUP(D791,'(Semelles.Monument.€HT)'!C:G,4,FALSE()))</f>
        <v>1467</v>
      </c>
      <c r="I791" s="5">
        <f>F791+(VLOOKUP(D791,'(Semelles.Monument.€HT)'!C:G,5,FALSE()))</f>
        <v>1525</v>
      </c>
    </row>
    <row r="792" spans="1:9" ht="26" customHeight="1">
      <c r="A792" s="17" t="s">
        <v>156</v>
      </c>
      <c r="B792" s="18" t="s">
        <v>163</v>
      </c>
      <c r="C792" s="18" t="s">
        <v>97</v>
      </c>
      <c r="D792" s="18">
        <v>23</v>
      </c>
      <c r="E792" s="17" t="s">
        <v>120</v>
      </c>
      <c r="F792" s="19">
        <v>1243</v>
      </c>
      <c r="G792" s="20">
        <f>F792+(VLOOKUP(D792,'(Semelles.Monument.€HT)'!C:G,3,FALSE()))</f>
        <v>1435</v>
      </c>
      <c r="H792" s="21">
        <f>F792+(VLOOKUP(D792,'(Semelles.Monument.€HT)'!C:G,4,FALSE()))</f>
        <v>1490</v>
      </c>
      <c r="I792" s="22">
        <f>F792+(VLOOKUP(D792,'(Semelles.Monument.€HT)'!C:G,5,FALSE()))</f>
        <v>1548</v>
      </c>
    </row>
    <row r="793" spans="1:9" ht="26" customHeight="1">
      <c r="A793" s="2" t="s">
        <v>156</v>
      </c>
      <c r="B793" s="13" t="s">
        <v>163</v>
      </c>
      <c r="C793" s="13" t="s">
        <v>97</v>
      </c>
      <c r="D793" s="13">
        <v>24</v>
      </c>
      <c r="E793" s="2" t="s">
        <v>121</v>
      </c>
      <c r="F793" s="7">
        <v>1243</v>
      </c>
      <c r="G793" s="3">
        <f>F793+(VLOOKUP(D793,'(Semelles.Monument.€HT)'!C:G,3,FALSE()))</f>
        <v>1435</v>
      </c>
      <c r="H793" s="4">
        <f>F793+(VLOOKUP(D793,'(Semelles.Monument.€HT)'!C:G,4,FALSE()))</f>
        <v>1490</v>
      </c>
      <c r="I793" s="5">
        <f>F793+(VLOOKUP(D793,'(Semelles.Monument.€HT)'!C:G,5,FALSE()))</f>
        <v>1548</v>
      </c>
    </row>
    <row r="794" spans="1:9" ht="26" customHeight="1">
      <c r="A794" s="17" t="s">
        <v>156</v>
      </c>
      <c r="B794" s="18" t="s">
        <v>163</v>
      </c>
      <c r="C794" s="18" t="s">
        <v>97</v>
      </c>
      <c r="D794" s="18">
        <v>25</v>
      </c>
      <c r="E794" s="17" t="s">
        <v>122</v>
      </c>
      <c r="F794" s="19">
        <v>1243</v>
      </c>
      <c r="G794" s="20">
        <f>F794+(VLOOKUP(D794,'(Semelles.Monument.€HT)'!C:G,3,FALSE()))</f>
        <v>1435</v>
      </c>
      <c r="H794" s="21">
        <f>F794+(VLOOKUP(D794,'(Semelles.Monument.€HT)'!C:G,4,FALSE()))</f>
        <v>1490</v>
      </c>
      <c r="I794" s="22">
        <f>F794+(VLOOKUP(D794,'(Semelles.Monument.€HT)'!C:G,5,FALSE()))</f>
        <v>1548</v>
      </c>
    </row>
    <row r="795" spans="1:9" ht="26" customHeight="1">
      <c r="A795" s="2" t="s">
        <v>156</v>
      </c>
      <c r="B795" s="13" t="s">
        <v>163</v>
      </c>
      <c r="C795" s="13" t="s">
        <v>97</v>
      </c>
      <c r="D795" s="13">
        <v>26</v>
      </c>
      <c r="E795" s="2" t="s">
        <v>123</v>
      </c>
      <c r="F795" s="7">
        <v>1263</v>
      </c>
      <c r="G795" s="3">
        <f>F795+(VLOOKUP(D795,'(Semelles.Monument.€HT)'!C:G,3,FALSE()))</f>
        <v>1458</v>
      </c>
      <c r="H795" s="4">
        <f>F795+(VLOOKUP(D795,'(Semelles.Monument.€HT)'!C:G,4,FALSE()))</f>
        <v>1514</v>
      </c>
      <c r="I795" s="5">
        <f>F795+(VLOOKUP(D795,'(Semelles.Monument.€HT)'!C:G,5,FALSE()))</f>
        <v>1573</v>
      </c>
    </row>
    <row r="796" spans="1:9" ht="26" customHeight="1">
      <c r="A796" s="17" t="s">
        <v>156</v>
      </c>
      <c r="B796" s="18" t="s">
        <v>163</v>
      </c>
      <c r="C796" s="18" t="s">
        <v>97</v>
      </c>
      <c r="D796" s="18">
        <v>27</v>
      </c>
      <c r="E796" s="17" t="s">
        <v>124</v>
      </c>
      <c r="F796" s="19">
        <v>1346</v>
      </c>
      <c r="G796" s="20">
        <f>F796+(VLOOKUP(D796,'(Semelles.Monument.€HT)'!C:G,3,FALSE()))</f>
        <v>1554</v>
      </c>
      <c r="H796" s="21">
        <f>F796+(VLOOKUP(D796,'(Semelles.Monument.€HT)'!C:G,4,FALSE()))</f>
        <v>1614</v>
      </c>
      <c r="I796" s="22">
        <f>F796+(VLOOKUP(D796,'(Semelles.Monument.€HT)'!C:G,5,FALSE()))</f>
        <v>1713</v>
      </c>
    </row>
    <row r="797" spans="1:9" ht="26" customHeight="1">
      <c r="A797" s="2" t="s">
        <v>156</v>
      </c>
      <c r="B797" s="13" t="s">
        <v>163</v>
      </c>
      <c r="C797" s="13" t="s">
        <v>97</v>
      </c>
      <c r="D797" s="13">
        <v>28</v>
      </c>
      <c r="E797" s="2" t="s">
        <v>125</v>
      </c>
      <c r="F797" s="7">
        <v>1492</v>
      </c>
      <c r="G797" s="3">
        <f>F797+(VLOOKUP(D797,'(Semelles.Monument.€HT)'!C:G,3,FALSE()))</f>
        <v>1722</v>
      </c>
      <c r="H797" s="4">
        <f>F797+(VLOOKUP(D797,'(Semelles.Monument.€HT)'!C:G,4,FALSE()))</f>
        <v>1789</v>
      </c>
      <c r="I797" s="5">
        <f>F797+(VLOOKUP(D797,'(Semelles.Monument.€HT)'!C:G,5,FALSE()))</f>
        <v>1859</v>
      </c>
    </row>
    <row r="798" spans="1:9" ht="26" customHeight="1">
      <c r="A798" s="17" t="s">
        <v>156</v>
      </c>
      <c r="B798" s="18" t="s">
        <v>163</v>
      </c>
      <c r="C798" s="18" t="s">
        <v>97</v>
      </c>
      <c r="D798" s="18">
        <v>29</v>
      </c>
      <c r="E798" s="17" t="s">
        <v>126</v>
      </c>
      <c r="F798" s="19">
        <v>1554</v>
      </c>
      <c r="G798" s="20">
        <f>F798+(VLOOKUP(D798,'(Semelles.Monument.€HT)'!C:G,3,FALSE()))</f>
        <v>1794</v>
      </c>
      <c r="H798" s="21">
        <f>F798+(VLOOKUP(D798,'(Semelles.Monument.€HT)'!C:G,4,FALSE()))</f>
        <v>1863</v>
      </c>
      <c r="I798" s="22">
        <f>F798+(VLOOKUP(D798,'(Semelles.Monument.€HT)'!C:G,5,FALSE()))</f>
        <v>1936</v>
      </c>
    </row>
    <row r="799" spans="1:9" ht="26" customHeight="1">
      <c r="A799" s="2" t="s">
        <v>156</v>
      </c>
      <c r="B799" s="13" t="s">
        <v>163</v>
      </c>
      <c r="C799" s="13" t="s">
        <v>97</v>
      </c>
      <c r="D799" s="13">
        <v>30</v>
      </c>
      <c r="E799" s="2" t="s">
        <v>127</v>
      </c>
      <c r="F799" s="7">
        <v>1554</v>
      </c>
      <c r="G799" s="3">
        <f>F799+(VLOOKUP(D799,'(Semelles.Monument.€HT)'!C:G,3,FALSE()))</f>
        <v>1794</v>
      </c>
      <c r="H799" s="4">
        <f>F799+(VLOOKUP(D799,'(Semelles.Monument.€HT)'!C:G,4,FALSE()))</f>
        <v>1863</v>
      </c>
      <c r="I799" s="5">
        <f>F799+(VLOOKUP(D799,'(Semelles.Monument.€HT)'!C:G,5,FALSE()))</f>
        <v>1936</v>
      </c>
    </row>
    <row r="800" spans="1:9" ht="26" customHeight="1">
      <c r="A800" s="17" t="s">
        <v>156</v>
      </c>
      <c r="B800" s="18" t="s">
        <v>163</v>
      </c>
      <c r="C800" s="18" t="s">
        <v>128</v>
      </c>
      <c r="D800" s="18">
        <v>31</v>
      </c>
      <c r="E800" s="17" t="s">
        <v>129</v>
      </c>
      <c r="F800" s="19">
        <v>1015</v>
      </c>
      <c r="G800" s="20">
        <f>F800+(VLOOKUP(D800,'(Semelles.Monument.€HT)'!C:G,3,FALSE()))</f>
        <v>1147</v>
      </c>
      <c r="H800" s="21">
        <f>F800+(VLOOKUP(D800,'(Semelles.Monument.€HT)'!C:G,4,FALSE()))</f>
        <v>1185</v>
      </c>
      <c r="I800" s="22">
        <f>F800+(VLOOKUP(D800,'(Semelles.Monument.€HT)'!C:G,5,FALSE()))</f>
        <v>1225</v>
      </c>
    </row>
    <row r="801" spans="1:9" ht="26" customHeight="1">
      <c r="A801" s="2" t="s">
        <v>156</v>
      </c>
      <c r="B801" s="13" t="s">
        <v>163</v>
      </c>
      <c r="C801" s="13" t="s">
        <v>128</v>
      </c>
      <c r="D801" s="13">
        <v>32</v>
      </c>
      <c r="E801" s="2" t="s">
        <v>130</v>
      </c>
      <c r="F801" s="7">
        <v>1028</v>
      </c>
      <c r="G801" s="3">
        <f>F801+(VLOOKUP(D801,'(Semelles.Monument.€HT)'!C:G,3,FALSE()))</f>
        <v>1162</v>
      </c>
      <c r="H801" s="4">
        <f>F801+(VLOOKUP(D801,'(Semelles.Monument.€HT)'!C:G,4,FALSE()))</f>
        <v>1201</v>
      </c>
      <c r="I801" s="5">
        <f>F801+(VLOOKUP(D801,'(Semelles.Monument.€HT)'!C:G,5,FALSE()))</f>
        <v>1241</v>
      </c>
    </row>
    <row r="802" spans="1:9" ht="26" customHeight="1">
      <c r="A802" s="17" t="s">
        <v>156</v>
      </c>
      <c r="B802" s="18" t="s">
        <v>163</v>
      </c>
      <c r="C802" s="18" t="s">
        <v>128</v>
      </c>
      <c r="D802" s="18">
        <v>33</v>
      </c>
      <c r="E802" s="17" t="s">
        <v>131</v>
      </c>
      <c r="F802" s="19">
        <v>1028</v>
      </c>
      <c r="G802" s="20">
        <f>F802+(VLOOKUP(D802,'(Semelles.Monument.€HT)'!C:G,3,FALSE()))</f>
        <v>1162</v>
      </c>
      <c r="H802" s="21">
        <f>F802+(VLOOKUP(D802,'(Semelles.Monument.€HT)'!C:G,4,FALSE()))</f>
        <v>1201</v>
      </c>
      <c r="I802" s="22">
        <f>F802+(VLOOKUP(D802,'(Semelles.Monument.€HT)'!C:G,5,FALSE()))</f>
        <v>1241</v>
      </c>
    </row>
    <row r="803" spans="1:9" ht="26" customHeight="1">
      <c r="A803" s="2" t="s">
        <v>156</v>
      </c>
      <c r="B803" s="13" t="s">
        <v>163</v>
      </c>
      <c r="C803" s="13" t="s">
        <v>128</v>
      </c>
      <c r="D803" s="13">
        <v>34</v>
      </c>
      <c r="E803" s="2" t="s">
        <v>132</v>
      </c>
      <c r="F803" s="7">
        <v>1036</v>
      </c>
      <c r="G803" s="3">
        <f>F803+(VLOOKUP(D803,'(Semelles.Monument.€HT)'!C:G,3,FALSE()))</f>
        <v>1171</v>
      </c>
      <c r="H803" s="4">
        <f>F803+(VLOOKUP(D803,'(Semelles.Monument.€HT)'!C:G,4,FALSE()))</f>
        <v>1210</v>
      </c>
      <c r="I803" s="5">
        <f>F803+(VLOOKUP(D803,'(Semelles.Monument.€HT)'!C:G,5,FALSE()))</f>
        <v>1251</v>
      </c>
    </row>
    <row r="804" spans="1:9" ht="26" customHeight="1">
      <c r="A804" s="17" t="s">
        <v>156</v>
      </c>
      <c r="B804" s="18" t="s">
        <v>163</v>
      </c>
      <c r="C804" s="18" t="s">
        <v>128</v>
      </c>
      <c r="D804" s="18">
        <v>35</v>
      </c>
      <c r="E804" s="17" t="s">
        <v>133</v>
      </c>
      <c r="F804" s="19">
        <v>1215</v>
      </c>
      <c r="G804" s="20">
        <f>F804+(VLOOKUP(D804,'(Semelles.Monument.€HT)'!C:G,3,FALSE()))</f>
        <v>1378</v>
      </c>
      <c r="H804" s="21">
        <f>F804+(VLOOKUP(D804,'(Semelles.Monument.€HT)'!C:G,4,FALSE()))</f>
        <v>1425</v>
      </c>
      <c r="I804" s="22">
        <f>F804+(VLOOKUP(D804,'(Semelles.Monument.€HT)'!C:G,5,FALSE()))</f>
        <v>1474</v>
      </c>
    </row>
    <row r="805" spans="1:9" ht="26" customHeight="1">
      <c r="A805" s="2" t="s">
        <v>156</v>
      </c>
      <c r="B805" s="13" t="s">
        <v>163</v>
      </c>
      <c r="C805" s="13" t="s">
        <v>128</v>
      </c>
      <c r="D805" s="13">
        <v>36</v>
      </c>
      <c r="E805" s="2" t="s">
        <v>134</v>
      </c>
      <c r="F805" s="7">
        <v>1252</v>
      </c>
      <c r="G805" s="3">
        <f>F805+(VLOOKUP(D805,'(Semelles.Monument.€HT)'!C:G,3,FALSE()))</f>
        <v>1420</v>
      </c>
      <c r="H805" s="4">
        <f>F805+(VLOOKUP(D805,'(Semelles.Monument.€HT)'!C:G,4,FALSE()))</f>
        <v>1469</v>
      </c>
      <c r="I805" s="5">
        <f>F805+(VLOOKUP(D805,'(Semelles.Monument.€HT)'!C:G,5,FALSE()))</f>
        <v>1520</v>
      </c>
    </row>
    <row r="806" spans="1:9" ht="26" customHeight="1">
      <c r="A806" s="17" t="s">
        <v>156</v>
      </c>
      <c r="B806" s="18" t="s">
        <v>163</v>
      </c>
      <c r="C806" s="18" t="s">
        <v>128</v>
      </c>
      <c r="D806" s="18">
        <v>37</v>
      </c>
      <c r="E806" s="17" t="s">
        <v>135</v>
      </c>
      <c r="F806" s="19">
        <v>1509</v>
      </c>
      <c r="G806" s="20">
        <f>F806+(VLOOKUP(D806,'(Semelles.Monument.€HT)'!C:G,3,FALSE()))</f>
        <v>1717</v>
      </c>
      <c r="H806" s="21">
        <f>F806+(VLOOKUP(D806,'(Semelles.Monument.€HT)'!C:G,4,FALSE()))</f>
        <v>1777</v>
      </c>
      <c r="I806" s="22">
        <f>F806+(VLOOKUP(D806,'(Semelles.Monument.€HT)'!C:G,5,FALSE()))</f>
        <v>1841</v>
      </c>
    </row>
    <row r="807" spans="1:9" ht="26" customHeight="1">
      <c r="A807" s="2" t="s">
        <v>156</v>
      </c>
      <c r="B807" s="13" t="s">
        <v>163</v>
      </c>
      <c r="C807" s="13" t="s">
        <v>128</v>
      </c>
      <c r="D807" s="13">
        <v>38</v>
      </c>
      <c r="E807" s="2" t="s">
        <v>136</v>
      </c>
      <c r="F807" s="7">
        <v>1588</v>
      </c>
      <c r="G807" s="3">
        <f>F807+(VLOOKUP(D807,'(Semelles.Monument.€HT)'!C:G,3,FALSE()))</f>
        <v>1808</v>
      </c>
      <c r="H807" s="4">
        <f>F807+(VLOOKUP(D807,'(Semelles.Monument.€HT)'!C:G,4,FALSE()))</f>
        <v>1872</v>
      </c>
      <c r="I807" s="5">
        <f>F807+(VLOOKUP(D807,'(Semelles.Monument.€HT)'!C:G,5,FALSE()))</f>
        <v>1939</v>
      </c>
    </row>
    <row r="808" spans="1:9" ht="26" customHeight="1">
      <c r="A808" s="17" t="s">
        <v>156</v>
      </c>
      <c r="B808" s="18" t="s">
        <v>163</v>
      </c>
      <c r="C808" s="18" t="s">
        <v>128</v>
      </c>
      <c r="D808" s="18">
        <v>39</v>
      </c>
      <c r="E808" s="17" t="s">
        <v>137</v>
      </c>
      <c r="F808" s="19">
        <v>1625</v>
      </c>
      <c r="G808" s="20">
        <f>F808+(VLOOKUP(D808,'(Semelles.Monument.€HT)'!C:G,3,FALSE()))</f>
        <v>1851</v>
      </c>
      <c r="H808" s="21">
        <f>F808+(VLOOKUP(D808,'(Semelles.Monument.€HT)'!C:G,4,FALSE()))</f>
        <v>1916</v>
      </c>
      <c r="I808" s="22">
        <f>F808+(VLOOKUP(D808,'(Semelles.Monument.€HT)'!C:G,5,FALSE()))</f>
        <v>1985</v>
      </c>
    </row>
    <row r="809" spans="1:9" ht="26" customHeight="1">
      <c r="A809" s="2" t="s">
        <v>156</v>
      </c>
      <c r="B809" s="13" t="s">
        <v>163</v>
      </c>
      <c r="C809" s="13" t="s">
        <v>128</v>
      </c>
      <c r="D809" s="13">
        <v>40</v>
      </c>
      <c r="E809" s="2" t="s">
        <v>138</v>
      </c>
      <c r="F809" s="7">
        <v>1667</v>
      </c>
      <c r="G809" s="3">
        <f>F809+(VLOOKUP(D809,'(Semelles.Monument.€HT)'!C:G,3,FALSE()))</f>
        <v>1899</v>
      </c>
      <c r="H809" s="4">
        <f>F809+(VLOOKUP(D809,'(Semelles.Monument.€HT)'!C:G,4,FALSE()))</f>
        <v>1967</v>
      </c>
      <c r="I809" s="5">
        <f>F809+(VLOOKUP(D809,'(Semelles.Monument.€HT)'!C:G,5,FALSE()))</f>
        <v>2037</v>
      </c>
    </row>
    <row r="810" spans="1:9" ht="26" customHeight="1">
      <c r="A810" s="17" t="s">
        <v>156</v>
      </c>
      <c r="B810" s="18" t="s">
        <v>163</v>
      </c>
      <c r="C810" s="18" t="s">
        <v>128</v>
      </c>
      <c r="D810" s="18">
        <v>41</v>
      </c>
      <c r="E810" s="17" t="s">
        <v>139</v>
      </c>
      <c r="F810" s="19">
        <v>1762</v>
      </c>
      <c r="G810" s="20">
        <f>F810+(VLOOKUP(D810,'(Semelles.Monument.€HT)'!C:G,3,FALSE()))</f>
        <v>2009</v>
      </c>
      <c r="H810" s="21">
        <f>F810+(VLOOKUP(D810,'(Semelles.Monument.€HT)'!C:G,4,FALSE()))</f>
        <v>2081</v>
      </c>
      <c r="I810" s="22">
        <f>F810+(VLOOKUP(D810,'(Semelles.Monument.€HT)'!C:G,5,FALSE()))</f>
        <v>2156</v>
      </c>
    </row>
    <row r="811" spans="1:9" ht="26" customHeight="1">
      <c r="A811" s="2" t="s">
        <v>156</v>
      </c>
      <c r="B811" s="13" t="s">
        <v>163</v>
      </c>
      <c r="C811" s="13" t="s">
        <v>128</v>
      </c>
      <c r="D811" s="13">
        <v>42</v>
      </c>
      <c r="E811" s="2" t="s">
        <v>140</v>
      </c>
      <c r="F811" s="7">
        <v>1920</v>
      </c>
      <c r="G811" s="3">
        <f>F811+(VLOOKUP(D811,'(Semelles.Monument.€HT)'!C:G,3,FALSE()))</f>
        <v>2191</v>
      </c>
      <c r="H811" s="4">
        <f>F811+(VLOOKUP(D811,'(Semelles.Monument.€HT)'!C:G,4,FALSE()))</f>
        <v>2270</v>
      </c>
      <c r="I811" s="5">
        <f>F811+(VLOOKUP(D811,'(Semelles.Monument.€HT)'!C:G,5,FALSE()))</f>
        <v>2353</v>
      </c>
    </row>
    <row r="812" spans="1:9" ht="26" customHeight="1">
      <c r="A812" s="17" t="s">
        <v>156</v>
      </c>
      <c r="B812" s="18" t="s">
        <v>163</v>
      </c>
      <c r="C812" s="18" t="s">
        <v>128</v>
      </c>
      <c r="D812" s="18">
        <v>43</v>
      </c>
      <c r="E812" s="17" t="s">
        <v>141</v>
      </c>
      <c r="F812" s="19">
        <v>1920</v>
      </c>
      <c r="G812" s="20">
        <f>F812+(VLOOKUP(D812,'(Semelles.Monument.€HT)'!C:G,3,FALSE()))</f>
        <v>2191</v>
      </c>
      <c r="H812" s="21">
        <f>F812+(VLOOKUP(D812,'(Semelles.Monument.€HT)'!C:G,4,FALSE()))</f>
        <v>2270</v>
      </c>
      <c r="I812" s="22">
        <f>F812+(VLOOKUP(D812,'(Semelles.Monument.€HT)'!C:G,5,FALSE()))</f>
        <v>2353</v>
      </c>
    </row>
    <row r="813" spans="1:9" ht="26" customHeight="1">
      <c r="A813" s="2" t="s">
        <v>156</v>
      </c>
      <c r="B813" s="13" t="s">
        <v>163</v>
      </c>
      <c r="C813" s="13" t="s">
        <v>128</v>
      </c>
      <c r="D813" s="13">
        <v>44</v>
      </c>
      <c r="E813" s="2" t="s">
        <v>142</v>
      </c>
      <c r="F813" s="7">
        <v>1941</v>
      </c>
      <c r="G813" s="3">
        <f>F813+(VLOOKUP(D813,'(Semelles.Monument.€HT)'!C:G,3,FALSE()))</f>
        <v>2216</v>
      </c>
      <c r="H813" s="4">
        <f>F813+(VLOOKUP(D813,'(Semelles.Monument.€HT)'!C:G,4,FALSE()))</f>
        <v>2295</v>
      </c>
      <c r="I813" s="5">
        <f>F813+(VLOOKUP(D813,'(Semelles.Monument.€HT)'!C:G,5,FALSE()))</f>
        <v>2379</v>
      </c>
    </row>
    <row r="814" spans="1:9" ht="26" customHeight="1">
      <c r="A814" s="17" t="s">
        <v>156</v>
      </c>
      <c r="B814" s="18" t="s">
        <v>163</v>
      </c>
      <c r="C814" s="18" t="s">
        <v>128</v>
      </c>
      <c r="D814" s="18">
        <v>45</v>
      </c>
      <c r="E814" s="17" t="s">
        <v>143</v>
      </c>
      <c r="F814" s="19">
        <v>1962</v>
      </c>
      <c r="G814" s="20">
        <f>F814+(VLOOKUP(D814,'(Semelles.Monument.€HT)'!C:G,3,FALSE()))</f>
        <v>2240</v>
      </c>
      <c r="H814" s="21">
        <f>F814+(VLOOKUP(D814,'(Semelles.Monument.€HT)'!C:G,4,FALSE()))</f>
        <v>2320</v>
      </c>
      <c r="I814" s="22">
        <f>F814+(VLOOKUP(D814,'(Semelles.Monument.€HT)'!C:G,5,FALSE()))</f>
        <v>2405</v>
      </c>
    </row>
    <row r="815" spans="1:9" ht="26" customHeight="1">
      <c r="A815" s="2" t="s">
        <v>156</v>
      </c>
      <c r="B815" s="13" t="s">
        <v>163</v>
      </c>
      <c r="C815" s="13" t="s">
        <v>128</v>
      </c>
      <c r="D815" s="13">
        <v>46</v>
      </c>
      <c r="E815" s="2" t="s">
        <v>144</v>
      </c>
      <c r="F815" s="7">
        <v>1962</v>
      </c>
      <c r="G815" s="3">
        <f>F815+(VLOOKUP(D815,'(Semelles.Monument.€HT)'!C:G,3,FALSE()))</f>
        <v>2240</v>
      </c>
      <c r="H815" s="4">
        <f>F815+(VLOOKUP(D815,'(Semelles.Monument.€HT)'!C:G,4,FALSE()))</f>
        <v>2320</v>
      </c>
      <c r="I815" s="5">
        <f>F815+(VLOOKUP(D815,'(Semelles.Monument.€HT)'!C:G,5,FALSE()))</f>
        <v>2405</v>
      </c>
    </row>
    <row r="816" spans="1:9" ht="26" customHeight="1">
      <c r="A816" s="17" t="s">
        <v>156</v>
      </c>
      <c r="B816" s="18" t="s">
        <v>163</v>
      </c>
      <c r="C816" s="18" t="s">
        <v>128</v>
      </c>
      <c r="D816" s="18">
        <v>47</v>
      </c>
      <c r="E816" s="17" t="s">
        <v>145</v>
      </c>
      <c r="F816" s="19">
        <v>1999</v>
      </c>
      <c r="G816" s="20">
        <f>F816+(VLOOKUP(D816,'(Semelles.Monument.€HT)'!C:G,3,FALSE()))</f>
        <v>2283</v>
      </c>
      <c r="H816" s="21">
        <f>F816+(VLOOKUP(D816,'(Semelles.Monument.€HT)'!C:G,4,FALSE()))</f>
        <v>2365</v>
      </c>
      <c r="I816" s="22">
        <f>F816+(VLOOKUP(D816,'(Semelles.Monument.€HT)'!C:G,5,FALSE()))</f>
        <v>2451</v>
      </c>
    </row>
    <row r="817" spans="1:9" ht="26" customHeight="1">
      <c r="A817" s="2" t="s">
        <v>156</v>
      </c>
      <c r="B817" s="13" t="s">
        <v>163</v>
      </c>
      <c r="C817" s="13" t="s">
        <v>128</v>
      </c>
      <c r="D817" s="13">
        <v>48</v>
      </c>
      <c r="E817" s="2" t="s">
        <v>146</v>
      </c>
      <c r="F817" s="7">
        <v>2020</v>
      </c>
      <c r="G817" s="3">
        <f>F817+(VLOOKUP(D817,'(Semelles.Monument.€HT)'!C:G,3,FALSE()))</f>
        <v>2307</v>
      </c>
      <c r="H817" s="4">
        <f>F817+(VLOOKUP(D817,'(Semelles.Monument.€HT)'!C:G,4,FALSE()))</f>
        <v>2390</v>
      </c>
      <c r="I817" s="5">
        <f>F817+(VLOOKUP(D817,'(Semelles.Monument.€HT)'!C:G,5,FALSE()))</f>
        <v>2477</v>
      </c>
    </row>
    <row r="818" spans="1:9" ht="26" customHeight="1">
      <c r="A818" s="17" t="s">
        <v>156</v>
      </c>
      <c r="B818" s="18" t="s">
        <v>164</v>
      </c>
      <c r="C818" s="18" t="s">
        <v>97</v>
      </c>
      <c r="D818" s="18">
        <v>1</v>
      </c>
      <c r="E818" s="17" t="s">
        <v>98</v>
      </c>
      <c r="F818" s="19">
        <v>767</v>
      </c>
      <c r="G818" s="20">
        <f>F818+(VLOOKUP(D818,'(Semelles.Monument.€HT)'!C:G,3,FALSE()))</f>
        <v>925</v>
      </c>
      <c r="H818" s="21">
        <f>F818+(VLOOKUP(D818,'(Semelles.Monument.€HT)'!C:G,4,FALSE()))</f>
        <v>971</v>
      </c>
      <c r="I818" s="22">
        <f>F818+(VLOOKUP(D818,'(Semelles.Monument.€HT)'!C:G,5,FALSE()))</f>
        <v>1019</v>
      </c>
    </row>
    <row r="819" spans="1:9" ht="26" customHeight="1">
      <c r="A819" s="2" t="s">
        <v>156</v>
      </c>
      <c r="B819" s="13" t="s">
        <v>164</v>
      </c>
      <c r="C819" s="13" t="s">
        <v>97</v>
      </c>
      <c r="D819" s="13">
        <v>2</v>
      </c>
      <c r="E819" s="2" t="s">
        <v>99</v>
      </c>
      <c r="F819" s="7">
        <v>766</v>
      </c>
      <c r="G819" s="3">
        <f>F819+(VLOOKUP(D819,'(Semelles.Monument.€HT)'!C:G,3,FALSE()))</f>
        <v>924</v>
      </c>
      <c r="H819" s="4">
        <f>F819+(VLOOKUP(D819,'(Semelles.Monument.€HT)'!C:G,4,FALSE()))</f>
        <v>970</v>
      </c>
      <c r="I819" s="5">
        <f>F819+(VLOOKUP(D819,'(Semelles.Monument.€HT)'!C:G,5,FALSE()))</f>
        <v>1018</v>
      </c>
    </row>
    <row r="820" spans="1:9" ht="26" customHeight="1">
      <c r="A820" s="17" t="s">
        <v>156</v>
      </c>
      <c r="B820" s="18" t="s">
        <v>164</v>
      </c>
      <c r="C820" s="18" t="s">
        <v>97</v>
      </c>
      <c r="D820" s="18">
        <v>3</v>
      </c>
      <c r="E820" s="17" t="s">
        <v>100</v>
      </c>
      <c r="F820" s="19">
        <v>852</v>
      </c>
      <c r="G820" s="20">
        <f>F820+(VLOOKUP(D820,'(Semelles.Monument.€HT)'!C:G,3,FALSE()))</f>
        <v>1028</v>
      </c>
      <c r="H820" s="21">
        <f>F820+(VLOOKUP(D820,'(Semelles.Monument.€HT)'!C:G,4,FALSE()))</f>
        <v>1079</v>
      </c>
      <c r="I820" s="22">
        <f>F820+(VLOOKUP(D820,'(Semelles.Monument.€HT)'!C:G,5,FALSE()))</f>
        <v>1132</v>
      </c>
    </row>
    <row r="821" spans="1:9" ht="26" customHeight="1">
      <c r="A821" s="2" t="s">
        <v>156</v>
      </c>
      <c r="B821" s="13" t="s">
        <v>164</v>
      </c>
      <c r="C821" s="13" t="s">
        <v>97</v>
      </c>
      <c r="D821" s="13">
        <v>4</v>
      </c>
      <c r="E821" s="2" t="s">
        <v>101</v>
      </c>
      <c r="F821" s="7">
        <v>866</v>
      </c>
      <c r="G821" s="3">
        <f>F821+(VLOOKUP(D821,'(Semelles.Monument.€HT)'!C:G,3,FALSE()))</f>
        <v>1045</v>
      </c>
      <c r="H821" s="4">
        <f>F821+(VLOOKUP(D821,'(Semelles.Monument.€HT)'!C:G,4,FALSE()))</f>
        <v>1097</v>
      </c>
      <c r="I821" s="5">
        <f>F821+(VLOOKUP(D821,'(Semelles.Monument.€HT)'!C:G,5,FALSE()))</f>
        <v>1151</v>
      </c>
    </row>
    <row r="822" spans="1:9" ht="26" customHeight="1">
      <c r="A822" s="17" t="s">
        <v>156</v>
      </c>
      <c r="B822" s="18" t="s">
        <v>164</v>
      </c>
      <c r="C822" s="18" t="s">
        <v>97</v>
      </c>
      <c r="D822" s="18">
        <v>5</v>
      </c>
      <c r="E822" s="17" t="s">
        <v>102</v>
      </c>
      <c r="F822" s="19">
        <v>866</v>
      </c>
      <c r="G822" s="20">
        <f>F822+(VLOOKUP(D822,'(Semelles.Monument.€HT)'!C:G,3,FALSE()))</f>
        <v>1045</v>
      </c>
      <c r="H822" s="21">
        <f>F822+(VLOOKUP(D822,'(Semelles.Monument.€HT)'!C:G,4,FALSE()))</f>
        <v>1097</v>
      </c>
      <c r="I822" s="22">
        <f>F822+(VLOOKUP(D822,'(Semelles.Monument.€HT)'!C:G,5,FALSE()))</f>
        <v>1151</v>
      </c>
    </row>
    <row r="823" spans="1:9" ht="26" customHeight="1">
      <c r="A823" s="2" t="s">
        <v>156</v>
      </c>
      <c r="B823" s="13" t="s">
        <v>164</v>
      </c>
      <c r="C823" s="13" t="s">
        <v>97</v>
      </c>
      <c r="D823" s="13">
        <v>6</v>
      </c>
      <c r="E823" s="2" t="s">
        <v>103</v>
      </c>
      <c r="F823" s="7">
        <v>871</v>
      </c>
      <c r="G823" s="3">
        <f>F823+(VLOOKUP(D823,'(Semelles.Monument.€HT)'!C:G,3,FALSE()))</f>
        <v>1051</v>
      </c>
      <c r="H823" s="4">
        <f>F823+(VLOOKUP(D823,'(Semelles.Monument.€HT)'!C:G,4,FALSE()))</f>
        <v>1103</v>
      </c>
      <c r="I823" s="5">
        <f>F823+(VLOOKUP(D823,'(Semelles.Monument.€HT)'!C:G,5,FALSE()))</f>
        <v>1158</v>
      </c>
    </row>
    <row r="824" spans="1:9" ht="26" customHeight="1">
      <c r="A824" s="17" t="s">
        <v>156</v>
      </c>
      <c r="B824" s="18" t="s">
        <v>164</v>
      </c>
      <c r="C824" s="18" t="s">
        <v>97</v>
      </c>
      <c r="D824" s="18">
        <v>7</v>
      </c>
      <c r="E824" s="17" t="s">
        <v>104</v>
      </c>
      <c r="F824" s="19">
        <v>871</v>
      </c>
      <c r="G824" s="20">
        <f>F824+(VLOOKUP(D824,'(Semelles.Monument.€HT)'!C:G,3,FALSE()))</f>
        <v>1051</v>
      </c>
      <c r="H824" s="21">
        <f>F824+(VLOOKUP(D824,'(Semelles.Monument.€HT)'!C:G,4,FALSE()))</f>
        <v>1103</v>
      </c>
      <c r="I824" s="22">
        <f>F824+(VLOOKUP(D824,'(Semelles.Monument.€HT)'!C:G,5,FALSE()))</f>
        <v>1158</v>
      </c>
    </row>
    <row r="825" spans="1:9" ht="26" customHeight="1">
      <c r="A825" s="2" t="s">
        <v>156</v>
      </c>
      <c r="B825" s="13" t="s">
        <v>164</v>
      </c>
      <c r="C825" s="13" t="s">
        <v>97</v>
      </c>
      <c r="D825" s="13">
        <v>8</v>
      </c>
      <c r="E825" s="2" t="s">
        <v>105</v>
      </c>
      <c r="F825" s="7">
        <v>871</v>
      </c>
      <c r="G825" s="3">
        <f>F825+(VLOOKUP(D825,'(Semelles.Monument.€HT)'!C:G,3,FALSE()))</f>
        <v>1051</v>
      </c>
      <c r="H825" s="4">
        <f>F825+(VLOOKUP(D825,'(Semelles.Monument.€HT)'!C:G,4,FALSE()))</f>
        <v>1103</v>
      </c>
      <c r="I825" s="5">
        <f>F825+(VLOOKUP(D825,'(Semelles.Monument.€HT)'!C:G,5,FALSE()))</f>
        <v>1158</v>
      </c>
    </row>
    <row r="826" spans="1:9" ht="26" customHeight="1">
      <c r="A826" s="17" t="s">
        <v>156</v>
      </c>
      <c r="B826" s="18" t="s">
        <v>164</v>
      </c>
      <c r="C826" s="18" t="s">
        <v>97</v>
      </c>
      <c r="D826" s="18">
        <v>9</v>
      </c>
      <c r="E826" s="17" t="s">
        <v>106</v>
      </c>
      <c r="F826" s="19">
        <v>871</v>
      </c>
      <c r="G826" s="20">
        <f>F826+(VLOOKUP(D826,'(Semelles.Monument.€HT)'!C:G,3,FALSE()))</f>
        <v>1051</v>
      </c>
      <c r="H826" s="21">
        <f>F826+(VLOOKUP(D826,'(Semelles.Monument.€HT)'!C:G,4,FALSE()))</f>
        <v>1103</v>
      </c>
      <c r="I826" s="22">
        <f>F826+(VLOOKUP(D826,'(Semelles.Monument.€HT)'!C:G,5,FALSE()))</f>
        <v>1158</v>
      </c>
    </row>
    <row r="827" spans="1:9" ht="26" customHeight="1">
      <c r="A827" s="2" t="s">
        <v>156</v>
      </c>
      <c r="B827" s="13" t="s">
        <v>164</v>
      </c>
      <c r="C827" s="13" t="s">
        <v>97</v>
      </c>
      <c r="D827" s="13">
        <v>10</v>
      </c>
      <c r="E827" s="2" t="s">
        <v>107</v>
      </c>
      <c r="F827" s="7">
        <v>871</v>
      </c>
      <c r="G827" s="3">
        <f>F827+(VLOOKUP(D827,'(Semelles.Monument.€HT)'!C:G,3,FALSE()))</f>
        <v>1051</v>
      </c>
      <c r="H827" s="4">
        <f>F827+(VLOOKUP(D827,'(Semelles.Monument.€HT)'!C:G,4,FALSE()))</f>
        <v>1103</v>
      </c>
      <c r="I827" s="5">
        <f>F827+(VLOOKUP(D827,'(Semelles.Monument.€HT)'!C:G,5,FALSE()))</f>
        <v>1158</v>
      </c>
    </row>
    <row r="828" spans="1:9" ht="26" customHeight="1">
      <c r="A828" s="17" t="s">
        <v>156</v>
      </c>
      <c r="B828" s="18" t="s">
        <v>164</v>
      </c>
      <c r="C828" s="18" t="s">
        <v>97</v>
      </c>
      <c r="D828" s="18">
        <v>11</v>
      </c>
      <c r="E828" s="17" t="s">
        <v>108</v>
      </c>
      <c r="F828" s="19">
        <v>871</v>
      </c>
      <c r="G828" s="20">
        <f>F828+(VLOOKUP(D828,'(Semelles.Monument.€HT)'!C:G,3,FALSE()))</f>
        <v>1051</v>
      </c>
      <c r="H828" s="21">
        <f>F828+(VLOOKUP(D828,'(Semelles.Monument.€HT)'!C:G,4,FALSE()))</f>
        <v>1103</v>
      </c>
      <c r="I828" s="22">
        <f>F828+(VLOOKUP(D828,'(Semelles.Monument.€HT)'!C:G,5,FALSE()))</f>
        <v>1158</v>
      </c>
    </row>
    <row r="829" spans="1:9" ht="26" customHeight="1">
      <c r="A829" s="2" t="s">
        <v>156</v>
      </c>
      <c r="B829" s="13" t="s">
        <v>164</v>
      </c>
      <c r="C829" s="13" t="s">
        <v>97</v>
      </c>
      <c r="D829" s="13">
        <v>12</v>
      </c>
      <c r="E829" s="2" t="s">
        <v>109</v>
      </c>
      <c r="F829" s="7">
        <v>883</v>
      </c>
      <c r="G829" s="3">
        <f>F829+(VLOOKUP(D829,'(Semelles.Monument.€HT)'!C:G,3,FALSE()))</f>
        <v>1065</v>
      </c>
      <c r="H829" s="4">
        <f>F829+(VLOOKUP(D829,'(Semelles.Monument.€HT)'!C:G,4,FALSE()))</f>
        <v>1118</v>
      </c>
      <c r="I829" s="5">
        <f>F829+(VLOOKUP(D829,'(Semelles.Monument.€HT)'!C:G,5,FALSE()))</f>
        <v>1174</v>
      </c>
    </row>
    <row r="830" spans="1:9" ht="26" customHeight="1">
      <c r="A830" s="17" t="s">
        <v>156</v>
      </c>
      <c r="B830" s="18" t="s">
        <v>164</v>
      </c>
      <c r="C830" s="18" t="s">
        <v>97</v>
      </c>
      <c r="D830" s="18">
        <v>13</v>
      </c>
      <c r="E830" s="17" t="s">
        <v>110</v>
      </c>
      <c r="F830" s="19">
        <v>883</v>
      </c>
      <c r="G830" s="20">
        <f>F830+(VLOOKUP(D830,'(Semelles.Monument.€HT)'!C:G,3,FALSE()))</f>
        <v>1065</v>
      </c>
      <c r="H830" s="21">
        <f>F830+(VLOOKUP(D830,'(Semelles.Monument.€HT)'!C:G,4,FALSE()))</f>
        <v>1118</v>
      </c>
      <c r="I830" s="22">
        <f>F830+(VLOOKUP(D830,'(Semelles.Monument.€HT)'!C:G,5,FALSE()))</f>
        <v>1174</v>
      </c>
    </row>
    <row r="831" spans="1:9" ht="26" customHeight="1">
      <c r="A831" s="2" t="s">
        <v>156</v>
      </c>
      <c r="B831" s="13" t="s">
        <v>164</v>
      </c>
      <c r="C831" s="13" t="s">
        <v>97</v>
      </c>
      <c r="D831" s="13">
        <v>14</v>
      </c>
      <c r="E831" s="2" t="s">
        <v>111</v>
      </c>
      <c r="F831" s="7">
        <v>886</v>
      </c>
      <c r="G831" s="3">
        <f>F831+(VLOOKUP(D831,'(Semelles.Monument.€HT)'!C:G,3,FALSE()))</f>
        <v>1069</v>
      </c>
      <c r="H831" s="4">
        <f>F831+(VLOOKUP(D831,'(Semelles.Monument.€HT)'!C:G,4,FALSE()))</f>
        <v>1122</v>
      </c>
      <c r="I831" s="5">
        <f>F831+(VLOOKUP(D831,'(Semelles.Monument.€HT)'!C:G,5,FALSE()))</f>
        <v>1178</v>
      </c>
    </row>
    <row r="832" spans="1:9" ht="26" customHeight="1">
      <c r="A832" s="17" t="s">
        <v>156</v>
      </c>
      <c r="B832" s="18" t="s">
        <v>164</v>
      </c>
      <c r="C832" s="18" t="s">
        <v>97</v>
      </c>
      <c r="D832" s="18">
        <v>15</v>
      </c>
      <c r="E832" s="17" t="s">
        <v>112</v>
      </c>
      <c r="F832" s="19">
        <v>886</v>
      </c>
      <c r="G832" s="20">
        <f>F832+(VLOOKUP(D832,'(Semelles.Monument.€HT)'!C:G,3,FALSE()))</f>
        <v>1069</v>
      </c>
      <c r="H832" s="21">
        <f>F832+(VLOOKUP(D832,'(Semelles.Monument.€HT)'!C:G,4,FALSE()))</f>
        <v>1122</v>
      </c>
      <c r="I832" s="22">
        <f>F832+(VLOOKUP(D832,'(Semelles.Monument.€HT)'!C:G,5,FALSE()))</f>
        <v>1178</v>
      </c>
    </row>
    <row r="833" spans="1:9" ht="26" customHeight="1">
      <c r="A833" s="2" t="s">
        <v>156</v>
      </c>
      <c r="B833" s="13" t="s">
        <v>164</v>
      </c>
      <c r="C833" s="13" t="s">
        <v>97</v>
      </c>
      <c r="D833" s="13">
        <v>16</v>
      </c>
      <c r="E833" s="2" t="s">
        <v>113</v>
      </c>
      <c r="F833" s="7">
        <v>886</v>
      </c>
      <c r="G833" s="3">
        <f>F833+(VLOOKUP(D833,'(Semelles.Monument.€HT)'!C:G,3,FALSE()))</f>
        <v>1069</v>
      </c>
      <c r="H833" s="4">
        <f>F833+(VLOOKUP(D833,'(Semelles.Monument.€HT)'!C:G,4,FALSE()))</f>
        <v>1122</v>
      </c>
      <c r="I833" s="5">
        <f>F833+(VLOOKUP(D833,'(Semelles.Monument.€HT)'!C:G,5,FALSE()))</f>
        <v>1178</v>
      </c>
    </row>
    <row r="834" spans="1:9" ht="26" customHeight="1">
      <c r="A834" s="17" t="s">
        <v>156</v>
      </c>
      <c r="B834" s="18" t="s">
        <v>164</v>
      </c>
      <c r="C834" s="18" t="s">
        <v>97</v>
      </c>
      <c r="D834" s="18">
        <v>17</v>
      </c>
      <c r="E834" s="17" t="s">
        <v>114</v>
      </c>
      <c r="F834" s="19">
        <v>901</v>
      </c>
      <c r="G834" s="20">
        <f>F834+(VLOOKUP(D834,'(Semelles.Monument.€HT)'!C:G,3,FALSE()))</f>
        <v>1087</v>
      </c>
      <c r="H834" s="21">
        <f>F834+(VLOOKUP(D834,'(Semelles.Monument.€HT)'!C:G,4,FALSE()))</f>
        <v>1141</v>
      </c>
      <c r="I834" s="22">
        <f>F834+(VLOOKUP(D834,'(Semelles.Monument.€HT)'!C:G,5,FALSE()))</f>
        <v>1198</v>
      </c>
    </row>
    <row r="835" spans="1:9" ht="26" customHeight="1">
      <c r="A835" s="2" t="s">
        <v>156</v>
      </c>
      <c r="B835" s="13" t="s">
        <v>164</v>
      </c>
      <c r="C835" s="13" t="s">
        <v>97</v>
      </c>
      <c r="D835" s="13">
        <v>18</v>
      </c>
      <c r="E835" s="2" t="s">
        <v>115</v>
      </c>
      <c r="F835" s="7">
        <v>901</v>
      </c>
      <c r="G835" s="3">
        <f>F835+(VLOOKUP(D835,'(Semelles.Monument.€HT)'!C:G,3,FALSE()))</f>
        <v>1087</v>
      </c>
      <c r="H835" s="4">
        <f>F835+(VLOOKUP(D835,'(Semelles.Monument.€HT)'!C:G,4,FALSE()))</f>
        <v>1141</v>
      </c>
      <c r="I835" s="5">
        <f>F835+(VLOOKUP(D835,'(Semelles.Monument.€HT)'!C:G,5,FALSE()))</f>
        <v>1198</v>
      </c>
    </row>
    <row r="836" spans="1:9" ht="26" customHeight="1">
      <c r="A836" s="17" t="s">
        <v>156</v>
      </c>
      <c r="B836" s="18" t="s">
        <v>164</v>
      </c>
      <c r="C836" s="18" t="s">
        <v>97</v>
      </c>
      <c r="D836" s="18">
        <v>19</v>
      </c>
      <c r="E836" s="17" t="s">
        <v>116</v>
      </c>
      <c r="F836" s="19">
        <v>901</v>
      </c>
      <c r="G836" s="20">
        <f>F836+(VLOOKUP(D836,'(Semelles.Monument.€HT)'!C:G,3,FALSE()))</f>
        <v>1087</v>
      </c>
      <c r="H836" s="21">
        <f>F836+(VLOOKUP(D836,'(Semelles.Monument.€HT)'!C:G,4,FALSE()))</f>
        <v>1141</v>
      </c>
      <c r="I836" s="22">
        <f>F836+(VLOOKUP(D836,'(Semelles.Monument.€HT)'!C:G,5,FALSE()))</f>
        <v>1198</v>
      </c>
    </row>
    <row r="837" spans="1:9" ht="26" customHeight="1">
      <c r="A837" s="2" t="s">
        <v>156</v>
      </c>
      <c r="B837" s="13" t="s">
        <v>164</v>
      </c>
      <c r="C837" s="13" t="s">
        <v>97</v>
      </c>
      <c r="D837" s="13">
        <v>20</v>
      </c>
      <c r="E837" s="2" t="s">
        <v>117</v>
      </c>
      <c r="F837" s="7">
        <v>909</v>
      </c>
      <c r="G837" s="3">
        <f>F837+(VLOOKUP(D837,'(Semelles.Monument.€HT)'!C:G,3,FALSE()))</f>
        <v>1097</v>
      </c>
      <c r="H837" s="4">
        <f>F837+(VLOOKUP(D837,'(Semelles.Monument.€HT)'!C:G,4,FALSE()))</f>
        <v>1151</v>
      </c>
      <c r="I837" s="5">
        <f>F837+(VLOOKUP(D837,'(Semelles.Monument.€HT)'!C:G,5,FALSE()))</f>
        <v>1208</v>
      </c>
    </row>
    <row r="838" spans="1:9" ht="26" customHeight="1">
      <c r="A838" s="17" t="s">
        <v>156</v>
      </c>
      <c r="B838" s="18" t="s">
        <v>164</v>
      </c>
      <c r="C838" s="18" t="s">
        <v>97</v>
      </c>
      <c r="D838" s="18">
        <v>21</v>
      </c>
      <c r="E838" s="17" t="s">
        <v>118</v>
      </c>
      <c r="F838" s="19">
        <v>914</v>
      </c>
      <c r="G838" s="20">
        <f>F838+(VLOOKUP(D838,'(Semelles.Monument.€HT)'!C:G,3,FALSE()))</f>
        <v>1103</v>
      </c>
      <c r="H838" s="21">
        <f>F838+(VLOOKUP(D838,'(Semelles.Monument.€HT)'!C:G,4,FALSE()))</f>
        <v>1157</v>
      </c>
      <c r="I838" s="22">
        <f>F838+(VLOOKUP(D838,'(Semelles.Monument.€HT)'!C:G,5,FALSE()))</f>
        <v>1215</v>
      </c>
    </row>
    <row r="839" spans="1:9" ht="26" customHeight="1">
      <c r="A839" s="2" t="s">
        <v>156</v>
      </c>
      <c r="B839" s="13" t="s">
        <v>164</v>
      </c>
      <c r="C839" s="13" t="s">
        <v>97</v>
      </c>
      <c r="D839" s="13">
        <v>22</v>
      </c>
      <c r="E839" s="2" t="s">
        <v>119</v>
      </c>
      <c r="F839" s="7">
        <v>914</v>
      </c>
      <c r="G839" s="3">
        <f>F839+(VLOOKUP(D839,'(Semelles.Monument.€HT)'!C:G,3,FALSE()))</f>
        <v>1103</v>
      </c>
      <c r="H839" s="4">
        <f>F839+(VLOOKUP(D839,'(Semelles.Monument.€HT)'!C:G,4,FALSE()))</f>
        <v>1157</v>
      </c>
      <c r="I839" s="5">
        <f>F839+(VLOOKUP(D839,'(Semelles.Monument.€HT)'!C:G,5,FALSE()))</f>
        <v>1215</v>
      </c>
    </row>
    <row r="840" spans="1:9" ht="26" customHeight="1">
      <c r="A840" s="17" t="s">
        <v>156</v>
      </c>
      <c r="B840" s="18" t="s">
        <v>164</v>
      </c>
      <c r="C840" s="18" t="s">
        <v>97</v>
      </c>
      <c r="D840" s="18">
        <v>23</v>
      </c>
      <c r="E840" s="17" t="s">
        <v>120</v>
      </c>
      <c r="F840" s="19">
        <v>928</v>
      </c>
      <c r="G840" s="20">
        <f>F840+(VLOOKUP(D840,'(Semelles.Monument.€HT)'!C:G,3,FALSE()))</f>
        <v>1120</v>
      </c>
      <c r="H840" s="21">
        <f>F840+(VLOOKUP(D840,'(Semelles.Monument.€HT)'!C:G,4,FALSE()))</f>
        <v>1175</v>
      </c>
      <c r="I840" s="22">
        <f>F840+(VLOOKUP(D840,'(Semelles.Monument.€HT)'!C:G,5,FALSE()))</f>
        <v>1233</v>
      </c>
    </row>
    <row r="841" spans="1:9" ht="26" customHeight="1">
      <c r="A841" s="2" t="s">
        <v>156</v>
      </c>
      <c r="B841" s="13" t="s">
        <v>164</v>
      </c>
      <c r="C841" s="13" t="s">
        <v>97</v>
      </c>
      <c r="D841" s="13">
        <v>24</v>
      </c>
      <c r="E841" s="2" t="s">
        <v>121</v>
      </c>
      <c r="F841" s="7">
        <v>928</v>
      </c>
      <c r="G841" s="3">
        <f>F841+(VLOOKUP(D841,'(Semelles.Monument.€HT)'!C:G,3,FALSE()))</f>
        <v>1120</v>
      </c>
      <c r="H841" s="4">
        <f>F841+(VLOOKUP(D841,'(Semelles.Monument.€HT)'!C:G,4,FALSE()))</f>
        <v>1175</v>
      </c>
      <c r="I841" s="5">
        <f>F841+(VLOOKUP(D841,'(Semelles.Monument.€HT)'!C:G,5,FALSE()))</f>
        <v>1233</v>
      </c>
    </row>
    <row r="842" spans="1:9" ht="26" customHeight="1">
      <c r="A842" s="17" t="s">
        <v>156</v>
      </c>
      <c r="B842" s="18" t="s">
        <v>164</v>
      </c>
      <c r="C842" s="18" t="s">
        <v>97</v>
      </c>
      <c r="D842" s="18">
        <v>25</v>
      </c>
      <c r="E842" s="17" t="s">
        <v>122</v>
      </c>
      <c r="F842" s="19">
        <v>928</v>
      </c>
      <c r="G842" s="20">
        <f>F842+(VLOOKUP(D842,'(Semelles.Monument.€HT)'!C:G,3,FALSE()))</f>
        <v>1120</v>
      </c>
      <c r="H842" s="21">
        <f>F842+(VLOOKUP(D842,'(Semelles.Monument.€HT)'!C:G,4,FALSE()))</f>
        <v>1175</v>
      </c>
      <c r="I842" s="22">
        <f>F842+(VLOOKUP(D842,'(Semelles.Monument.€HT)'!C:G,5,FALSE()))</f>
        <v>1233</v>
      </c>
    </row>
    <row r="843" spans="1:9" ht="26" customHeight="1">
      <c r="A843" s="2" t="s">
        <v>156</v>
      </c>
      <c r="B843" s="13" t="s">
        <v>164</v>
      </c>
      <c r="C843" s="13" t="s">
        <v>97</v>
      </c>
      <c r="D843" s="13">
        <v>26</v>
      </c>
      <c r="E843" s="2" t="s">
        <v>123</v>
      </c>
      <c r="F843" s="7">
        <v>944</v>
      </c>
      <c r="G843" s="3">
        <f>F843+(VLOOKUP(D843,'(Semelles.Monument.€HT)'!C:G,3,FALSE()))</f>
        <v>1139</v>
      </c>
      <c r="H843" s="4">
        <f>F843+(VLOOKUP(D843,'(Semelles.Monument.€HT)'!C:G,4,FALSE()))</f>
        <v>1195</v>
      </c>
      <c r="I843" s="5">
        <f>F843+(VLOOKUP(D843,'(Semelles.Monument.€HT)'!C:G,5,FALSE()))</f>
        <v>1254</v>
      </c>
    </row>
    <row r="844" spans="1:9" ht="26" customHeight="1">
      <c r="A844" s="17" t="s">
        <v>156</v>
      </c>
      <c r="B844" s="18" t="s">
        <v>164</v>
      </c>
      <c r="C844" s="18" t="s">
        <v>97</v>
      </c>
      <c r="D844" s="18">
        <v>27</v>
      </c>
      <c r="E844" s="17" t="s">
        <v>124</v>
      </c>
      <c r="F844" s="19">
        <v>1006</v>
      </c>
      <c r="G844" s="20">
        <f>F844+(VLOOKUP(D844,'(Semelles.Monument.€HT)'!C:G,3,FALSE()))</f>
        <v>1214</v>
      </c>
      <c r="H844" s="21">
        <f>F844+(VLOOKUP(D844,'(Semelles.Monument.€HT)'!C:G,4,FALSE()))</f>
        <v>1274</v>
      </c>
      <c r="I844" s="22">
        <f>F844+(VLOOKUP(D844,'(Semelles.Monument.€HT)'!C:G,5,FALSE()))</f>
        <v>1373</v>
      </c>
    </row>
    <row r="845" spans="1:9" ht="26" customHeight="1">
      <c r="A845" s="2" t="s">
        <v>156</v>
      </c>
      <c r="B845" s="13" t="s">
        <v>164</v>
      </c>
      <c r="C845" s="13" t="s">
        <v>97</v>
      </c>
      <c r="D845" s="13">
        <v>28</v>
      </c>
      <c r="E845" s="2" t="s">
        <v>125</v>
      </c>
      <c r="F845" s="7">
        <v>1114</v>
      </c>
      <c r="G845" s="3">
        <f>F845+(VLOOKUP(D845,'(Semelles.Monument.€HT)'!C:G,3,FALSE()))</f>
        <v>1344</v>
      </c>
      <c r="H845" s="4">
        <f>F845+(VLOOKUP(D845,'(Semelles.Monument.€HT)'!C:G,4,FALSE()))</f>
        <v>1411</v>
      </c>
      <c r="I845" s="5">
        <f>F845+(VLOOKUP(D845,'(Semelles.Monument.€HT)'!C:G,5,FALSE()))</f>
        <v>1481</v>
      </c>
    </row>
    <row r="846" spans="1:9" ht="26" customHeight="1">
      <c r="A846" s="17" t="s">
        <v>156</v>
      </c>
      <c r="B846" s="18" t="s">
        <v>164</v>
      </c>
      <c r="C846" s="18" t="s">
        <v>97</v>
      </c>
      <c r="D846" s="18">
        <v>29</v>
      </c>
      <c r="E846" s="17" t="s">
        <v>126</v>
      </c>
      <c r="F846" s="19">
        <v>1161</v>
      </c>
      <c r="G846" s="20">
        <f>F846+(VLOOKUP(D846,'(Semelles.Monument.€HT)'!C:G,3,FALSE()))</f>
        <v>1401</v>
      </c>
      <c r="H846" s="21">
        <f>F846+(VLOOKUP(D846,'(Semelles.Monument.€HT)'!C:G,4,FALSE()))</f>
        <v>1470</v>
      </c>
      <c r="I846" s="22">
        <f>F846+(VLOOKUP(D846,'(Semelles.Monument.€HT)'!C:G,5,FALSE()))</f>
        <v>1543</v>
      </c>
    </row>
    <row r="847" spans="1:9" ht="26" customHeight="1">
      <c r="A847" s="2" t="s">
        <v>156</v>
      </c>
      <c r="B847" s="13" t="s">
        <v>164</v>
      </c>
      <c r="C847" s="13" t="s">
        <v>97</v>
      </c>
      <c r="D847" s="13">
        <v>30</v>
      </c>
      <c r="E847" s="2" t="s">
        <v>127</v>
      </c>
      <c r="F847" s="7">
        <v>1161</v>
      </c>
      <c r="G847" s="3">
        <f>F847+(VLOOKUP(D847,'(Semelles.Monument.€HT)'!C:G,3,FALSE()))</f>
        <v>1401</v>
      </c>
      <c r="H847" s="4">
        <f>F847+(VLOOKUP(D847,'(Semelles.Monument.€HT)'!C:G,4,FALSE()))</f>
        <v>1470</v>
      </c>
      <c r="I847" s="5">
        <f>F847+(VLOOKUP(D847,'(Semelles.Monument.€HT)'!C:G,5,FALSE()))</f>
        <v>1543</v>
      </c>
    </row>
    <row r="848" spans="1:9" ht="26" customHeight="1">
      <c r="A848" s="17" t="s">
        <v>156</v>
      </c>
      <c r="B848" s="18" t="s">
        <v>164</v>
      </c>
      <c r="C848" s="18" t="s">
        <v>128</v>
      </c>
      <c r="D848" s="18">
        <v>31</v>
      </c>
      <c r="E848" s="17" t="s">
        <v>129</v>
      </c>
      <c r="F848" s="19">
        <v>659</v>
      </c>
      <c r="G848" s="20">
        <f>F848+(VLOOKUP(D848,'(Semelles.Monument.€HT)'!C:G,3,FALSE()))</f>
        <v>791</v>
      </c>
      <c r="H848" s="21">
        <f>F848+(VLOOKUP(D848,'(Semelles.Monument.€HT)'!C:G,4,FALSE()))</f>
        <v>829</v>
      </c>
      <c r="I848" s="22">
        <f>F848+(VLOOKUP(D848,'(Semelles.Monument.€HT)'!C:G,5,FALSE()))</f>
        <v>869</v>
      </c>
    </row>
    <row r="849" spans="1:9" ht="26" customHeight="1">
      <c r="A849" s="2" t="s">
        <v>156</v>
      </c>
      <c r="B849" s="13" t="s">
        <v>164</v>
      </c>
      <c r="C849" s="13" t="s">
        <v>128</v>
      </c>
      <c r="D849" s="13">
        <v>32</v>
      </c>
      <c r="E849" s="2" t="s">
        <v>130</v>
      </c>
      <c r="F849" s="7">
        <v>668</v>
      </c>
      <c r="G849" s="3">
        <f>F849+(VLOOKUP(D849,'(Semelles.Monument.€HT)'!C:G,3,FALSE()))</f>
        <v>802</v>
      </c>
      <c r="H849" s="4">
        <f>F849+(VLOOKUP(D849,'(Semelles.Monument.€HT)'!C:G,4,FALSE()))</f>
        <v>841</v>
      </c>
      <c r="I849" s="5">
        <f>F849+(VLOOKUP(D849,'(Semelles.Monument.€HT)'!C:G,5,FALSE()))</f>
        <v>881</v>
      </c>
    </row>
    <row r="850" spans="1:9" ht="26" customHeight="1">
      <c r="A850" s="17" t="s">
        <v>156</v>
      </c>
      <c r="B850" s="18" t="s">
        <v>164</v>
      </c>
      <c r="C850" s="18" t="s">
        <v>128</v>
      </c>
      <c r="D850" s="18">
        <v>33</v>
      </c>
      <c r="E850" s="17" t="s">
        <v>131</v>
      </c>
      <c r="F850" s="19">
        <v>668</v>
      </c>
      <c r="G850" s="20">
        <f>F850+(VLOOKUP(D850,'(Semelles.Monument.€HT)'!C:G,3,FALSE()))</f>
        <v>802</v>
      </c>
      <c r="H850" s="21">
        <f>F850+(VLOOKUP(D850,'(Semelles.Monument.€HT)'!C:G,4,FALSE()))</f>
        <v>841</v>
      </c>
      <c r="I850" s="22">
        <f>F850+(VLOOKUP(D850,'(Semelles.Monument.€HT)'!C:G,5,FALSE()))</f>
        <v>881</v>
      </c>
    </row>
    <row r="851" spans="1:9" ht="26" customHeight="1">
      <c r="A851" s="2" t="s">
        <v>156</v>
      </c>
      <c r="B851" s="13" t="s">
        <v>164</v>
      </c>
      <c r="C851" s="13" t="s">
        <v>128</v>
      </c>
      <c r="D851" s="13">
        <v>34</v>
      </c>
      <c r="E851" s="2" t="s">
        <v>132</v>
      </c>
      <c r="F851" s="7">
        <v>674</v>
      </c>
      <c r="G851" s="3">
        <f>F851+(VLOOKUP(D851,'(Semelles.Monument.€HT)'!C:G,3,FALSE()))</f>
        <v>809</v>
      </c>
      <c r="H851" s="4">
        <f>F851+(VLOOKUP(D851,'(Semelles.Monument.€HT)'!C:G,4,FALSE()))</f>
        <v>848</v>
      </c>
      <c r="I851" s="5">
        <f>F851+(VLOOKUP(D851,'(Semelles.Monument.€HT)'!C:G,5,FALSE()))</f>
        <v>889</v>
      </c>
    </row>
    <row r="852" spans="1:9" ht="26" customHeight="1">
      <c r="A852" s="17" t="s">
        <v>156</v>
      </c>
      <c r="B852" s="18" t="s">
        <v>164</v>
      </c>
      <c r="C852" s="18" t="s">
        <v>128</v>
      </c>
      <c r="D852" s="18">
        <v>35</v>
      </c>
      <c r="E852" s="17" t="s">
        <v>133</v>
      </c>
      <c r="F852" s="19">
        <v>808</v>
      </c>
      <c r="G852" s="20">
        <f>F852+(VLOOKUP(D852,'(Semelles.Monument.€HT)'!C:G,3,FALSE()))</f>
        <v>971</v>
      </c>
      <c r="H852" s="21">
        <f>F852+(VLOOKUP(D852,'(Semelles.Monument.€HT)'!C:G,4,FALSE()))</f>
        <v>1018</v>
      </c>
      <c r="I852" s="22">
        <f>F852+(VLOOKUP(D852,'(Semelles.Monument.€HT)'!C:G,5,FALSE()))</f>
        <v>1067</v>
      </c>
    </row>
    <row r="853" spans="1:9" ht="26" customHeight="1">
      <c r="A853" s="2" t="s">
        <v>156</v>
      </c>
      <c r="B853" s="13" t="s">
        <v>164</v>
      </c>
      <c r="C853" s="13" t="s">
        <v>128</v>
      </c>
      <c r="D853" s="13">
        <v>36</v>
      </c>
      <c r="E853" s="2" t="s">
        <v>134</v>
      </c>
      <c r="F853" s="7">
        <v>836</v>
      </c>
      <c r="G853" s="3">
        <f>F853+(VLOOKUP(D853,'(Semelles.Monument.€HT)'!C:G,3,FALSE()))</f>
        <v>1004</v>
      </c>
      <c r="H853" s="4">
        <f>F853+(VLOOKUP(D853,'(Semelles.Monument.€HT)'!C:G,4,FALSE()))</f>
        <v>1053</v>
      </c>
      <c r="I853" s="5">
        <f>F853+(VLOOKUP(D853,'(Semelles.Monument.€HT)'!C:G,5,FALSE()))</f>
        <v>1104</v>
      </c>
    </row>
    <row r="854" spans="1:9" ht="26" customHeight="1">
      <c r="A854" s="17" t="s">
        <v>156</v>
      </c>
      <c r="B854" s="18" t="s">
        <v>164</v>
      </c>
      <c r="C854" s="18" t="s">
        <v>128</v>
      </c>
      <c r="D854" s="18">
        <v>37</v>
      </c>
      <c r="E854" s="17" t="s">
        <v>135</v>
      </c>
      <c r="F854" s="19">
        <v>1028</v>
      </c>
      <c r="G854" s="20">
        <f>F854+(VLOOKUP(D854,'(Semelles.Monument.€HT)'!C:G,3,FALSE()))</f>
        <v>1236</v>
      </c>
      <c r="H854" s="21">
        <f>F854+(VLOOKUP(D854,'(Semelles.Monument.€HT)'!C:G,4,FALSE()))</f>
        <v>1296</v>
      </c>
      <c r="I854" s="22">
        <f>F854+(VLOOKUP(D854,'(Semelles.Monument.€HT)'!C:G,5,FALSE()))</f>
        <v>1360</v>
      </c>
    </row>
    <row r="855" spans="1:9" ht="26" customHeight="1">
      <c r="A855" s="2" t="s">
        <v>156</v>
      </c>
      <c r="B855" s="13" t="s">
        <v>164</v>
      </c>
      <c r="C855" s="13" t="s">
        <v>128</v>
      </c>
      <c r="D855" s="13">
        <v>38</v>
      </c>
      <c r="E855" s="2" t="s">
        <v>136</v>
      </c>
      <c r="F855" s="7">
        <v>1087</v>
      </c>
      <c r="G855" s="3">
        <f>F855+(VLOOKUP(D855,'(Semelles.Monument.€HT)'!C:G,3,FALSE()))</f>
        <v>1307</v>
      </c>
      <c r="H855" s="4">
        <f>F855+(VLOOKUP(D855,'(Semelles.Monument.€HT)'!C:G,4,FALSE()))</f>
        <v>1371</v>
      </c>
      <c r="I855" s="5">
        <f>F855+(VLOOKUP(D855,'(Semelles.Monument.€HT)'!C:G,5,FALSE()))</f>
        <v>1438</v>
      </c>
    </row>
    <row r="856" spans="1:9" ht="26" customHeight="1">
      <c r="A856" s="17" t="s">
        <v>156</v>
      </c>
      <c r="B856" s="18" t="s">
        <v>164</v>
      </c>
      <c r="C856" s="18" t="s">
        <v>128</v>
      </c>
      <c r="D856" s="18">
        <v>39</v>
      </c>
      <c r="E856" s="17" t="s">
        <v>137</v>
      </c>
      <c r="F856" s="19">
        <v>1115</v>
      </c>
      <c r="G856" s="20">
        <f>F856+(VLOOKUP(D856,'(Semelles.Monument.€HT)'!C:G,3,FALSE()))</f>
        <v>1341</v>
      </c>
      <c r="H856" s="21">
        <f>F856+(VLOOKUP(D856,'(Semelles.Monument.€HT)'!C:G,4,FALSE()))</f>
        <v>1406</v>
      </c>
      <c r="I856" s="22">
        <f>F856+(VLOOKUP(D856,'(Semelles.Monument.€HT)'!C:G,5,FALSE()))</f>
        <v>1475</v>
      </c>
    </row>
    <row r="857" spans="1:9" ht="26" customHeight="1">
      <c r="A857" s="2" t="s">
        <v>156</v>
      </c>
      <c r="B857" s="13" t="s">
        <v>164</v>
      </c>
      <c r="C857" s="13" t="s">
        <v>128</v>
      </c>
      <c r="D857" s="13">
        <v>40</v>
      </c>
      <c r="E857" s="2" t="s">
        <v>138</v>
      </c>
      <c r="F857" s="7">
        <v>1146</v>
      </c>
      <c r="G857" s="3">
        <f>F857+(VLOOKUP(D857,'(Semelles.Monument.€HT)'!C:G,3,FALSE()))</f>
        <v>1378</v>
      </c>
      <c r="H857" s="4">
        <f>F857+(VLOOKUP(D857,'(Semelles.Monument.€HT)'!C:G,4,FALSE()))</f>
        <v>1446</v>
      </c>
      <c r="I857" s="5">
        <f>F857+(VLOOKUP(D857,'(Semelles.Monument.€HT)'!C:G,5,FALSE()))</f>
        <v>1516</v>
      </c>
    </row>
    <row r="858" spans="1:9" ht="26" customHeight="1">
      <c r="A858" s="17" t="s">
        <v>156</v>
      </c>
      <c r="B858" s="18" t="s">
        <v>164</v>
      </c>
      <c r="C858" s="18" t="s">
        <v>128</v>
      </c>
      <c r="D858" s="18">
        <v>41</v>
      </c>
      <c r="E858" s="17" t="s">
        <v>139</v>
      </c>
      <c r="F858" s="19">
        <v>1217</v>
      </c>
      <c r="G858" s="20">
        <f>F858+(VLOOKUP(D858,'(Semelles.Monument.€HT)'!C:G,3,FALSE()))</f>
        <v>1464</v>
      </c>
      <c r="H858" s="21">
        <f>F858+(VLOOKUP(D858,'(Semelles.Monument.€HT)'!C:G,4,FALSE()))</f>
        <v>1536</v>
      </c>
      <c r="I858" s="22">
        <f>F858+(VLOOKUP(D858,'(Semelles.Monument.€HT)'!C:G,5,FALSE()))</f>
        <v>1611</v>
      </c>
    </row>
    <row r="859" spans="1:9" ht="26" customHeight="1">
      <c r="A859" s="2" t="s">
        <v>156</v>
      </c>
      <c r="B859" s="13" t="s">
        <v>164</v>
      </c>
      <c r="C859" s="13" t="s">
        <v>128</v>
      </c>
      <c r="D859" s="13">
        <v>42</v>
      </c>
      <c r="E859" s="2" t="s">
        <v>140</v>
      </c>
      <c r="F859" s="7">
        <v>1335</v>
      </c>
      <c r="G859" s="3">
        <f>F859+(VLOOKUP(D859,'(Semelles.Monument.€HT)'!C:G,3,FALSE()))</f>
        <v>1606</v>
      </c>
      <c r="H859" s="4">
        <f>F859+(VLOOKUP(D859,'(Semelles.Monument.€HT)'!C:G,4,FALSE()))</f>
        <v>1685</v>
      </c>
      <c r="I859" s="5">
        <f>F859+(VLOOKUP(D859,'(Semelles.Monument.€HT)'!C:G,5,FALSE()))</f>
        <v>1768</v>
      </c>
    </row>
    <row r="860" spans="1:9" ht="26" customHeight="1">
      <c r="A860" s="17" t="s">
        <v>156</v>
      </c>
      <c r="B860" s="18" t="s">
        <v>164</v>
      </c>
      <c r="C860" s="18" t="s">
        <v>128</v>
      </c>
      <c r="D860" s="18">
        <v>43</v>
      </c>
      <c r="E860" s="17" t="s">
        <v>141</v>
      </c>
      <c r="F860" s="19">
        <v>1335</v>
      </c>
      <c r="G860" s="20">
        <f>F860+(VLOOKUP(D860,'(Semelles.Monument.€HT)'!C:G,3,FALSE()))</f>
        <v>1606</v>
      </c>
      <c r="H860" s="21">
        <f>F860+(VLOOKUP(D860,'(Semelles.Monument.€HT)'!C:G,4,FALSE()))</f>
        <v>1685</v>
      </c>
      <c r="I860" s="22">
        <f>F860+(VLOOKUP(D860,'(Semelles.Monument.€HT)'!C:G,5,FALSE()))</f>
        <v>1768</v>
      </c>
    </row>
    <row r="861" spans="1:9" ht="26" customHeight="1">
      <c r="A861" s="2" t="s">
        <v>156</v>
      </c>
      <c r="B861" s="13" t="s">
        <v>164</v>
      </c>
      <c r="C861" s="13" t="s">
        <v>128</v>
      </c>
      <c r="D861" s="13">
        <v>44</v>
      </c>
      <c r="E861" s="2" t="s">
        <v>142</v>
      </c>
      <c r="F861" s="7">
        <v>1350</v>
      </c>
      <c r="G861" s="3">
        <f>F861+(VLOOKUP(D861,'(Semelles.Monument.€HT)'!C:G,3,FALSE()))</f>
        <v>1625</v>
      </c>
      <c r="H861" s="4">
        <f>F861+(VLOOKUP(D861,'(Semelles.Monument.€HT)'!C:G,4,FALSE()))</f>
        <v>1704</v>
      </c>
      <c r="I861" s="5">
        <f>F861+(VLOOKUP(D861,'(Semelles.Monument.€HT)'!C:G,5,FALSE()))</f>
        <v>1788</v>
      </c>
    </row>
    <row r="862" spans="1:9" ht="26" customHeight="1">
      <c r="A862" s="17" t="s">
        <v>156</v>
      </c>
      <c r="B862" s="18" t="s">
        <v>164</v>
      </c>
      <c r="C862" s="18" t="s">
        <v>128</v>
      </c>
      <c r="D862" s="18">
        <v>45</v>
      </c>
      <c r="E862" s="17" t="s">
        <v>143</v>
      </c>
      <c r="F862" s="19">
        <v>1366</v>
      </c>
      <c r="G862" s="20">
        <f>F862+(VLOOKUP(D862,'(Semelles.Monument.€HT)'!C:G,3,FALSE()))</f>
        <v>1644</v>
      </c>
      <c r="H862" s="21">
        <f>F862+(VLOOKUP(D862,'(Semelles.Monument.€HT)'!C:G,4,FALSE()))</f>
        <v>1724</v>
      </c>
      <c r="I862" s="22">
        <f>F862+(VLOOKUP(D862,'(Semelles.Monument.€HT)'!C:G,5,FALSE()))</f>
        <v>1809</v>
      </c>
    </row>
    <row r="863" spans="1:9" ht="26" customHeight="1">
      <c r="A863" s="2" t="s">
        <v>156</v>
      </c>
      <c r="B863" s="13" t="s">
        <v>164</v>
      </c>
      <c r="C863" s="13" t="s">
        <v>128</v>
      </c>
      <c r="D863" s="13">
        <v>46</v>
      </c>
      <c r="E863" s="2" t="s">
        <v>144</v>
      </c>
      <c r="F863" s="7">
        <v>1366</v>
      </c>
      <c r="G863" s="3">
        <f>F863+(VLOOKUP(D863,'(Semelles.Monument.€HT)'!C:G,3,FALSE()))</f>
        <v>1644</v>
      </c>
      <c r="H863" s="4">
        <f>F863+(VLOOKUP(D863,'(Semelles.Monument.€HT)'!C:G,4,FALSE()))</f>
        <v>1724</v>
      </c>
      <c r="I863" s="5">
        <f>F863+(VLOOKUP(D863,'(Semelles.Monument.€HT)'!C:G,5,FALSE()))</f>
        <v>1809</v>
      </c>
    </row>
    <row r="864" spans="1:9" ht="26" customHeight="1">
      <c r="A864" s="17" t="s">
        <v>156</v>
      </c>
      <c r="B864" s="18" t="s">
        <v>164</v>
      </c>
      <c r="C864" s="18" t="s">
        <v>128</v>
      </c>
      <c r="D864" s="18">
        <v>47</v>
      </c>
      <c r="E864" s="17" t="s">
        <v>145</v>
      </c>
      <c r="F864" s="19">
        <v>1394</v>
      </c>
      <c r="G864" s="20">
        <f>F864+(VLOOKUP(D864,'(Semelles.Monument.€HT)'!C:G,3,FALSE()))</f>
        <v>1678</v>
      </c>
      <c r="H864" s="21">
        <f>F864+(VLOOKUP(D864,'(Semelles.Monument.€HT)'!C:G,4,FALSE()))</f>
        <v>1760</v>
      </c>
      <c r="I864" s="22">
        <f>F864+(VLOOKUP(D864,'(Semelles.Monument.€HT)'!C:G,5,FALSE()))</f>
        <v>1846</v>
      </c>
    </row>
    <row r="865" spans="1:9" ht="26" customHeight="1">
      <c r="A865" s="2" t="s">
        <v>156</v>
      </c>
      <c r="B865" s="13" t="s">
        <v>164</v>
      </c>
      <c r="C865" s="13" t="s">
        <v>128</v>
      </c>
      <c r="D865" s="13">
        <v>48</v>
      </c>
      <c r="E865" s="2" t="s">
        <v>146</v>
      </c>
      <c r="F865" s="7">
        <v>1409</v>
      </c>
      <c r="G865" s="3">
        <f>F865+(VLOOKUP(D865,'(Semelles.Monument.€HT)'!C:G,3,FALSE()))</f>
        <v>1696</v>
      </c>
      <c r="H865" s="4">
        <f>F865+(VLOOKUP(D865,'(Semelles.Monument.€HT)'!C:G,4,FALSE()))</f>
        <v>1779</v>
      </c>
      <c r="I865" s="5">
        <f>F865+(VLOOKUP(D865,'(Semelles.Monument.€HT)'!C:G,5,FALSE()))</f>
        <v>1866</v>
      </c>
    </row>
    <row r="866" spans="1:9" ht="26" customHeight="1">
      <c r="A866" s="17" t="s">
        <v>156</v>
      </c>
      <c r="B866" s="18" t="s">
        <v>165</v>
      </c>
      <c r="C866" s="18" t="s">
        <v>97</v>
      </c>
      <c r="D866" s="18">
        <v>1</v>
      </c>
      <c r="E866" s="17" t="s">
        <v>98</v>
      </c>
      <c r="F866" s="19">
        <v>930</v>
      </c>
      <c r="G866" s="20">
        <f>F866+(VLOOKUP(D866,'(Semelles.Monument.€HT)'!C:G,3,FALSE()))</f>
        <v>1088</v>
      </c>
      <c r="H866" s="21">
        <f>F866+(VLOOKUP(D866,'(Semelles.Monument.€HT)'!C:G,4,FALSE()))</f>
        <v>1134</v>
      </c>
      <c r="I866" s="22">
        <f>F866+(VLOOKUP(D866,'(Semelles.Monument.€HT)'!C:G,5,FALSE()))</f>
        <v>1182</v>
      </c>
    </row>
    <row r="867" spans="1:9" ht="26" customHeight="1">
      <c r="A867" s="2" t="s">
        <v>156</v>
      </c>
      <c r="B867" s="13" t="s">
        <v>165</v>
      </c>
      <c r="C867" s="13" t="s">
        <v>97</v>
      </c>
      <c r="D867" s="13">
        <v>2</v>
      </c>
      <c r="E867" s="2" t="s">
        <v>99</v>
      </c>
      <c r="F867" s="7">
        <v>929</v>
      </c>
      <c r="G867" s="3">
        <f>F867+(VLOOKUP(D867,'(Semelles.Monument.€HT)'!C:G,3,FALSE()))</f>
        <v>1087</v>
      </c>
      <c r="H867" s="4">
        <f>F867+(VLOOKUP(D867,'(Semelles.Monument.€HT)'!C:G,4,FALSE()))</f>
        <v>1133</v>
      </c>
      <c r="I867" s="5">
        <f>F867+(VLOOKUP(D867,'(Semelles.Monument.€HT)'!C:G,5,FALSE()))</f>
        <v>1181</v>
      </c>
    </row>
    <row r="868" spans="1:9" ht="26" customHeight="1">
      <c r="A868" s="17" t="s">
        <v>156</v>
      </c>
      <c r="B868" s="18" t="s">
        <v>165</v>
      </c>
      <c r="C868" s="18" t="s">
        <v>97</v>
      </c>
      <c r="D868" s="18">
        <v>3</v>
      </c>
      <c r="E868" s="17" t="s">
        <v>100</v>
      </c>
      <c r="F868" s="19">
        <v>1034</v>
      </c>
      <c r="G868" s="20">
        <f>F868+(VLOOKUP(D868,'(Semelles.Monument.€HT)'!C:G,3,FALSE()))</f>
        <v>1210</v>
      </c>
      <c r="H868" s="21">
        <f>F868+(VLOOKUP(D868,'(Semelles.Monument.€HT)'!C:G,4,FALSE()))</f>
        <v>1261</v>
      </c>
      <c r="I868" s="22">
        <f>F868+(VLOOKUP(D868,'(Semelles.Monument.€HT)'!C:G,5,FALSE()))</f>
        <v>1314</v>
      </c>
    </row>
    <row r="869" spans="1:9" ht="26" customHeight="1">
      <c r="A869" s="2" t="s">
        <v>156</v>
      </c>
      <c r="B869" s="13" t="s">
        <v>165</v>
      </c>
      <c r="C869" s="13" t="s">
        <v>97</v>
      </c>
      <c r="D869" s="13">
        <v>4</v>
      </c>
      <c r="E869" s="2" t="s">
        <v>101</v>
      </c>
      <c r="F869" s="7">
        <v>1051</v>
      </c>
      <c r="G869" s="3">
        <f>F869+(VLOOKUP(D869,'(Semelles.Monument.€HT)'!C:G,3,FALSE()))</f>
        <v>1230</v>
      </c>
      <c r="H869" s="4">
        <f>F869+(VLOOKUP(D869,'(Semelles.Monument.€HT)'!C:G,4,FALSE()))</f>
        <v>1282</v>
      </c>
      <c r="I869" s="5">
        <f>F869+(VLOOKUP(D869,'(Semelles.Monument.€HT)'!C:G,5,FALSE()))</f>
        <v>1336</v>
      </c>
    </row>
    <row r="870" spans="1:9" ht="26" customHeight="1">
      <c r="A870" s="17" t="s">
        <v>156</v>
      </c>
      <c r="B870" s="18" t="s">
        <v>165</v>
      </c>
      <c r="C870" s="18" t="s">
        <v>97</v>
      </c>
      <c r="D870" s="18">
        <v>5</v>
      </c>
      <c r="E870" s="17" t="s">
        <v>102</v>
      </c>
      <c r="F870" s="19">
        <v>1051</v>
      </c>
      <c r="G870" s="20">
        <f>F870+(VLOOKUP(D870,'(Semelles.Monument.€HT)'!C:G,3,FALSE()))</f>
        <v>1230</v>
      </c>
      <c r="H870" s="21">
        <f>F870+(VLOOKUP(D870,'(Semelles.Monument.€HT)'!C:G,4,FALSE()))</f>
        <v>1282</v>
      </c>
      <c r="I870" s="22">
        <f>F870+(VLOOKUP(D870,'(Semelles.Monument.€HT)'!C:G,5,FALSE()))</f>
        <v>1336</v>
      </c>
    </row>
    <row r="871" spans="1:9" ht="26" customHeight="1">
      <c r="A871" s="2" t="s">
        <v>156</v>
      </c>
      <c r="B871" s="13" t="s">
        <v>165</v>
      </c>
      <c r="C871" s="13" t="s">
        <v>97</v>
      </c>
      <c r="D871" s="13">
        <v>6</v>
      </c>
      <c r="E871" s="2" t="s">
        <v>103</v>
      </c>
      <c r="F871" s="7">
        <v>1056</v>
      </c>
      <c r="G871" s="3">
        <f>F871+(VLOOKUP(D871,'(Semelles.Monument.€HT)'!C:G,3,FALSE()))</f>
        <v>1236</v>
      </c>
      <c r="H871" s="4">
        <f>F871+(VLOOKUP(D871,'(Semelles.Monument.€HT)'!C:G,4,FALSE()))</f>
        <v>1288</v>
      </c>
      <c r="I871" s="5">
        <f>F871+(VLOOKUP(D871,'(Semelles.Monument.€HT)'!C:G,5,FALSE()))</f>
        <v>1343</v>
      </c>
    </row>
    <row r="872" spans="1:9" ht="26" customHeight="1">
      <c r="A872" s="17" t="s">
        <v>156</v>
      </c>
      <c r="B872" s="18" t="s">
        <v>165</v>
      </c>
      <c r="C872" s="18" t="s">
        <v>97</v>
      </c>
      <c r="D872" s="18">
        <v>7</v>
      </c>
      <c r="E872" s="17" t="s">
        <v>104</v>
      </c>
      <c r="F872" s="19">
        <v>1056</v>
      </c>
      <c r="G872" s="20">
        <f>F872+(VLOOKUP(D872,'(Semelles.Monument.€HT)'!C:G,3,FALSE()))</f>
        <v>1236</v>
      </c>
      <c r="H872" s="21">
        <f>F872+(VLOOKUP(D872,'(Semelles.Monument.€HT)'!C:G,4,FALSE()))</f>
        <v>1288</v>
      </c>
      <c r="I872" s="22">
        <f>F872+(VLOOKUP(D872,'(Semelles.Monument.€HT)'!C:G,5,FALSE()))</f>
        <v>1343</v>
      </c>
    </row>
    <row r="873" spans="1:9" ht="26" customHeight="1">
      <c r="A873" s="2" t="s">
        <v>156</v>
      </c>
      <c r="B873" s="13" t="s">
        <v>165</v>
      </c>
      <c r="C873" s="13" t="s">
        <v>97</v>
      </c>
      <c r="D873" s="13">
        <v>8</v>
      </c>
      <c r="E873" s="2" t="s">
        <v>105</v>
      </c>
      <c r="F873" s="7">
        <v>1056</v>
      </c>
      <c r="G873" s="3">
        <f>F873+(VLOOKUP(D873,'(Semelles.Monument.€HT)'!C:G,3,FALSE()))</f>
        <v>1236</v>
      </c>
      <c r="H873" s="4">
        <f>F873+(VLOOKUP(D873,'(Semelles.Monument.€HT)'!C:G,4,FALSE()))</f>
        <v>1288</v>
      </c>
      <c r="I873" s="5">
        <f>F873+(VLOOKUP(D873,'(Semelles.Monument.€HT)'!C:G,5,FALSE()))</f>
        <v>1343</v>
      </c>
    </row>
    <row r="874" spans="1:9" ht="26" customHeight="1">
      <c r="A874" s="17" t="s">
        <v>156</v>
      </c>
      <c r="B874" s="18" t="s">
        <v>165</v>
      </c>
      <c r="C874" s="18" t="s">
        <v>97</v>
      </c>
      <c r="D874" s="18">
        <v>9</v>
      </c>
      <c r="E874" s="17" t="s">
        <v>106</v>
      </c>
      <c r="F874" s="19">
        <v>1056</v>
      </c>
      <c r="G874" s="20">
        <f>F874+(VLOOKUP(D874,'(Semelles.Monument.€HT)'!C:G,3,FALSE()))</f>
        <v>1236</v>
      </c>
      <c r="H874" s="21">
        <f>F874+(VLOOKUP(D874,'(Semelles.Monument.€HT)'!C:G,4,FALSE()))</f>
        <v>1288</v>
      </c>
      <c r="I874" s="22">
        <f>F874+(VLOOKUP(D874,'(Semelles.Monument.€HT)'!C:G,5,FALSE()))</f>
        <v>1343</v>
      </c>
    </row>
    <row r="875" spans="1:9" ht="26" customHeight="1">
      <c r="A875" s="2" t="s">
        <v>156</v>
      </c>
      <c r="B875" s="13" t="s">
        <v>165</v>
      </c>
      <c r="C875" s="13" t="s">
        <v>97</v>
      </c>
      <c r="D875" s="13">
        <v>10</v>
      </c>
      <c r="E875" s="2" t="s">
        <v>107</v>
      </c>
      <c r="F875" s="7">
        <v>1056</v>
      </c>
      <c r="G875" s="3">
        <f>F875+(VLOOKUP(D875,'(Semelles.Monument.€HT)'!C:G,3,FALSE()))</f>
        <v>1236</v>
      </c>
      <c r="H875" s="4">
        <f>F875+(VLOOKUP(D875,'(Semelles.Monument.€HT)'!C:G,4,FALSE()))</f>
        <v>1288</v>
      </c>
      <c r="I875" s="5">
        <f>F875+(VLOOKUP(D875,'(Semelles.Monument.€HT)'!C:G,5,FALSE()))</f>
        <v>1343</v>
      </c>
    </row>
    <row r="876" spans="1:9" ht="26" customHeight="1">
      <c r="A876" s="17" t="s">
        <v>156</v>
      </c>
      <c r="B876" s="18" t="s">
        <v>165</v>
      </c>
      <c r="C876" s="18" t="s">
        <v>97</v>
      </c>
      <c r="D876" s="18">
        <v>11</v>
      </c>
      <c r="E876" s="17" t="s">
        <v>108</v>
      </c>
      <c r="F876" s="19">
        <v>1056</v>
      </c>
      <c r="G876" s="20">
        <f>F876+(VLOOKUP(D876,'(Semelles.Monument.€HT)'!C:G,3,FALSE()))</f>
        <v>1236</v>
      </c>
      <c r="H876" s="21">
        <f>F876+(VLOOKUP(D876,'(Semelles.Monument.€HT)'!C:G,4,FALSE()))</f>
        <v>1288</v>
      </c>
      <c r="I876" s="22">
        <f>F876+(VLOOKUP(D876,'(Semelles.Monument.€HT)'!C:G,5,FALSE()))</f>
        <v>1343</v>
      </c>
    </row>
    <row r="877" spans="1:9" ht="26" customHeight="1">
      <c r="A877" s="2" t="s">
        <v>156</v>
      </c>
      <c r="B877" s="13" t="s">
        <v>165</v>
      </c>
      <c r="C877" s="13" t="s">
        <v>97</v>
      </c>
      <c r="D877" s="13">
        <v>12</v>
      </c>
      <c r="E877" s="2" t="s">
        <v>109</v>
      </c>
      <c r="F877" s="7">
        <v>1071</v>
      </c>
      <c r="G877" s="3">
        <f>F877+(VLOOKUP(D877,'(Semelles.Monument.€HT)'!C:G,3,FALSE()))</f>
        <v>1253</v>
      </c>
      <c r="H877" s="4">
        <f>F877+(VLOOKUP(D877,'(Semelles.Monument.€HT)'!C:G,4,FALSE()))</f>
        <v>1306</v>
      </c>
      <c r="I877" s="5">
        <f>F877+(VLOOKUP(D877,'(Semelles.Monument.€HT)'!C:G,5,FALSE()))</f>
        <v>1362</v>
      </c>
    </row>
    <row r="878" spans="1:9" ht="26" customHeight="1">
      <c r="A878" s="17" t="s">
        <v>156</v>
      </c>
      <c r="B878" s="18" t="s">
        <v>165</v>
      </c>
      <c r="C878" s="18" t="s">
        <v>97</v>
      </c>
      <c r="D878" s="18">
        <v>13</v>
      </c>
      <c r="E878" s="17" t="s">
        <v>110</v>
      </c>
      <c r="F878" s="19">
        <v>1071</v>
      </c>
      <c r="G878" s="20">
        <f>F878+(VLOOKUP(D878,'(Semelles.Monument.€HT)'!C:G,3,FALSE()))</f>
        <v>1253</v>
      </c>
      <c r="H878" s="21">
        <f>F878+(VLOOKUP(D878,'(Semelles.Monument.€HT)'!C:G,4,FALSE()))</f>
        <v>1306</v>
      </c>
      <c r="I878" s="22">
        <f>F878+(VLOOKUP(D878,'(Semelles.Monument.€HT)'!C:G,5,FALSE()))</f>
        <v>1362</v>
      </c>
    </row>
    <row r="879" spans="1:9" ht="26" customHeight="1">
      <c r="A879" s="2" t="s">
        <v>156</v>
      </c>
      <c r="B879" s="13" t="s">
        <v>165</v>
      </c>
      <c r="C879" s="13" t="s">
        <v>97</v>
      </c>
      <c r="D879" s="13">
        <v>14</v>
      </c>
      <c r="E879" s="2" t="s">
        <v>111</v>
      </c>
      <c r="F879" s="7">
        <v>1075</v>
      </c>
      <c r="G879" s="3">
        <f>F879+(VLOOKUP(D879,'(Semelles.Monument.€HT)'!C:G,3,FALSE()))</f>
        <v>1258</v>
      </c>
      <c r="H879" s="4">
        <f>F879+(VLOOKUP(D879,'(Semelles.Monument.€HT)'!C:G,4,FALSE()))</f>
        <v>1311</v>
      </c>
      <c r="I879" s="5">
        <f>F879+(VLOOKUP(D879,'(Semelles.Monument.€HT)'!C:G,5,FALSE()))</f>
        <v>1367</v>
      </c>
    </row>
    <row r="880" spans="1:9" ht="26" customHeight="1">
      <c r="A880" s="17" t="s">
        <v>156</v>
      </c>
      <c r="B880" s="18" t="s">
        <v>165</v>
      </c>
      <c r="C880" s="18" t="s">
        <v>97</v>
      </c>
      <c r="D880" s="18">
        <v>15</v>
      </c>
      <c r="E880" s="17" t="s">
        <v>112</v>
      </c>
      <c r="F880" s="19">
        <v>1075</v>
      </c>
      <c r="G880" s="20">
        <f>F880+(VLOOKUP(D880,'(Semelles.Monument.€HT)'!C:G,3,FALSE()))</f>
        <v>1258</v>
      </c>
      <c r="H880" s="21">
        <f>F880+(VLOOKUP(D880,'(Semelles.Monument.€HT)'!C:G,4,FALSE()))</f>
        <v>1311</v>
      </c>
      <c r="I880" s="22">
        <f>F880+(VLOOKUP(D880,'(Semelles.Monument.€HT)'!C:G,5,FALSE()))</f>
        <v>1367</v>
      </c>
    </row>
    <row r="881" spans="1:9" ht="26" customHeight="1">
      <c r="A881" s="2" t="s">
        <v>156</v>
      </c>
      <c r="B881" s="13" t="s">
        <v>165</v>
      </c>
      <c r="C881" s="13" t="s">
        <v>97</v>
      </c>
      <c r="D881" s="13">
        <v>16</v>
      </c>
      <c r="E881" s="2" t="s">
        <v>113</v>
      </c>
      <c r="F881" s="7">
        <v>1075</v>
      </c>
      <c r="G881" s="3">
        <f>F881+(VLOOKUP(D881,'(Semelles.Monument.€HT)'!C:G,3,FALSE()))</f>
        <v>1258</v>
      </c>
      <c r="H881" s="4">
        <f>F881+(VLOOKUP(D881,'(Semelles.Monument.€HT)'!C:G,4,FALSE()))</f>
        <v>1311</v>
      </c>
      <c r="I881" s="5">
        <f>F881+(VLOOKUP(D881,'(Semelles.Monument.€HT)'!C:G,5,FALSE()))</f>
        <v>1367</v>
      </c>
    </row>
    <row r="882" spans="1:9" ht="26" customHeight="1">
      <c r="A882" s="17" t="s">
        <v>156</v>
      </c>
      <c r="B882" s="18" t="s">
        <v>165</v>
      </c>
      <c r="C882" s="18" t="s">
        <v>97</v>
      </c>
      <c r="D882" s="18">
        <v>17</v>
      </c>
      <c r="E882" s="17" t="s">
        <v>114</v>
      </c>
      <c r="F882" s="19">
        <v>1093</v>
      </c>
      <c r="G882" s="20">
        <f>F882+(VLOOKUP(D882,'(Semelles.Monument.€HT)'!C:G,3,FALSE()))</f>
        <v>1279</v>
      </c>
      <c r="H882" s="21">
        <f>F882+(VLOOKUP(D882,'(Semelles.Monument.€HT)'!C:G,4,FALSE()))</f>
        <v>1333</v>
      </c>
      <c r="I882" s="22">
        <f>F882+(VLOOKUP(D882,'(Semelles.Monument.€HT)'!C:G,5,FALSE()))</f>
        <v>1390</v>
      </c>
    </row>
    <row r="883" spans="1:9" ht="26" customHeight="1">
      <c r="A883" s="2" t="s">
        <v>156</v>
      </c>
      <c r="B883" s="13" t="s">
        <v>165</v>
      </c>
      <c r="C883" s="13" t="s">
        <v>97</v>
      </c>
      <c r="D883" s="13">
        <v>18</v>
      </c>
      <c r="E883" s="2" t="s">
        <v>115</v>
      </c>
      <c r="F883" s="7">
        <v>1093</v>
      </c>
      <c r="G883" s="3">
        <f>F883+(VLOOKUP(D883,'(Semelles.Monument.€HT)'!C:G,3,FALSE()))</f>
        <v>1279</v>
      </c>
      <c r="H883" s="4">
        <f>F883+(VLOOKUP(D883,'(Semelles.Monument.€HT)'!C:G,4,FALSE()))</f>
        <v>1333</v>
      </c>
      <c r="I883" s="5">
        <f>F883+(VLOOKUP(D883,'(Semelles.Monument.€HT)'!C:G,5,FALSE()))</f>
        <v>1390</v>
      </c>
    </row>
    <row r="884" spans="1:9" ht="26" customHeight="1">
      <c r="A884" s="17" t="s">
        <v>156</v>
      </c>
      <c r="B884" s="18" t="s">
        <v>165</v>
      </c>
      <c r="C884" s="18" t="s">
        <v>97</v>
      </c>
      <c r="D884" s="18">
        <v>19</v>
      </c>
      <c r="E884" s="17" t="s">
        <v>116</v>
      </c>
      <c r="F884" s="19">
        <v>1093</v>
      </c>
      <c r="G884" s="20">
        <f>F884+(VLOOKUP(D884,'(Semelles.Monument.€HT)'!C:G,3,FALSE()))</f>
        <v>1279</v>
      </c>
      <c r="H884" s="21">
        <f>F884+(VLOOKUP(D884,'(Semelles.Monument.€HT)'!C:G,4,FALSE()))</f>
        <v>1333</v>
      </c>
      <c r="I884" s="22">
        <f>F884+(VLOOKUP(D884,'(Semelles.Monument.€HT)'!C:G,5,FALSE()))</f>
        <v>1390</v>
      </c>
    </row>
    <row r="885" spans="1:9" ht="26" customHeight="1">
      <c r="A885" s="2" t="s">
        <v>156</v>
      </c>
      <c r="B885" s="13" t="s">
        <v>165</v>
      </c>
      <c r="C885" s="13" t="s">
        <v>97</v>
      </c>
      <c r="D885" s="13">
        <v>20</v>
      </c>
      <c r="E885" s="2" t="s">
        <v>117</v>
      </c>
      <c r="F885" s="7">
        <v>1102</v>
      </c>
      <c r="G885" s="3">
        <f>F885+(VLOOKUP(D885,'(Semelles.Monument.€HT)'!C:G,3,FALSE()))</f>
        <v>1290</v>
      </c>
      <c r="H885" s="4">
        <f>F885+(VLOOKUP(D885,'(Semelles.Monument.€HT)'!C:G,4,FALSE()))</f>
        <v>1344</v>
      </c>
      <c r="I885" s="5">
        <f>F885+(VLOOKUP(D885,'(Semelles.Monument.€HT)'!C:G,5,FALSE()))</f>
        <v>1401</v>
      </c>
    </row>
    <row r="886" spans="1:9" ht="26" customHeight="1">
      <c r="A886" s="17" t="s">
        <v>156</v>
      </c>
      <c r="B886" s="18" t="s">
        <v>165</v>
      </c>
      <c r="C886" s="18" t="s">
        <v>97</v>
      </c>
      <c r="D886" s="18">
        <v>21</v>
      </c>
      <c r="E886" s="17" t="s">
        <v>118</v>
      </c>
      <c r="F886" s="19">
        <v>1109</v>
      </c>
      <c r="G886" s="20">
        <f>F886+(VLOOKUP(D886,'(Semelles.Monument.€HT)'!C:G,3,FALSE()))</f>
        <v>1298</v>
      </c>
      <c r="H886" s="21">
        <f>F886+(VLOOKUP(D886,'(Semelles.Monument.€HT)'!C:G,4,FALSE()))</f>
        <v>1352</v>
      </c>
      <c r="I886" s="22">
        <f>F886+(VLOOKUP(D886,'(Semelles.Monument.€HT)'!C:G,5,FALSE()))</f>
        <v>1410</v>
      </c>
    </row>
    <row r="887" spans="1:9" ht="26" customHeight="1">
      <c r="A887" s="2" t="s">
        <v>156</v>
      </c>
      <c r="B887" s="13" t="s">
        <v>165</v>
      </c>
      <c r="C887" s="13" t="s">
        <v>97</v>
      </c>
      <c r="D887" s="13">
        <v>22</v>
      </c>
      <c r="E887" s="2" t="s">
        <v>119</v>
      </c>
      <c r="F887" s="7">
        <v>1109</v>
      </c>
      <c r="G887" s="3">
        <f>F887+(VLOOKUP(D887,'(Semelles.Monument.€HT)'!C:G,3,FALSE()))</f>
        <v>1298</v>
      </c>
      <c r="H887" s="4">
        <f>F887+(VLOOKUP(D887,'(Semelles.Monument.€HT)'!C:G,4,FALSE()))</f>
        <v>1352</v>
      </c>
      <c r="I887" s="5">
        <f>F887+(VLOOKUP(D887,'(Semelles.Monument.€HT)'!C:G,5,FALSE()))</f>
        <v>1410</v>
      </c>
    </row>
    <row r="888" spans="1:9" ht="26" customHeight="1">
      <c r="A888" s="17" t="s">
        <v>156</v>
      </c>
      <c r="B888" s="18" t="s">
        <v>165</v>
      </c>
      <c r="C888" s="18" t="s">
        <v>97</v>
      </c>
      <c r="D888" s="18">
        <v>23</v>
      </c>
      <c r="E888" s="17" t="s">
        <v>120</v>
      </c>
      <c r="F888" s="19">
        <v>1126</v>
      </c>
      <c r="G888" s="20">
        <f>F888+(VLOOKUP(D888,'(Semelles.Monument.€HT)'!C:G,3,FALSE()))</f>
        <v>1318</v>
      </c>
      <c r="H888" s="21">
        <f>F888+(VLOOKUP(D888,'(Semelles.Monument.€HT)'!C:G,4,FALSE()))</f>
        <v>1373</v>
      </c>
      <c r="I888" s="22">
        <f>F888+(VLOOKUP(D888,'(Semelles.Monument.€HT)'!C:G,5,FALSE()))</f>
        <v>1431</v>
      </c>
    </row>
    <row r="889" spans="1:9" ht="26" customHeight="1">
      <c r="A889" s="2" t="s">
        <v>156</v>
      </c>
      <c r="B889" s="13" t="s">
        <v>165</v>
      </c>
      <c r="C889" s="13" t="s">
        <v>97</v>
      </c>
      <c r="D889" s="13">
        <v>24</v>
      </c>
      <c r="E889" s="2" t="s">
        <v>121</v>
      </c>
      <c r="F889" s="7">
        <v>1126</v>
      </c>
      <c r="G889" s="3">
        <f>F889+(VLOOKUP(D889,'(Semelles.Monument.€HT)'!C:G,3,FALSE()))</f>
        <v>1318</v>
      </c>
      <c r="H889" s="4">
        <f>F889+(VLOOKUP(D889,'(Semelles.Monument.€HT)'!C:G,4,FALSE()))</f>
        <v>1373</v>
      </c>
      <c r="I889" s="5">
        <f>F889+(VLOOKUP(D889,'(Semelles.Monument.€HT)'!C:G,5,FALSE()))</f>
        <v>1431</v>
      </c>
    </row>
    <row r="890" spans="1:9" ht="26" customHeight="1">
      <c r="A890" s="17" t="s">
        <v>156</v>
      </c>
      <c r="B890" s="18" t="s">
        <v>165</v>
      </c>
      <c r="C890" s="18" t="s">
        <v>97</v>
      </c>
      <c r="D890" s="18">
        <v>25</v>
      </c>
      <c r="E890" s="17" t="s">
        <v>122</v>
      </c>
      <c r="F890" s="19">
        <v>1126</v>
      </c>
      <c r="G890" s="20">
        <f>F890+(VLOOKUP(D890,'(Semelles.Monument.€HT)'!C:G,3,FALSE()))</f>
        <v>1318</v>
      </c>
      <c r="H890" s="21">
        <f>F890+(VLOOKUP(D890,'(Semelles.Monument.€HT)'!C:G,4,FALSE()))</f>
        <v>1373</v>
      </c>
      <c r="I890" s="22">
        <f>F890+(VLOOKUP(D890,'(Semelles.Monument.€HT)'!C:G,5,FALSE()))</f>
        <v>1431</v>
      </c>
    </row>
    <row r="891" spans="1:9" ht="26" customHeight="1">
      <c r="A891" s="2" t="s">
        <v>156</v>
      </c>
      <c r="B891" s="13" t="s">
        <v>165</v>
      </c>
      <c r="C891" s="13" t="s">
        <v>97</v>
      </c>
      <c r="D891" s="13">
        <v>26</v>
      </c>
      <c r="E891" s="2" t="s">
        <v>123</v>
      </c>
      <c r="F891" s="7">
        <v>1145</v>
      </c>
      <c r="G891" s="3">
        <f>F891+(VLOOKUP(D891,'(Semelles.Monument.€HT)'!C:G,3,FALSE()))</f>
        <v>1340</v>
      </c>
      <c r="H891" s="4">
        <f>F891+(VLOOKUP(D891,'(Semelles.Monument.€HT)'!C:G,4,FALSE()))</f>
        <v>1396</v>
      </c>
      <c r="I891" s="5">
        <f>F891+(VLOOKUP(D891,'(Semelles.Monument.€HT)'!C:G,5,FALSE()))</f>
        <v>1455</v>
      </c>
    </row>
    <row r="892" spans="1:9" ht="26" customHeight="1">
      <c r="A892" s="17" t="s">
        <v>156</v>
      </c>
      <c r="B892" s="18" t="s">
        <v>165</v>
      </c>
      <c r="C892" s="18" t="s">
        <v>97</v>
      </c>
      <c r="D892" s="18">
        <v>27</v>
      </c>
      <c r="E892" s="17" t="s">
        <v>124</v>
      </c>
      <c r="F892" s="19">
        <v>1220</v>
      </c>
      <c r="G892" s="20">
        <f>F892+(VLOOKUP(D892,'(Semelles.Monument.€HT)'!C:G,3,FALSE()))</f>
        <v>1428</v>
      </c>
      <c r="H892" s="21">
        <f>F892+(VLOOKUP(D892,'(Semelles.Monument.€HT)'!C:G,4,FALSE()))</f>
        <v>1488</v>
      </c>
      <c r="I892" s="22">
        <f>F892+(VLOOKUP(D892,'(Semelles.Monument.€HT)'!C:G,5,FALSE()))</f>
        <v>1587</v>
      </c>
    </row>
    <row r="893" spans="1:9" ht="26" customHeight="1">
      <c r="A893" s="2" t="s">
        <v>156</v>
      </c>
      <c r="B893" s="13" t="s">
        <v>165</v>
      </c>
      <c r="C893" s="13" t="s">
        <v>97</v>
      </c>
      <c r="D893" s="13">
        <v>28</v>
      </c>
      <c r="E893" s="2" t="s">
        <v>125</v>
      </c>
      <c r="F893" s="7">
        <v>1351</v>
      </c>
      <c r="G893" s="3">
        <f>F893+(VLOOKUP(D893,'(Semelles.Monument.€HT)'!C:G,3,FALSE()))</f>
        <v>1581</v>
      </c>
      <c r="H893" s="4">
        <f>F893+(VLOOKUP(D893,'(Semelles.Monument.€HT)'!C:G,4,FALSE()))</f>
        <v>1648</v>
      </c>
      <c r="I893" s="5">
        <f>F893+(VLOOKUP(D893,'(Semelles.Monument.€HT)'!C:G,5,FALSE()))</f>
        <v>1718</v>
      </c>
    </row>
    <row r="894" spans="1:9" ht="26" customHeight="1">
      <c r="A894" s="17" t="s">
        <v>156</v>
      </c>
      <c r="B894" s="18" t="s">
        <v>165</v>
      </c>
      <c r="C894" s="18" t="s">
        <v>97</v>
      </c>
      <c r="D894" s="18">
        <v>29</v>
      </c>
      <c r="E894" s="17" t="s">
        <v>126</v>
      </c>
      <c r="F894" s="19">
        <v>1408</v>
      </c>
      <c r="G894" s="20">
        <f>F894+(VLOOKUP(D894,'(Semelles.Monument.€HT)'!C:G,3,FALSE()))</f>
        <v>1648</v>
      </c>
      <c r="H894" s="21">
        <f>F894+(VLOOKUP(D894,'(Semelles.Monument.€HT)'!C:G,4,FALSE()))</f>
        <v>1717</v>
      </c>
      <c r="I894" s="22">
        <f>F894+(VLOOKUP(D894,'(Semelles.Monument.€HT)'!C:G,5,FALSE()))</f>
        <v>1790</v>
      </c>
    </row>
    <row r="895" spans="1:9" ht="26" customHeight="1">
      <c r="A895" s="2" t="s">
        <v>156</v>
      </c>
      <c r="B895" s="13" t="s">
        <v>165</v>
      </c>
      <c r="C895" s="13" t="s">
        <v>97</v>
      </c>
      <c r="D895" s="13">
        <v>30</v>
      </c>
      <c r="E895" s="2" t="s">
        <v>127</v>
      </c>
      <c r="F895" s="7">
        <v>1408</v>
      </c>
      <c r="G895" s="3">
        <f>F895+(VLOOKUP(D895,'(Semelles.Monument.€HT)'!C:G,3,FALSE()))</f>
        <v>1648</v>
      </c>
      <c r="H895" s="4">
        <f>F895+(VLOOKUP(D895,'(Semelles.Monument.€HT)'!C:G,4,FALSE()))</f>
        <v>1717</v>
      </c>
      <c r="I895" s="5">
        <f>F895+(VLOOKUP(D895,'(Semelles.Monument.€HT)'!C:G,5,FALSE()))</f>
        <v>1790</v>
      </c>
    </row>
    <row r="896" spans="1:9" ht="26" customHeight="1">
      <c r="A896" s="17" t="s">
        <v>156</v>
      </c>
      <c r="B896" s="18" t="s">
        <v>165</v>
      </c>
      <c r="C896" s="18" t="s">
        <v>128</v>
      </c>
      <c r="D896" s="18">
        <v>31</v>
      </c>
      <c r="E896" s="17" t="s">
        <v>129</v>
      </c>
      <c r="F896" s="19">
        <v>855</v>
      </c>
      <c r="G896" s="20">
        <f>F896+(VLOOKUP(D896,'(Semelles.Monument.€HT)'!C:G,3,FALSE()))</f>
        <v>987</v>
      </c>
      <c r="H896" s="21">
        <f>F896+(VLOOKUP(D896,'(Semelles.Monument.€HT)'!C:G,4,FALSE()))</f>
        <v>1025</v>
      </c>
      <c r="I896" s="22">
        <f>F896+(VLOOKUP(D896,'(Semelles.Monument.€HT)'!C:G,5,FALSE()))</f>
        <v>1065</v>
      </c>
    </row>
    <row r="897" spans="1:9" ht="26" customHeight="1">
      <c r="A897" s="2" t="s">
        <v>156</v>
      </c>
      <c r="B897" s="13" t="s">
        <v>165</v>
      </c>
      <c r="C897" s="13" t="s">
        <v>128</v>
      </c>
      <c r="D897" s="13">
        <v>32</v>
      </c>
      <c r="E897" s="2" t="s">
        <v>130</v>
      </c>
      <c r="F897" s="7">
        <v>866</v>
      </c>
      <c r="G897" s="3">
        <f>F897+(VLOOKUP(D897,'(Semelles.Monument.€HT)'!C:G,3,FALSE()))</f>
        <v>1000</v>
      </c>
      <c r="H897" s="4">
        <f>F897+(VLOOKUP(D897,'(Semelles.Monument.€HT)'!C:G,4,FALSE()))</f>
        <v>1039</v>
      </c>
      <c r="I897" s="5">
        <f>F897+(VLOOKUP(D897,'(Semelles.Monument.€HT)'!C:G,5,FALSE()))</f>
        <v>1079</v>
      </c>
    </row>
    <row r="898" spans="1:9" ht="26" customHeight="1">
      <c r="A898" s="17" t="s">
        <v>156</v>
      </c>
      <c r="B898" s="18" t="s">
        <v>165</v>
      </c>
      <c r="C898" s="18" t="s">
        <v>128</v>
      </c>
      <c r="D898" s="18">
        <v>33</v>
      </c>
      <c r="E898" s="17" t="s">
        <v>131</v>
      </c>
      <c r="F898" s="19">
        <v>866</v>
      </c>
      <c r="G898" s="20">
        <f>F898+(VLOOKUP(D898,'(Semelles.Monument.€HT)'!C:G,3,FALSE()))</f>
        <v>1000</v>
      </c>
      <c r="H898" s="21">
        <f>F898+(VLOOKUP(D898,'(Semelles.Monument.€HT)'!C:G,4,FALSE()))</f>
        <v>1039</v>
      </c>
      <c r="I898" s="22">
        <f>F898+(VLOOKUP(D898,'(Semelles.Monument.€HT)'!C:G,5,FALSE()))</f>
        <v>1079</v>
      </c>
    </row>
    <row r="899" spans="1:9" ht="26" customHeight="1">
      <c r="A899" s="2" t="s">
        <v>156</v>
      </c>
      <c r="B899" s="13" t="s">
        <v>165</v>
      </c>
      <c r="C899" s="13" t="s">
        <v>128</v>
      </c>
      <c r="D899" s="13">
        <v>34</v>
      </c>
      <c r="E899" s="2" t="s">
        <v>132</v>
      </c>
      <c r="F899" s="7">
        <v>874</v>
      </c>
      <c r="G899" s="3">
        <f>F899+(VLOOKUP(D899,'(Semelles.Monument.€HT)'!C:G,3,FALSE()))</f>
        <v>1009</v>
      </c>
      <c r="H899" s="4">
        <f>F899+(VLOOKUP(D899,'(Semelles.Monument.€HT)'!C:G,4,FALSE()))</f>
        <v>1048</v>
      </c>
      <c r="I899" s="5">
        <f>F899+(VLOOKUP(D899,'(Semelles.Monument.€HT)'!C:G,5,FALSE()))</f>
        <v>1089</v>
      </c>
    </row>
    <row r="900" spans="1:9" ht="26" customHeight="1">
      <c r="A900" s="17" t="s">
        <v>156</v>
      </c>
      <c r="B900" s="18" t="s">
        <v>165</v>
      </c>
      <c r="C900" s="18" t="s">
        <v>128</v>
      </c>
      <c r="D900" s="18">
        <v>35</v>
      </c>
      <c r="E900" s="17" t="s">
        <v>133</v>
      </c>
      <c r="F900" s="19">
        <v>1035</v>
      </c>
      <c r="G900" s="20">
        <f>F900+(VLOOKUP(D900,'(Semelles.Monument.€HT)'!C:G,3,FALSE()))</f>
        <v>1198</v>
      </c>
      <c r="H900" s="21">
        <f>F900+(VLOOKUP(D900,'(Semelles.Monument.€HT)'!C:G,4,FALSE()))</f>
        <v>1245</v>
      </c>
      <c r="I900" s="22">
        <f>F900+(VLOOKUP(D900,'(Semelles.Monument.€HT)'!C:G,5,FALSE()))</f>
        <v>1294</v>
      </c>
    </row>
    <row r="901" spans="1:9" ht="26" customHeight="1">
      <c r="A901" s="2" t="s">
        <v>156</v>
      </c>
      <c r="B901" s="13" t="s">
        <v>165</v>
      </c>
      <c r="C901" s="13" t="s">
        <v>128</v>
      </c>
      <c r="D901" s="13">
        <v>36</v>
      </c>
      <c r="E901" s="2" t="s">
        <v>134</v>
      </c>
      <c r="F901" s="7">
        <v>1069</v>
      </c>
      <c r="G901" s="3">
        <f>F901+(VLOOKUP(D901,'(Semelles.Monument.€HT)'!C:G,3,FALSE()))</f>
        <v>1237</v>
      </c>
      <c r="H901" s="4">
        <f>F901+(VLOOKUP(D901,'(Semelles.Monument.€HT)'!C:G,4,FALSE()))</f>
        <v>1286</v>
      </c>
      <c r="I901" s="5">
        <f>F901+(VLOOKUP(D901,'(Semelles.Monument.€HT)'!C:G,5,FALSE()))</f>
        <v>1337</v>
      </c>
    </row>
    <row r="902" spans="1:9" ht="26" customHeight="1">
      <c r="A902" s="17" t="s">
        <v>156</v>
      </c>
      <c r="B902" s="18" t="s">
        <v>165</v>
      </c>
      <c r="C902" s="18" t="s">
        <v>128</v>
      </c>
      <c r="D902" s="18">
        <v>37</v>
      </c>
      <c r="E902" s="17" t="s">
        <v>135</v>
      </c>
      <c r="F902" s="19">
        <v>1302</v>
      </c>
      <c r="G902" s="20">
        <f>F902+(VLOOKUP(D902,'(Semelles.Monument.€HT)'!C:G,3,FALSE()))</f>
        <v>1510</v>
      </c>
      <c r="H902" s="21">
        <f>F902+(VLOOKUP(D902,'(Semelles.Monument.€HT)'!C:G,4,FALSE()))</f>
        <v>1570</v>
      </c>
      <c r="I902" s="22">
        <f>F902+(VLOOKUP(D902,'(Semelles.Monument.€HT)'!C:G,5,FALSE()))</f>
        <v>1634</v>
      </c>
    </row>
    <row r="903" spans="1:9" ht="26" customHeight="1">
      <c r="A903" s="2" t="s">
        <v>156</v>
      </c>
      <c r="B903" s="13" t="s">
        <v>165</v>
      </c>
      <c r="C903" s="13" t="s">
        <v>128</v>
      </c>
      <c r="D903" s="13">
        <v>38</v>
      </c>
      <c r="E903" s="2" t="s">
        <v>136</v>
      </c>
      <c r="F903" s="7">
        <v>1374</v>
      </c>
      <c r="G903" s="3">
        <f>F903+(VLOOKUP(D903,'(Semelles.Monument.€HT)'!C:G,3,FALSE()))</f>
        <v>1594</v>
      </c>
      <c r="H903" s="4">
        <f>F903+(VLOOKUP(D903,'(Semelles.Monument.€HT)'!C:G,4,FALSE()))</f>
        <v>1658</v>
      </c>
      <c r="I903" s="5">
        <f>F903+(VLOOKUP(D903,'(Semelles.Monument.€HT)'!C:G,5,FALSE()))</f>
        <v>1725</v>
      </c>
    </row>
    <row r="904" spans="1:9" ht="26" customHeight="1">
      <c r="A904" s="17" t="s">
        <v>156</v>
      </c>
      <c r="B904" s="18" t="s">
        <v>165</v>
      </c>
      <c r="C904" s="18" t="s">
        <v>128</v>
      </c>
      <c r="D904" s="18">
        <v>39</v>
      </c>
      <c r="E904" s="17" t="s">
        <v>137</v>
      </c>
      <c r="F904" s="19">
        <v>1408</v>
      </c>
      <c r="G904" s="20">
        <f>F904+(VLOOKUP(D904,'(Semelles.Monument.€HT)'!C:G,3,FALSE()))</f>
        <v>1634</v>
      </c>
      <c r="H904" s="21">
        <f>F904+(VLOOKUP(D904,'(Semelles.Monument.€HT)'!C:G,4,FALSE()))</f>
        <v>1699</v>
      </c>
      <c r="I904" s="22">
        <f>F904+(VLOOKUP(D904,'(Semelles.Monument.€HT)'!C:G,5,FALSE()))</f>
        <v>1768</v>
      </c>
    </row>
    <row r="905" spans="1:9" ht="26" customHeight="1">
      <c r="A905" s="2" t="s">
        <v>156</v>
      </c>
      <c r="B905" s="13" t="s">
        <v>165</v>
      </c>
      <c r="C905" s="13" t="s">
        <v>128</v>
      </c>
      <c r="D905" s="13">
        <v>40</v>
      </c>
      <c r="E905" s="2" t="s">
        <v>138</v>
      </c>
      <c r="F905" s="7">
        <v>1445</v>
      </c>
      <c r="G905" s="3">
        <f>F905+(VLOOKUP(D905,'(Semelles.Monument.€HT)'!C:G,3,FALSE()))</f>
        <v>1677</v>
      </c>
      <c r="H905" s="4">
        <f>F905+(VLOOKUP(D905,'(Semelles.Monument.€HT)'!C:G,4,FALSE()))</f>
        <v>1745</v>
      </c>
      <c r="I905" s="5">
        <f>F905+(VLOOKUP(D905,'(Semelles.Monument.€HT)'!C:G,5,FALSE()))</f>
        <v>1815</v>
      </c>
    </row>
    <row r="906" spans="1:9" ht="26" customHeight="1">
      <c r="A906" s="17" t="s">
        <v>156</v>
      </c>
      <c r="B906" s="18" t="s">
        <v>165</v>
      </c>
      <c r="C906" s="18" t="s">
        <v>128</v>
      </c>
      <c r="D906" s="18">
        <v>41</v>
      </c>
      <c r="E906" s="17" t="s">
        <v>139</v>
      </c>
      <c r="F906" s="19">
        <v>1532</v>
      </c>
      <c r="G906" s="20">
        <f>F906+(VLOOKUP(D906,'(Semelles.Monument.€HT)'!C:G,3,FALSE()))</f>
        <v>1779</v>
      </c>
      <c r="H906" s="21">
        <f>F906+(VLOOKUP(D906,'(Semelles.Monument.€HT)'!C:G,4,FALSE()))</f>
        <v>1851</v>
      </c>
      <c r="I906" s="22">
        <f>F906+(VLOOKUP(D906,'(Semelles.Monument.€HT)'!C:G,5,FALSE()))</f>
        <v>1926</v>
      </c>
    </row>
    <row r="907" spans="1:9" ht="26" customHeight="1">
      <c r="A907" s="2" t="s">
        <v>156</v>
      </c>
      <c r="B907" s="13" t="s">
        <v>165</v>
      </c>
      <c r="C907" s="13" t="s">
        <v>128</v>
      </c>
      <c r="D907" s="13">
        <v>42</v>
      </c>
      <c r="E907" s="2" t="s">
        <v>140</v>
      </c>
      <c r="F907" s="7">
        <v>1675</v>
      </c>
      <c r="G907" s="3">
        <f>F907+(VLOOKUP(D907,'(Semelles.Monument.€HT)'!C:G,3,FALSE()))</f>
        <v>1946</v>
      </c>
      <c r="H907" s="4">
        <f>F907+(VLOOKUP(D907,'(Semelles.Monument.€HT)'!C:G,4,FALSE()))</f>
        <v>2025</v>
      </c>
      <c r="I907" s="5">
        <f>F907+(VLOOKUP(D907,'(Semelles.Monument.€HT)'!C:G,5,FALSE()))</f>
        <v>2108</v>
      </c>
    </row>
    <row r="908" spans="1:9" ht="26" customHeight="1">
      <c r="A908" s="17" t="s">
        <v>156</v>
      </c>
      <c r="B908" s="18" t="s">
        <v>165</v>
      </c>
      <c r="C908" s="18" t="s">
        <v>128</v>
      </c>
      <c r="D908" s="18">
        <v>43</v>
      </c>
      <c r="E908" s="17" t="s">
        <v>141</v>
      </c>
      <c r="F908" s="19">
        <v>1675</v>
      </c>
      <c r="G908" s="20">
        <f>F908+(VLOOKUP(D908,'(Semelles.Monument.€HT)'!C:G,3,FALSE()))</f>
        <v>1946</v>
      </c>
      <c r="H908" s="21">
        <f>F908+(VLOOKUP(D908,'(Semelles.Monument.€HT)'!C:G,4,FALSE()))</f>
        <v>2025</v>
      </c>
      <c r="I908" s="22">
        <f>F908+(VLOOKUP(D908,'(Semelles.Monument.€HT)'!C:G,5,FALSE()))</f>
        <v>2108</v>
      </c>
    </row>
    <row r="909" spans="1:9" ht="26" customHeight="1">
      <c r="A909" s="2" t="s">
        <v>156</v>
      </c>
      <c r="B909" s="13" t="s">
        <v>165</v>
      </c>
      <c r="C909" s="13" t="s">
        <v>128</v>
      </c>
      <c r="D909" s="13">
        <v>44</v>
      </c>
      <c r="E909" s="2" t="s">
        <v>142</v>
      </c>
      <c r="F909" s="7">
        <v>1693</v>
      </c>
      <c r="G909" s="3">
        <f>F909+(VLOOKUP(D909,'(Semelles.Monument.€HT)'!C:G,3,FALSE()))</f>
        <v>1968</v>
      </c>
      <c r="H909" s="4">
        <f>F909+(VLOOKUP(D909,'(Semelles.Monument.€HT)'!C:G,4,FALSE()))</f>
        <v>2047</v>
      </c>
      <c r="I909" s="5">
        <f>F909+(VLOOKUP(D909,'(Semelles.Monument.€HT)'!C:G,5,FALSE()))</f>
        <v>2131</v>
      </c>
    </row>
    <row r="910" spans="1:9" ht="26" customHeight="1">
      <c r="A910" s="17" t="s">
        <v>156</v>
      </c>
      <c r="B910" s="18" t="s">
        <v>165</v>
      </c>
      <c r="C910" s="18" t="s">
        <v>128</v>
      </c>
      <c r="D910" s="18">
        <v>45</v>
      </c>
      <c r="E910" s="17" t="s">
        <v>143</v>
      </c>
      <c r="F910" s="19">
        <v>1712</v>
      </c>
      <c r="G910" s="20">
        <f>F910+(VLOOKUP(D910,'(Semelles.Monument.€HT)'!C:G,3,FALSE()))</f>
        <v>1990</v>
      </c>
      <c r="H910" s="21">
        <f>F910+(VLOOKUP(D910,'(Semelles.Monument.€HT)'!C:G,4,FALSE()))</f>
        <v>2070</v>
      </c>
      <c r="I910" s="22">
        <f>F910+(VLOOKUP(D910,'(Semelles.Monument.€HT)'!C:G,5,FALSE()))</f>
        <v>2155</v>
      </c>
    </row>
    <row r="911" spans="1:9" ht="26" customHeight="1">
      <c r="A911" s="2" t="s">
        <v>156</v>
      </c>
      <c r="B911" s="13" t="s">
        <v>165</v>
      </c>
      <c r="C911" s="13" t="s">
        <v>128</v>
      </c>
      <c r="D911" s="13">
        <v>46</v>
      </c>
      <c r="E911" s="2" t="s">
        <v>144</v>
      </c>
      <c r="F911" s="7">
        <v>1712</v>
      </c>
      <c r="G911" s="3">
        <f>F911+(VLOOKUP(D911,'(Semelles.Monument.€HT)'!C:G,3,FALSE()))</f>
        <v>1990</v>
      </c>
      <c r="H911" s="4">
        <f>F911+(VLOOKUP(D911,'(Semelles.Monument.€HT)'!C:G,4,FALSE()))</f>
        <v>2070</v>
      </c>
      <c r="I911" s="5">
        <f>F911+(VLOOKUP(D911,'(Semelles.Monument.€HT)'!C:G,5,FALSE()))</f>
        <v>2155</v>
      </c>
    </row>
    <row r="912" spans="1:9" ht="26" customHeight="1">
      <c r="A912" s="17" t="s">
        <v>156</v>
      </c>
      <c r="B912" s="18" t="s">
        <v>165</v>
      </c>
      <c r="C912" s="18" t="s">
        <v>128</v>
      </c>
      <c r="D912" s="18">
        <v>47</v>
      </c>
      <c r="E912" s="17" t="s">
        <v>145</v>
      </c>
      <c r="F912" s="19">
        <v>1746</v>
      </c>
      <c r="G912" s="20">
        <f>F912+(VLOOKUP(D912,'(Semelles.Monument.€HT)'!C:G,3,FALSE()))</f>
        <v>2030</v>
      </c>
      <c r="H912" s="21">
        <f>F912+(VLOOKUP(D912,'(Semelles.Monument.€HT)'!C:G,4,FALSE()))</f>
        <v>2112</v>
      </c>
      <c r="I912" s="22">
        <f>F912+(VLOOKUP(D912,'(Semelles.Monument.€HT)'!C:G,5,FALSE()))</f>
        <v>2198</v>
      </c>
    </row>
    <row r="913" spans="1:9" ht="26" customHeight="1">
      <c r="A913" s="2" t="s">
        <v>156</v>
      </c>
      <c r="B913" s="13" t="s">
        <v>165</v>
      </c>
      <c r="C913" s="13" t="s">
        <v>128</v>
      </c>
      <c r="D913" s="13">
        <v>48</v>
      </c>
      <c r="E913" s="2" t="s">
        <v>146</v>
      </c>
      <c r="F913" s="7">
        <v>1765</v>
      </c>
      <c r="G913" s="3">
        <f>F913+(VLOOKUP(D913,'(Semelles.Monument.€HT)'!C:G,3,FALSE()))</f>
        <v>2052</v>
      </c>
      <c r="H913" s="4">
        <f>F913+(VLOOKUP(D913,'(Semelles.Monument.€HT)'!C:G,4,FALSE()))</f>
        <v>2135</v>
      </c>
      <c r="I913" s="5">
        <f>F913+(VLOOKUP(D913,'(Semelles.Monument.€HT)'!C:G,5,FALSE()))</f>
        <v>2222</v>
      </c>
    </row>
    <row r="914" spans="1:9" ht="26" customHeight="1">
      <c r="A914" s="17" t="s">
        <v>156</v>
      </c>
      <c r="B914" s="18" t="s">
        <v>166</v>
      </c>
      <c r="C914" s="18" t="s">
        <v>97</v>
      </c>
      <c r="D914" s="18">
        <v>1</v>
      </c>
      <c r="E914" s="17" t="s">
        <v>98</v>
      </c>
      <c r="F914" s="19">
        <v>478</v>
      </c>
      <c r="G914" s="20">
        <f>F914+(VLOOKUP(D914,'(Semelles.Monument.€HT)'!C:G,3,FALSE()))</f>
        <v>636</v>
      </c>
      <c r="H914" s="21">
        <f>F914+(VLOOKUP(D914,'(Semelles.Monument.€HT)'!C:G,4,FALSE()))</f>
        <v>682</v>
      </c>
      <c r="I914" s="22">
        <f>F914+(VLOOKUP(D914,'(Semelles.Monument.€HT)'!C:G,5,FALSE()))</f>
        <v>730</v>
      </c>
    </row>
    <row r="915" spans="1:9" ht="26" customHeight="1">
      <c r="A915" s="2" t="s">
        <v>156</v>
      </c>
      <c r="B915" s="13" t="s">
        <v>166</v>
      </c>
      <c r="C915" s="13" t="s">
        <v>97</v>
      </c>
      <c r="D915" s="13">
        <v>2</v>
      </c>
      <c r="E915" s="2" t="s">
        <v>99</v>
      </c>
      <c r="F915" s="7">
        <v>477</v>
      </c>
      <c r="G915" s="3">
        <f>F915+(VLOOKUP(D915,'(Semelles.Monument.€HT)'!C:G,3,FALSE()))</f>
        <v>635</v>
      </c>
      <c r="H915" s="4">
        <f>F915+(VLOOKUP(D915,'(Semelles.Monument.€HT)'!C:G,4,FALSE()))</f>
        <v>681</v>
      </c>
      <c r="I915" s="5">
        <f>F915+(VLOOKUP(D915,'(Semelles.Monument.€HT)'!C:G,5,FALSE()))</f>
        <v>729</v>
      </c>
    </row>
    <row r="916" spans="1:9" ht="26" customHeight="1">
      <c r="A916" s="17" t="s">
        <v>156</v>
      </c>
      <c r="B916" s="18" t="s">
        <v>166</v>
      </c>
      <c r="C916" s="18" t="s">
        <v>97</v>
      </c>
      <c r="D916" s="18">
        <v>3</v>
      </c>
      <c r="E916" s="17" t="s">
        <v>100</v>
      </c>
      <c r="F916" s="19">
        <v>531</v>
      </c>
      <c r="G916" s="20">
        <f>F916+(VLOOKUP(D916,'(Semelles.Monument.€HT)'!C:G,3,FALSE()))</f>
        <v>707</v>
      </c>
      <c r="H916" s="21">
        <f>F916+(VLOOKUP(D916,'(Semelles.Monument.€HT)'!C:G,4,FALSE()))</f>
        <v>758</v>
      </c>
      <c r="I916" s="22">
        <f>F916+(VLOOKUP(D916,'(Semelles.Monument.€HT)'!C:G,5,FALSE()))</f>
        <v>811</v>
      </c>
    </row>
    <row r="917" spans="1:9" ht="26" customHeight="1">
      <c r="A917" s="2" t="s">
        <v>156</v>
      </c>
      <c r="B917" s="13" t="s">
        <v>166</v>
      </c>
      <c r="C917" s="13" t="s">
        <v>97</v>
      </c>
      <c r="D917" s="13">
        <v>4</v>
      </c>
      <c r="E917" s="2" t="s">
        <v>101</v>
      </c>
      <c r="F917" s="7">
        <v>540</v>
      </c>
      <c r="G917" s="3">
        <f>F917+(VLOOKUP(D917,'(Semelles.Monument.€HT)'!C:G,3,FALSE()))</f>
        <v>719</v>
      </c>
      <c r="H917" s="4">
        <f>F917+(VLOOKUP(D917,'(Semelles.Monument.€HT)'!C:G,4,FALSE()))</f>
        <v>771</v>
      </c>
      <c r="I917" s="5">
        <f>F917+(VLOOKUP(D917,'(Semelles.Monument.€HT)'!C:G,5,FALSE()))</f>
        <v>825</v>
      </c>
    </row>
    <row r="918" spans="1:9" ht="26" customHeight="1">
      <c r="A918" s="17" t="s">
        <v>156</v>
      </c>
      <c r="B918" s="18" t="s">
        <v>166</v>
      </c>
      <c r="C918" s="18" t="s">
        <v>97</v>
      </c>
      <c r="D918" s="18">
        <v>5</v>
      </c>
      <c r="E918" s="17" t="s">
        <v>102</v>
      </c>
      <c r="F918" s="19">
        <v>540</v>
      </c>
      <c r="G918" s="20">
        <f>F918+(VLOOKUP(D918,'(Semelles.Monument.€HT)'!C:G,3,FALSE()))</f>
        <v>719</v>
      </c>
      <c r="H918" s="21">
        <f>F918+(VLOOKUP(D918,'(Semelles.Monument.€HT)'!C:G,4,FALSE()))</f>
        <v>771</v>
      </c>
      <c r="I918" s="22">
        <f>F918+(VLOOKUP(D918,'(Semelles.Monument.€HT)'!C:G,5,FALSE()))</f>
        <v>825</v>
      </c>
    </row>
    <row r="919" spans="1:9" ht="26" customHeight="1">
      <c r="A919" s="2" t="s">
        <v>156</v>
      </c>
      <c r="B919" s="13" t="s">
        <v>166</v>
      </c>
      <c r="C919" s="13" t="s">
        <v>97</v>
      </c>
      <c r="D919" s="13">
        <v>6</v>
      </c>
      <c r="E919" s="2" t="s">
        <v>103</v>
      </c>
      <c r="F919" s="7">
        <v>542</v>
      </c>
      <c r="G919" s="3">
        <f>F919+(VLOOKUP(D919,'(Semelles.Monument.€HT)'!C:G,3,FALSE()))</f>
        <v>722</v>
      </c>
      <c r="H919" s="4">
        <f>F919+(VLOOKUP(D919,'(Semelles.Monument.€HT)'!C:G,4,FALSE()))</f>
        <v>774</v>
      </c>
      <c r="I919" s="5">
        <f>F919+(VLOOKUP(D919,'(Semelles.Monument.€HT)'!C:G,5,FALSE()))</f>
        <v>829</v>
      </c>
    </row>
    <row r="920" spans="1:9" ht="26" customHeight="1">
      <c r="A920" s="17" t="s">
        <v>156</v>
      </c>
      <c r="B920" s="18" t="s">
        <v>166</v>
      </c>
      <c r="C920" s="18" t="s">
        <v>97</v>
      </c>
      <c r="D920" s="18">
        <v>7</v>
      </c>
      <c r="E920" s="17" t="s">
        <v>104</v>
      </c>
      <c r="F920" s="19">
        <v>542</v>
      </c>
      <c r="G920" s="20">
        <f>F920+(VLOOKUP(D920,'(Semelles.Monument.€HT)'!C:G,3,FALSE()))</f>
        <v>722</v>
      </c>
      <c r="H920" s="21">
        <f>F920+(VLOOKUP(D920,'(Semelles.Monument.€HT)'!C:G,4,FALSE()))</f>
        <v>774</v>
      </c>
      <c r="I920" s="22">
        <f>F920+(VLOOKUP(D920,'(Semelles.Monument.€HT)'!C:G,5,FALSE()))</f>
        <v>829</v>
      </c>
    </row>
    <row r="921" spans="1:9" ht="26" customHeight="1">
      <c r="A921" s="2" t="s">
        <v>156</v>
      </c>
      <c r="B921" s="13" t="s">
        <v>166</v>
      </c>
      <c r="C921" s="13" t="s">
        <v>97</v>
      </c>
      <c r="D921" s="13">
        <v>8</v>
      </c>
      <c r="E921" s="2" t="s">
        <v>105</v>
      </c>
      <c r="F921" s="7">
        <v>542</v>
      </c>
      <c r="G921" s="3">
        <f>F921+(VLOOKUP(D921,'(Semelles.Monument.€HT)'!C:G,3,FALSE()))</f>
        <v>722</v>
      </c>
      <c r="H921" s="4">
        <f>F921+(VLOOKUP(D921,'(Semelles.Monument.€HT)'!C:G,4,FALSE()))</f>
        <v>774</v>
      </c>
      <c r="I921" s="5">
        <f>F921+(VLOOKUP(D921,'(Semelles.Monument.€HT)'!C:G,5,FALSE()))</f>
        <v>829</v>
      </c>
    </row>
    <row r="922" spans="1:9" ht="26" customHeight="1">
      <c r="A922" s="17" t="s">
        <v>156</v>
      </c>
      <c r="B922" s="18" t="s">
        <v>166</v>
      </c>
      <c r="C922" s="18" t="s">
        <v>97</v>
      </c>
      <c r="D922" s="18">
        <v>9</v>
      </c>
      <c r="E922" s="17" t="s">
        <v>106</v>
      </c>
      <c r="F922" s="19">
        <v>542</v>
      </c>
      <c r="G922" s="20">
        <f>F922+(VLOOKUP(D922,'(Semelles.Monument.€HT)'!C:G,3,FALSE()))</f>
        <v>722</v>
      </c>
      <c r="H922" s="21">
        <f>F922+(VLOOKUP(D922,'(Semelles.Monument.€HT)'!C:G,4,FALSE()))</f>
        <v>774</v>
      </c>
      <c r="I922" s="22">
        <f>F922+(VLOOKUP(D922,'(Semelles.Monument.€HT)'!C:G,5,FALSE()))</f>
        <v>829</v>
      </c>
    </row>
    <row r="923" spans="1:9" ht="26" customHeight="1">
      <c r="A923" s="2" t="s">
        <v>156</v>
      </c>
      <c r="B923" s="13" t="s">
        <v>166</v>
      </c>
      <c r="C923" s="13" t="s">
        <v>97</v>
      </c>
      <c r="D923" s="13">
        <v>10</v>
      </c>
      <c r="E923" s="2" t="s">
        <v>107</v>
      </c>
      <c r="F923" s="7">
        <v>542</v>
      </c>
      <c r="G923" s="3">
        <f>F923+(VLOOKUP(D923,'(Semelles.Monument.€HT)'!C:G,3,FALSE()))</f>
        <v>722</v>
      </c>
      <c r="H923" s="4">
        <f>F923+(VLOOKUP(D923,'(Semelles.Monument.€HT)'!C:G,4,FALSE()))</f>
        <v>774</v>
      </c>
      <c r="I923" s="5">
        <f>F923+(VLOOKUP(D923,'(Semelles.Monument.€HT)'!C:G,5,FALSE()))</f>
        <v>829</v>
      </c>
    </row>
    <row r="924" spans="1:9" ht="26" customHeight="1">
      <c r="A924" s="17" t="s">
        <v>156</v>
      </c>
      <c r="B924" s="18" t="s">
        <v>166</v>
      </c>
      <c r="C924" s="18" t="s">
        <v>97</v>
      </c>
      <c r="D924" s="18">
        <v>11</v>
      </c>
      <c r="E924" s="17" t="s">
        <v>108</v>
      </c>
      <c r="F924" s="19">
        <v>542</v>
      </c>
      <c r="G924" s="20">
        <f>F924+(VLOOKUP(D924,'(Semelles.Monument.€HT)'!C:G,3,FALSE()))</f>
        <v>722</v>
      </c>
      <c r="H924" s="21">
        <f>F924+(VLOOKUP(D924,'(Semelles.Monument.€HT)'!C:G,4,FALSE()))</f>
        <v>774</v>
      </c>
      <c r="I924" s="22">
        <f>F924+(VLOOKUP(D924,'(Semelles.Monument.€HT)'!C:G,5,FALSE()))</f>
        <v>829</v>
      </c>
    </row>
    <row r="925" spans="1:9" ht="26" customHeight="1">
      <c r="A925" s="2" t="s">
        <v>156</v>
      </c>
      <c r="B925" s="13" t="s">
        <v>166</v>
      </c>
      <c r="C925" s="13" t="s">
        <v>97</v>
      </c>
      <c r="D925" s="13">
        <v>12</v>
      </c>
      <c r="E925" s="2" t="s">
        <v>109</v>
      </c>
      <c r="F925" s="7">
        <v>550</v>
      </c>
      <c r="G925" s="3">
        <f>F925+(VLOOKUP(D925,'(Semelles.Monument.€HT)'!C:G,3,FALSE()))</f>
        <v>732</v>
      </c>
      <c r="H925" s="4">
        <f>F925+(VLOOKUP(D925,'(Semelles.Monument.€HT)'!C:G,4,FALSE()))</f>
        <v>785</v>
      </c>
      <c r="I925" s="5">
        <f>F925+(VLOOKUP(D925,'(Semelles.Monument.€HT)'!C:G,5,FALSE()))</f>
        <v>841</v>
      </c>
    </row>
    <row r="926" spans="1:9" ht="26" customHeight="1">
      <c r="A926" s="17" t="s">
        <v>156</v>
      </c>
      <c r="B926" s="18" t="s">
        <v>166</v>
      </c>
      <c r="C926" s="18" t="s">
        <v>97</v>
      </c>
      <c r="D926" s="18">
        <v>13</v>
      </c>
      <c r="E926" s="17" t="s">
        <v>110</v>
      </c>
      <c r="F926" s="19">
        <v>550</v>
      </c>
      <c r="G926" s="20">
        <f>F926+(VLOOKUP(D926,'(Semelles.Monument.€HT)'!C:G,3,FALSE()))</f>
        <v>732</v>
      </c>
      <c r="H926" s="21">
        <f>F926+(VLOOKUP(D926,'(Semelles.Monument.€HT)'!C:G,4,FALSE()))</f>
        <v>785</v>
      </c>
      <c r="I926" s="22">
        <f>F926+(VLOOKUP(D926,'(Semelles.Monument.€HT)'!C:G,5,FALSE()))</f>
        <v>841</v>
      </c>
    </row>
    <row r="927" spans="1:9" ht="26" customHeight="1">
      <c r="A927" s="2" t="s">
        <v>156</v>
      </c>
      <c r="B927" s="13" t="s">
        <v>166</v>
      </c>
      <c r="C927" s="13" t="s">
        <v>97</v>
      </c>
      <c r="D927" s="13">
        <v>14</v>
      </c>
      <c r="E927" s="2" t="s">
        <v>111</v>
      </c>
      <c r="F927" s="7">
        <v>552</v>
      </c>
      <c r="G927" s="3">
        <f>F927+(VLOOKUP(D927,'(Semelles.Monument.€HT)'!C:G,3,FALSE()))</f>
        <v>735</v>
      </c>
      <c r="H927" s="4">
        <f>F927+(VLOOKUP(D927,'(Semelles.Monument.€HT)'!C:G,4,FALSE()))</f>
        <v>788</v>
      </c>
      <c r="I927" s="5">
        <f>F927+(VLOOKUP(D927,'(Semelles.Monument.€HT)'!C:G,5,FALSE()))</f>
        <v>844</v>
      </c>
    </row>
    <row r="928" spans="1:9" ht="26" customHeight="1">
      <c r="A928" s="17" t="s">
        <v>156</v>
      </c>
      <c r="B928" s="18" t="s">
        <v>166</v>
      </c>
      <c r="C928" s="18" t="s">
        <v>97</v>
      </c>
      <c r="D928" s="18">
        <v>15</v>
      </c>
      <c r="E928" s="17" t="s">
        <v>112</v>
      </c>
      <c r="F928" s="19">
        <v>552</v>
      </c>
      <c r="G928" s="20">
        <f>F928+(VLOOKUP(D928,'(Semelles.Monument.€HT)'!C:G,3,FALSE()))</f>
        <v>735</v>
      </c>
      <c r="H928" s="21">
        <f>F928+(VLOOKUP(D928,'(Semelles.Monument.€HT)'!C:G,4,FALSE()))</f>
        <v>788</v>
      </c>
      <c r="I928" s="22">
        <f>F928+(VLOOKUP(D928,'(Semelles.Monument.€HT)'!C:G,5,FALSE()))</f>
        <v>844</v>
      </c>
    </row>
    <row r="929" spans="1:9" ht="26" customHeight="1">
      <c r="A929" s="2" t="s">
        <v>156</v>
      </c>
      <c r="B929" s="13" t="s">
        <v>166</v>
      </c>
      <c r="C929" s="13" t="s">
        <v>97</v>
      </c>
      <c r="D929" s="13">
        <v>16</v>
      </c>
      <c r="E929" s="2" t="s">
        <v>113</v>
      </c>
      <c r="F929" s="7">
        <v>552</v>
      </c>
      <c r="G929" s="3">
        <f>F929+(VLOOKUP(D929,'(Semelles.Monument.€HT)'!C:G,3,FALSE()))</f>
        <v>735</v>
      </c>
      <c r="H929" s="4">
        <f>F929+(VLOOKUP(D929,'(Semelles.Monument.€HT)'!C:G,4,FALSE()))</f>
        <v>788</v>
      </c>
      <c r="I929" s="5">
        <f>F929+(VLOOKUP(D929,'(Semelles.Monument.€HT)'!C:G,5,FALSE()))</f>
        <v>844</v>
      </c>
    </row>
    <row r="930" spans="1:9" ht="26" customHeight="1">
      <c r="A930" s="17" t="s">
        <v>156</v>
      </c>
      <c r="B930" s="18" t="s">
        <v>166</v>
      </c>
      <c r="C930" s="18" t="s">
        <v>97</v>
      </c>
      <c r="D930" s="18">
        <v>17</v>
      </c>
      <c r="E930" s="17" t="s">
        <v>114</v>
      </c>
      <c r="F930" s="19">
        <v>562</v>
      </c>
      <c r="G930" s="20">
        <f>F930+(VLOOKUP(D930,'(Semelles.Monument.€HT)'!C:G,3,FALSE()))</f>
        <v>748</v>
      </c>
      <c r="H930" s="21">
        <f>F930+(VLOOKUP(D930,'(Semelles.Monument.€HT)'!C:G,4,FALSE()))</f>
        <v>802</v>
      </c>
      <c r="I930" s="22">
        <f>F930+(VLOOKUP(D930,'(Semelles.Monument.€HT)'!C:G,5,FALSE()))</f>
        <v>859</v>
      </c>
    </row>
    <row r="931" spans="1:9" ht="26" customHeight="1">
      <c r="A931" s="2" t="s">
        <v>156</v>
      </c>
      <c r="B931" s="13" t="s">
        <v>166</v>
      </c>
      <c r="C931" s="13" t="s">
        <v>97</v>
      </c>
      <c r="D931" s="13">
        <v>18</v>
      </c>
      <c r="E931" s="2" t="s">
        <v>115</v>
      </c>
      <c r="F931" s="7">
        <v>562</v>
      </c>
      <c r="G931" s="3">
        <f>F931+(VLOOKUP(D931,'(Semelles.Monument.€HT)'!C:G,3,FALSE()))</f>
        <v>748</v>
      </c>
      <c r="H931" s="4">
        <f>F931+(VLOOKUP(D931,'(Semelles.Monument.€HT)'!C:G,4,FALSE()))</f>
        <v>802</v>
      </c>
      <c r="I931" s="5">
        <f>F931+(VLOOKUP(D931,'(Semelles.Monument.€HT)'!C:G,5,FALSE()))</f>
        <v>859</v>
      </c>
    </row>
    <row r="932" spans="1:9" ht="26" customHeight="1">
      <c r="A932" s="17" t="s">
        <v>156</v>
      </c>
      <c r="B932" s="18" t="s">
        <v>166</v>
      </c>
      <c r="C932" s="18" t="s">
        <v>97</v>
      </c>
      <c r="D932" s="18">
        <v>19</v>
      </c>
      <c r="E932" s="17" t="s">
        <v>116</v>
      </c>
      <c r="F932" s="19">
        <v>562</v>
      </c>
      <c r="G932" s="20">
        <f>F932+(VLOOKUP(D932,'(Semelles.Monument.€HT)'!C:G,3,FALSE()))</f>
        <v>748</v>
      </c>
      <c r="H932" s="21">
        <f>F932+(VLOOKUP(D932,'(Semelles.Monument.€HT)'!C:G,4,FALSE()))</f>
        <v>802</v>
      </c>
      <c r="I932" s="22">
        <f>F932+(VLOOKUP(D932,'(Semelles.Monument.€HT)'!C:G,5,FALSE()))</f>
        <v>859</v>
      </c>
    </row>
    <row r="933" spans="1:9" ht="26" customHeight="1">
      <c r="A933" s="2" t="s">
        <v>156</v>
      </c>
      <c r="B933" s="13" t="s">
        <v>166</v>
      </c>
      <c r="C933" s="13" t="s">
        <v>97</v>
      </c>
      <c r="D933" s="13">
        <v>20</v>
      </c>
      <c r="E933" s="2" t="s">
        <v>117</v>
      </c>
      <c r="F933" s="7">
        <v>566</v>
      </c>
      <c r="G933" s="3">
        <f>F933+(VLOOKUP(D933,'(Semelles.Monument.€HT)'!C:G,3,FALSE()))</f>
        <v>754</v>
      </c>
      <c r="H933" s="4">
        <f>F933+(VLOOKUP(D933,'(Semelles.Monument.€HT)'!C:G,4,FALSE()))</f>
        <v>808</v>
      </c>
      <c r="I933" s="5">
        <f>F933+(VLOOKUP(D933,'(Semelles.Monument.€HT)'!C:G,5,FALSE()))</f>
        <v>865</v>
      </c>
    </row>
    <row r="934" spans="1:9" ht="26" customHeight="1">
      <c r="A934" s="17" t="s">
        <v>156</v>
      </c>
      <c r="B934" s="18" t="s">
        <v>166</v>
      </c>
      <c r="C934" s="18" t="s">
        <v>97</v>
      </c>
      <c r="D934" s="18">
        <v>21</v>
      </c>
      <c r="E934" s="17" t="s">
        <v>118</v>
      </c>
      <c r="F934" s="19">
        <v>569</v>
      </c>
      <c r="G934" s="20">
        <f>F934+(VLOOKUP(D934,'(Semelles.Monument.€HT)'!C:G,3,FALSE()))</f>
        <v>758</v>
      </c>
      <c r="H934" s="21">
        <f>F934+(VLOOKUP(D934,'(Semelles.Monument.€HT)'!C:G,4,FALSE()))</f>
        <v>812</v>
      </c>
      <c r="I934" s="22">
        <f>F934+(VLOOKUP(D934,'(Semelles.Monument.€HT)'!C:G,5,FALSE()))</f>
        <v>870</v>
      </c>
    </row>
    <row r="935" spans="1:9" ht="26" customHeight="1">
      <c r="A935" s="2" t="s">
        <v>156</v>
      </c>
      <c r="B935" s="13" t="s">
        <v>166</v>
      </c>
      <c r="C935" s="13" t="s">
        <v>97</v>
      </c>
      <c r="D935" s="13">
        <v>22</v>
      </c>
      <c r="E935" s="2" t="s">
        <v>119</v>
      </c>
      <c r="F935" s="7">
        <v>569</v>
      </c>
      <c r="G935" s="3">
        <f>F935+(VLOOKUP(D935,'(Semelles.Monument.€HT)'!C:G,3,FALSE()))</f>
        <v>758</v>
      </c>
      <c r="H935" s="4">
        <f>F935+(VLOOKUP(D935,'(Semelles.Monument.€HT)'!C:G,4,FALSE()))</f>
        <v>812</v>
      </c>
      <c r="I935" s="5">
        <f>F935+(VLOOKUP(D935,'(Semelles.Monument.€HT)'!C:G,5,FALSE()))</f>
        <v>870</v>
      </c>
    </row>
    <row r="936" spans="1:9" ht="26" customHeight="1">
      <c r="A936" s="17" t="s">
        <v>156</v>
      </c>
      <c r="B936" s="18" t="s">
        <v>166</v>
      </c>
      <c r="C936" s="18" t="s">
        <v>97</v>
      </c>
      <c r="D936" s="18">
        <v>23</v>
      </c>
      <c r="E936" s="17" t="s">
        <v>120</v>
      </c>
      <c r="F936" s="19">
        <v>578</v>
      </c>
      <c r="G936" s="20">
        <f>F936+(VLOOKUP(D936,'(Semelles.Monument.€HT)'!C:G,3,FALSE()))</f>
        <v>770</v>
      </c>
      <c r="H936" s="21">
        <f>F936+(VLOOKUP(D936,'(Semelles.Monument.€HT)'!C:G,4,FALSE()))</f>
        <v>825</v>
      </c>
      <c r="I936" s="22">
        <f>F936+(VLOOKUP(D936,'(Semelles.Monument.€HT)'!C:G,5,FALSE()))</f>
        <v>883</v>
      </c>
    </row>
    <row r="937" spans="1:9" ht="26" customHeight="1">
      <c r="A937" s="2" t="s">
        <v>156</v>
      </c>
      <c r="B937" s="13" t="s">
        <v>166</v>
      </c>
      <c r="C937" s="13" t="s">
        <v>97</v>
      </c>
      <c r="D937" s="13">
        <v>24</v>
      </c>
      <c r="E937" s="2" t="s">
        <v>121</v>
      </c>
      <c r="F937" s="7">
        <v>578</v>
      </c>
      <c r="G937" s="3">
        <f>F937+(VLOOKUP(D937,'(Semelles.Monument.€HT)'!C:G,3,FALSE()))</f>
        <v>770</v>
      </c>
      <c r="H937" s="4">
        <f>F937+(VLOOKUP(D937,'(Semelles.Monument.€HT)'!C:G,4,FALSE()))</f>
        <v>825</v>
      </c>
      <c r="I937" s="5">
        <f>F937+(VLOOKUP(D937,'(Semelles.Monument.€HT)'!C:G,5,FALSE()))</f>
        <v>883</v>
      </c>
    </row>
    <row r="938" spans="1:9" ht="26" customHeight="1">
      <c r="A938" s="17" t="s">
        <v>156</v>
      </c>
      <c r="B938" s="18" t="s">
        <v>166</v>
      </c>
      <c r="C938" s="18" t="s">
        <v>97</v>
      </c>
      <c r="D938" s="18">
        <v>25</v>
      </c>
      <c r="E938" s="17" t="s">
        <v>122</v>
      </c>
      <c r="F938" s="19">
        <v>578</v>
      </c>
      <c r="G938" s="20">
        <f>F938+(VLOOKUP(D938,'(Semelles.Monument.€HT)'!C:G,3,FALSE()))</f>
        <v>770</v>
      </c>
      <c r="H938" s="21">
        <f>F938+(VLOOKUP(D938,'(Semelles.Monument.€HT)'!C:G,4,FALSE()))</f>
        <v>825</v>
      </c>
      <c r="I938" s="22">
        <f>F938+(VLOOKUP(D938,'(Semelles.Monument.€HT)'!C:G,5,FALSE()))</f>
        <v>883</v>
      </c>
    </row>
    <row r="939" spans="1:9" ht="26" customHeight="1">
      <c r="A939" s="2" t="s">
        <v>156</v>
      </c>
      <c r="B939" s="13" t="s">
        <v>166</v>
      </c>
      <c r="C939" s="13" t="s">
        <v>97</v>
      </c>
      <c r="D939" s="13">
        <v>26</v>
      </c>
      <c r="E939" s="2" t="s">
        <v>123</v>
      </c>
      <c r="F939" s="7">
        <v>588</v>
      </c>
      <c r="G939" s="3">
        <f>F939+(VLOOKUP(D939,'(Semelles.Monument.€HT)'!C:G,3,FALSE()))</f>
        <v>783</v>
      </c>
      <c r="H939" s="4">
        <f>F939+(VLOOKUP(D939,'(Semelles.Monument.€HT)'!C:G,4,FALSE()))</f>
        <v>839</v>
      </c>
      <c r="I939" s="5">
        <f>F939+(VLOOKUP(D939,'(Semelles.Monument.€HT)'!C:G,5,FALSE()))</f>
        <v>898</v>
      </c>
    </row>
    <row r="940" spans="1:9" ht="26" customHeight="1">
      <c r="A940" s="17" t="s">
        <v>156</v>
      </c>
      <c r="B940" s="18" t="s">
        <v>166</v>
      </c>
      <c r="C940" s="18" t="s">
        <v>97</v>
      </c>
      <c r="D940" s="18">
        <v>27</v>
      </c>
      <c r="E940" s="17" t="s">
        <v>124</v>
      </c>
      <c r="F940" s="19">
        <v>626</v>
      </c>
      <c r="G940" s="20">
        <f>F940+(VLOOKUP(D940,'(Semelles.Monument.€HT)'!C:G,3,FALSE()))</f>
        <v>834</v>
      </c>
      <c r="H940" s="21">
        <f>F940+(VLOOKUP(D940,'(Semelles.Monument.€HT)'!C:G,4,FALSE()))</f>
        <v>894</v>
      </c>
      <c r="I940" s="22">
        <f>F940+(VLOOKUP(D940,'(Semelles.Monument.€HT)'!C:G,5,FALSE()))</f>
        <v>993</v>
      </c>
    </row>
    <row r="941" spans="1:9" ht="26" customHeight="1">
      <c r="A941" s="2" t="s">
        <v>156</v>
      </c>
      <c r="B941" s="13" t="s">
        <v>166</v>
      </c>
      <c r="C941" s="13" t="s">
        <v>97</v>
      </c>
      <c r="D941" s="13">
        <v>28</v>
      </c>
      <c r="E941" s="2" t="s">
        <v>125</v>
      </c>
      <c r="F941" s="7">
        <v>694</v>
      </c>
      <c r="G941" s="3">
        <f>F941+(VLOOKUP(D941,'(Semelles.Monument.€HT)'!C:G,3,FALSE()))</f>
        <v>924</v>
      </c>
      <c r="H941" s="4">
        <f>F941+(VLOOKUP(D941,'(Semelles.Monument.€HT)'!C:G,4,FALSE()))</f>
        <v>991</v>
      </c>
      <c r="I941" s="5">
        <f>F941+(VLOOKUP(D941,'(Semelles.Monument.€HT)'!C:G,5,FALSE()))</f>
        <v>1061</v>
      </c>
    </row>
    <row r="942" spans="1:9" ht="26" customHeight="1">
      <c r="A942" s="17" t="s">
        <v>156</v>
      </c>
      <c r="B942" s="18" t="s">
        <v>166</v>
      </c>
      <c r="C942" s="18" t="s">
        <v>97</v>
      </c>
      <c r="D942" s="18">
        <v>29</v>
      </c>
      <c r="E942" s="17" t="s">
        <v>126</v>
      </c>
      <c r="F942" s="19">
        <v>723</v>
      </c>
      <c r="G942" s="20">
        <f>F942+(VLOOKUP(D942,'(Semelles.Monument.€HT)'!C:G,3,FALSE()))</f>
        <v>963</v>
      </c>
      <c r="H942" s="21">
        <f>F942+(VLOOKUP(D942,'(Semelles.Monument.€HT)'!C:G,4,FALSE()))</f>
        <v>1032</v>
      </c>
      <c r="I942" s="22">
        <f>F942+(VLOOKUP(D942,'(Semelles.Monument.€HT)'!C:G,5,FALSE()))</f>
        <v>1105</v>
      </c>
    </row>
    <row r="943" spans="1:9" ht="26" customHeight="1">
      <c r="A943" s="2" t="s">
        <v>156</v>
      </c>
      <c r="B943" s="13" t="s">
        <v>166</v>
      </c>
      <c r="C943" s="13" t="s">
        <v>97</v>
      </c>
      <c r="D943" s="13">
        <v>30</v>
      </c>
      <c r="E943" s="2" t="s">
        <v>127</v>
      </c>
      <c r="F943" s="7">
        <v>723</v>
      </c>
      <c r="G943" s="3">
        <f>F943+(VLOOKUP(D943,'(Semelles.Monument.€HT)'!C:G,3,FALSE()))</f>
        <v>963</v>
      </c>
      <c r="H943" s="4">
        <f>F943+(VLOOKUP(D943,'(Semelles.Monument.€HT)'!C:G,4,FALSE()))</f>
        <v>1032</v>
      </c>
      <c r="I943" s="5">
        <f>F943+(VLOOKUP(D943,'(Semelles.Monument.€HT)'!C:G,5,FALSE()))</f>
        <v>1105</v>
      </c>
    </row>
    <row r="944" spans="1:9" ht="26" customHeight="1">
      <c r="A944" s="17" t="s">
        <v>156</v>
      </c>
      <c r="B944" s="18" t="s">
        <v>166</v>
      </c>
      <c r="C944" s="18" t="s">
        <v>128</v>
      </c>
      <c r="D944" s="18">
        <v>31</v>
      </c>
      <c r="E944" s="17" t="s">
        <v>129</v>
      </c>
      <c r="F944" s="19">
        <v>438</v>
      </c>
      <c r="G944" s="20">
        <f>F944+(VLOOKUP(D944,'(Semelles.Monument.€HT)'!C:G,3,FALSE()))</f>
        <v>570</v>
      </c>
      <c r="H944" s="21">
        <f>F944+(VLOOKUP(D944,'(Semelles.Monument.€HT)'!C:G,4,FALSE()))</f>
        <v>608</v>
      </c>
      <c r="I944" s="22">
        <f>F944+(VLOOKUP(D944,'(Semelles.Monument.€HT)'!C:G,5,FALSE()))</f>
        <v>648</v>
      </c>
    </row>
    <row r="945" spans="1:9" ht="26" customHeight="1">
      <c r="A945" s="2" t="s">
        <v>156</v>
      </c>
      <c r="B945" s="13" t="s">
        <v>166</v>
      </c>
      <c r="C945" s="13" t="s">
        <v>128</v>
      </c>
      <c r="D945" s="13">
        <v>32</v>
      </c>
      <c r="E945" s="2" t="s">
        <v>130</v>
      </c>
      <c r="F945" s="7">
        <v>444</v>
      </c>
      <c r="G945" s="3">
        <f>F945+(VLOOKUP(D945,'(Semelles.Monument.€HT)'!C:G,3,FALSE()))</f>
        <v>578</v>
      </c>
      <c r="H945" s="4">
        <f>F945+(VLOOKUP(D945,'(Semelles.Monument.€HT)'!C:G,4,FALSE()))</f>
        <v>617</v>
      </c>
      <c r="I945" s="5">
        <f>F945+(VLOOKUP(D945,'(Semelles.Monument.€HT)'!C:G,5,FALSE()))</f>
        <v>657</v>
      </c>
    </row>
    <row r="946" spans="1:9" ht="26" customHeight="1">
      <c r="A946" s="17" t="s">
        <v>156</v>
      </c>
      <c r="B946" s="18" t="s">
        <v>166</v>
      </c>
      <c r="C946" s="18" t="s">
        <v>128</v>
      </c>
      <c r="D946" s="18">
        <v>33</v>
      </c>
      <c r="E946" s="17" t="s">
        <v>131</v>
      </c>
      <c r="F946" s="19">
        <v>444</v>
      </c>
      <c r="G946" s="20">
        <f>F946+(VLOOKUP(D946,'(Semelles.Monument.€HT)'!C:G,3,FALSE()))</f>
        <v>578</v>
      </c>
      <c r="H946" s="21">
        <f>F946+(VLOOKUP(D946,'(Semelles.Monument.€HT)'!C:G,4,FALSE()))</f>
        <v>617</v>
      </c>
      <c r="I946" s="22">
        <f>F946+(VLOOKUP(D946,'(Semelles.Monument.€HT)'!C:G,5,FALSE()))</f>
        <v>657</v>
      </c>
    </row>
    <row r="947" spans="1:9" ht="26" customHeight="1">
      <c r="A947" s="2" t="s">
        <v>156</v>
      </c>
      <c r="B947" s="13" t="s">
        <v>166</v>
      </c>
      <c r="C947" s="13" t="s">
        <v>128</v>
      </c>
      <c r="D947" s="13">
        <v>34</v>
      </c>
      <c r="E947" s="2" t="s">
        <v>132</v>
      </c>
      <c r="F947" s="7">
        <v>448</v>
      </c>
      <c r="G947" s="3">
        <f>F947+(VLOOKUP(D947,'(Semelles.Monument.€HT)'!C:G,3,FALSE()))</f>
        <v>583</v>
      </c>
      <c r="H947" s="4">
        <f>F947+(VLOOKUP(D947,'(Semelles.Monument.€HT)'!C:G,4,FALSE()))</f>
        <v>622</v>
      </c>
      <c r="I947" s="5">
        <f>F947+(VLOOKUP(D947,'(Semelles.Monument.€HT)'!C:G,5,FALSE()))</f>
        <v>663</v>
      </c>
    </row>
    <row r="948" spans="1:9" ht="26" customHeight="1">
      <c r="A948" s="17" t="s">
        <v>156</v>
      </c>
      <c r="B948" s="18" t="s">
        <v>166</v>
      </c>
      <c r="C948" s="18" t="s">
        <v>128</v>
      </c>
      <c r="D948" s="18">
        <v>35</v>
      </c>
      <c r="E948" s="17" t="s">
        <v>133</v>
      </c>
      <c r="F948" s="19">
        <v>531</v>
      </c>
      <c r="G948" s="20">
        <f>F948+(VLOOKUP(D948,'(Semelles.Monument.€HT)'!C:G,3,FALSE()))</f>
        <v>694</v>
      </c>
      <c r="H948" s="21">
        <f>F948+(VLOOKUP(D948,'(Semelles.Monument.€HT)'!C:G,4,FALSE()))</f>
        <v>741</v>
      </c>
      <c r="I948" s="22">
        <f>F948+(VLOOKUP(D948,'(Semelles.Monument.€HT)'!C:G,5,FALSE()))</f>
        <v>790</v>
      </c>
    </row>
    <row r="949" spans="1:9" ht="26" customHeight="1">
      <c r="A949" s="2" t="s">
        <v>156</v>
      </c>
      <c r="B949" s="13" t="s">
        <v>166</v>
      </c>
      <c r="C949" s="13" t="s">
        <v>128</v>
      </c>
      <c r="D949" s="13">
        <v>36</v>
      </c>
      <c r="E949" s="2" t="s">
        <v>134</v>
      </c>
      <c r="F949" s="7">
        <v>548</v>
      </c>
      <c r="G949" s="3">
        <f>F949+(VLOOKUP(D949,'(Semelles.Monument.€HT)'!C:G,3,FALSE()))</f>
        <v>716</v>
      </c>
      <c r="H949" s="4">
        <f>F949+(VLOOKUP(D949,'(Semelles.Monument.€HT)'!C:G,4,FALSE()))</f>
        <v>765</v>
      </c>
      <c r="I949" s="5">
        <f>F949+(VLOOKUP(D949,'(Semelles.Monument.€HT)'!C:G,5,FALSE()))</f>
        <v>816</v>
      </c>
    </row>
    <row r="950" spans="1:9" ht="26" customHeight="1">
      <c r="A950" s="17" t="s">
        <v>156</v>
      </c>
      <c r="B950" s="18" t="s">
        <v>166</v>
      </c>
      <c r="C950" s="18" t="s">
        <v>128</v>
      </c>
      <c r="D950" s="18">
        <v>37</v>
      </c>
      <c r="E950" s="17" t="s">
        <v>135</v>
      </c>
      <c r="F950" s="19">
        <v>668</v>
      </c>
      <c r="G950" s="20">
        <f>F950+(VLOOKUP(D950,'(Semelles.Monument.€HT)'!C:G,3,FALSE()))</f>
        <v>876</v>
      </c>
      <c r="H950" s="21">
        <f>F950+(VLOOKUP(D950,'(Semelles.Monument.€HT)'!C:G,4,FALSE()))</f>
        <v>936</v>
      </c>
      <c r="I950" s="22">
        <f>F950+(VLOOKUP(D950,'(Semelles.Monument.€HT)'!C:G,5,FALSE()))</f>
        <v>1000</v>
      </c>
    </row>
    <row r="951" spans="1:9" ht="26" customHeight="1">
      <c r="A951" s="2" t="s">
        <v>156</v>
      </c>
      <c r="B951" s="13" t="s">
        <v>166</v>
      </c>
      <c r="C951" s="13" t="s">
        <v>128</v>
      </c>
      <c r="D951" s="13">
        <v>38</v>
      </c>
      <c r="E951" s="2" t="s">
        <v>136</v>
      </c>
      <c r="F951" s="7">
        <v>704</v>
      </c>
      <c r="G951" s="3">
        <f>F951+(VLOOKUP(D951,'(Semelles.Monument.€HT)'!C:G,3,FALSE()))</f>
        <v>924</v>
      </c>
      <c r="H951" s="4">
        <f>F951+(VLOOKUP(D951,'(Semelles.Monument.€HT)'!C:G,4,FALSE()))</f>
        <v>988</v>
      </c>
      <c r="I951" s="5">
        <f>F951+(VLOOKUP(D951,'(Semelles.Monument.€HT)'!C:G,5,FALSE()))</f>
        <v>1055</v>
      </c>
    </row>
    <row r="952" spans="1:9" ht="26" customHeight="1">
      <c r="A952" s="17" t="s">
        <v>156</v>
      </c>
      <c r="B952" s="18" t="s">
        <v>166</v>
      </c>
      <c r="C952" s="18" t="s">
        <v>128</v>
      </c>
      <c r="D952" s="18">
        <v>39</v>
      </c>
      <c r="E952" s="17" t="s">
        <v>137</v>
      </c>
      <c r="F952" s="19">
        <v>722</v>
      </c>
      <c r="G952" s="20">
        <f>F952+(VLOOKUP(D952,'(Semelles.Monument.€HT)'!C:G,3,FALSE()))</f>
        <v>948</v>
      </c>
      <c r="H952" s="21">
        <f>F952+(VLOOKUP(D952,'(Semelles.Monument.€HT)'!C:G,4,FALSE()))</f>
        <v>1013</v>
      </c>
      <c r="I952" s="22">
        <f>F952+(VLOOKUP(D952,'(Semelles.Monument.€HT)'!C:G,5,FALSE()))</f>
        <v>1082</v>
      </c>
    </row>
    <row r="953" spans="1:9" ht="26" customHeight="1">
      <c r="A953" s="2" t="s">
        <v>156</v>
      </c>
      <c r="B953" s="13" t="s">
        <v>166</v>
      </c>
      <c r="C953" s="13" t="s">
        <v>128</v>
      </c>
      <c r="D953" s="13">
        <v>40</v>
      </c>
      <c r="E953" s="2" t="s">
        <v>138</v>
      </c>
      <c r="F953" s="7">
        <v>741</v>
      </c>
      <c r="G953" s="3">
        <f>F953+(VLOOKUP(D953,'(Semelles.Monument.€HT)'!C:G,3,FALSE()))</f>
        <v>973</v>
      </c>
      <c r="H953" s="4">
        <f>F953+(VLOOKUP(D953,'(Semelles.Monument.€HT)'!C:G,4,FALSE()))</f>
        <v>1041</v>
      </c>
      <c r="I953" s="5">
        <f>F953+(VLOOKUP(D953,'(Semelles.Monument.€HT)'!C:G,5,FALSE()))</f>
        <v>1111</v>
      </c>
    </row>
    <row r="954" spans="1:9" ht="26" customHeight="1">
      <c r="A954" s="17" t="s">
        <v>156</v>
      </c>
      <c r="B954" s="18" t="s">
        <v>166</v>
      </c>
      <c r="C954" s="18" t="s">
        <v>128</v>
      </c>
      <c r="D954" s="18">
        <v>41</v>
      </c>
      <c r="E954" s="17" t="s">
        <v>139</v>
      </c>
      <c r="F954" s="19">
        <v>786</v>
      </c>
      <c r="G954" s="20">
        <f>F954+(VLOOKUP(D954,'(Semelles.Monument.€HT)'!C:G,3,FALSE()))</f>
        <v>1033</v>
      </c>
      <c r="H954" s="21">
        <f>F954+(VLOOKUP(D954,'(Semelles.Monument.€HT)'!C:G,4,FALSE()))</f>
        <v>1105</v>
      </c>
      <c r="I954" s="22">
        <f>F954+(VLOOKUP(D954,'(Semelles.Monument.€HT)'!C:G,5,FALSE()))</f>
        <v>1180</v>
      </c>
    </row>
    <row r="955" spans="1:9" ht="26" customHeight="1">
      <c r="A955" s="2" t="s">
        <v>156</v>
      </c>
      <c r="B955" s="13" t="s">
        <v>166</v>
      </c>
      <c r="C955" s="13" t="s">
        <v>128</v>
      </c>
      <c r="D955" s="13">
        <v>42</v>
      </c>
      <c r="E955" s="2" t="s">
        <v>140</v>
      </c>
      <c r="F955" s="7">
        <v>859</v>
      </c>
      <c r="G955" s="3">
        <f>F955+(VLOOKUP(D955,'(Semelles.Monument.€HT)'!C:G,3,FALSE()))</f>
        <v>1130</v>
      </c>
      <c r="H955" s="4">
        <f>F955+(VLOOKUP(D955,'(Semelles.Monument.€HT)'!C:G,4,FALSE()))</f>
        <v>1209</v>
      </c>
      <c r="I955" s="5">
        <f>F955+(VLOOKUP(D955,'(Semelles.Monument.€HT)'!C:G,5,FALSE()))</f>
        <v>1292</v>
      </c>
    </row>
    <row r="956" spans="1:9" ht="26" customHeight="1">
      <c r="A956" s="17" t="s">
        <v>156</v>
      </c>
      <c r="B956" s="18" t="s">
        <v>166</v>
      </c>
      <c r="C956" s="18" t="s">
        <v>128</v>
      </c>
      <c r="D956" s="18">
        <v>43</v>
      </c>
      <c r="E956" s="17" t="s">
        <v>141</v>
      </c>
      <c r="F956" s="19">
        <v>859</v>
      </c>
      <c r="G956" s="20">
        <f>F956+(VLOOKUP(D956,'(Semelles.Monument.€HT)'!C:G,3,FALSE()))</f>
        <v>1130</v>
      </c>
      <c r="H956" s="21">
        <f>F956+(VLOOKUP(D956,'(Semelles.Monument.€HT)'!C:G,4,FALSE()))</f>
        <v>1209</v>
      </c>
      <c r="I956" s="22">
        <f>F956+(VLOOKUP(D956,'(Semelles.Monument.€HT)'!C:G,5,FALSE()))</f>
        <v>1292</v>
      </c>
    </row>
    <row r="957" spans="1:9" ht="26" customHeight="1">
      <c r="A957" s="2" t="s">
        <v>156</v>
      </c>
      <c r="B957" s="13" t="s">
        <v>166</v>
      </c>
      <c r="C957" s="13" t="s">
        <v>128</v>
      </c>
      <c r="D957" s="13">
        <v>44</v>
      </c>
      <c r="E957" s="2" t="s">
        <v>142</v>
      </c>
      <c r="F957" s="7">
        <v>869</v>
      </c>
      <c r="G957" s="3">
        <f>F957+(VLOOKUP(D957,'(Semelles.Monument.€HT)'!C:G,3,FALSE()))</f>
        <v>1144</v>
      </c>
      <c r="H957" s="4">
        <f>F957+(VLOOKUP(D957,'(Semelles.Monument.€HT)'!C:G,4,FALSE()))</f>
        <v>1223</v>
      </c>
      <c r="I957" s="5">
        <f>F957+(VLOOKUP(D957,'(Semelles.Monument.€HT)'!C:G,5,FALSE()))</f>
        <v>1307</v>
      </c>
    </row>
    <row r="958" spans="1:9" ht="26" customHeight="1">
      <c r="A958" s="17" t="s">
        <v>156</v>
      </c>
      <c r="B958" s="18" t="s">
        <v>166</v>
      </c>
      <c r="C958" s="18" t="s">
        <v>128</v>
      </c>
      <c r="D958" s="18">
        <v>45</v>
      </c>
      <c r="E958" s="17" t="s">
        <v>143</v>
      </c>
      <c r="F958" s="19">
        <v>878</v>
      </c>
      <c r="G958" s="20">
        <f>F958+(VLOOKUP(D958,'(Semelles.Monument.€HT)'!C:G,3,FALSE()))</f>
        <v>1156</v>
      </c>
      <c r="H958" s="21">
        <f>F958+(VLOOKUP(D958,'(Semelles.Monument.€HT)'!C:G,4,FALSE()))</f>
        <v>1236</v>
      </c>
      <c r="I958" s="22">
        <f>F958+(VLOOKUP(D958,'(Semelles.Monument.€HT)'!C:G,5,FALSE()))</f>
        <v>1321</v>
      </c>
    </row>
    <row r="959" spans="1:9" ht="26" customHeight="1">
      <c r="A959" s="2" t="s">
        <v>156</v>
      </c>
      <c r="B959" s="13" t="s">
        <v>166</v>
      </c>
      <c r="C959" s="13" t="s">
        <v>128</v>
      </c>
      <c r="D959" s="13">
        <v>46</v>
      </c>
      <c r="E959" s="2" t="s">
        <v>144</v>
      </c>
      <c r="F959" s="7">
        <v>878</v>
      </c>
      <c r="G959" s="3">
        <f>F959+(VLOOKUP(D959,'(Semelles.Monument.€HT)'!C:G,3,FALSE()))</f>
        <v>1156</v>
      </c>
      <c r="H959" s="4">
        <f>F959+(VLOOKUP(D959,'(Semelles.Monument.€HT)'!C:G,4,FALSE()))</f>
        <v>1236</v>
      </c>
      <c r="I959" s="5">
        <f>F959+(VLOOKUP(D959,'(Semelles.Monument.€HT)'!C:G,5,FALSE()))</f>
        <v>1321</v>
      </c>
    </row>
    <row r="960" spans="1:9" ht="26" customHeight="1">
      <c r="A960" s="17" t="s">
        <v>156</v>
      </c>
      <c r="B960" s="18" t="s">
        <v>166</v>
      </c>
      <c r="C960" s="18" t="s">
        <v>128</v>
      </c>
      <c r="D960" s="18">
        <v>47</v>
      </c>
      <c r="E960" s="17" t="s">
        <v>145</v>
      </c>
      <c r="F960" s="19">
        <v>896</v>
      </c>
      <c r="G960" s="20">
        <f>F960+(VLOOKUP(D960,'(Semelles.Monument.€HT)'!C:G,3,FALSE()))</f>
        <v>1180</v>
      </c>
      <c r="H960" s="21">
        <f>F960+(VLOOKUP(D960,'(Semelles.Monument.€HT)'!C:G,4,FALSE()))</f>
        <v>1262</v>
      </c>
      <c r="I960" s="22">
        <f>F960+(VLOOKUP(D960,'(Semelles.Monument.€HT)'!C:G,5,FALSE()))</f>
        <v>1348</v>
      </c>
    </row>
    <row r="961" spans="1:9" ht="26" customHeight="1">
      <c r="A961" s="2" t="s">
        <v>156</v>
      </c>
      <c r="B961" s="13" t="s">
        <v>166</v>
      </c>
      <c r="C961" s="13" t="s">
        <v>128</v>
      </c>
      <c r="D961" s="13">
        <v>48</v>
      </c>
      <c r="E961" s="2" t="s">
        <v>146</v>
      </c>
      <c r="F961" s="7">
        <v>905</v>
      </c>
      <c r="G961" s="3">
        <f>F961+(VLOOKUP(D961,'(Semelles.Monument.€HT)'!C:G,3,FALSE()))</f>
        <v>1192</v>
      </c>
      <c r="H961" s="4">
        <f>F961+(VLOOKUP(D961,'(Semelles.Monument.€HT)'!C:G,4,FALSE()))</f>
        <v>1275</v>
      </c>
      <c r="I961" s="5">
        <f>F961+(VLOOKUP(D961,'(Semelles.Monument.€HT)'!C:G,5,FALSE()))</f>
        <v>1362</v>
      </c>
    </row>
    <row r="962" spans="1:9" ht="26" customHeight="1">
      <c r="A962" s="17" t="s">
        <v>156</v>
      </c>
      <c r="B962" s="18" t="s">
        <v>167</v>
      </c>
      <c r="C962" s="18" t="s">
        <v>97</v>
      </c>
      <c r="D962" s="18">
        <v>1</v>
      </c>
      <c r="E962" s="17" t="s">
        <v>98</v>
      </c>
      <c r="F962" s="19">
        <v>734</v>
      </c>
      <c r="G962" s="20">
        <f>F962+(VLOOKUP(D962,'(Semelles.Monument.€HT)'!C:G,3,FALSE()))</f>
        <v>892</v>
      </c>
      <c r="H962" s="21">
        <f>F962+(VLOOKUP(D962,'(Semelles.Monument.€HT)'!C:G,4,FALSE()))</f>
        <v>938</v>
      </c>
      <c r="I962" s="22">
        <f>F962+(VLOOKUP(D962,'(Semelles.Monument.€HT)'!C:G,5,FALSE()))</f>
        <v>986</v>
      </c>
    </row>
    <row r="963" spans="1:9" ht="26" customHeight="1">
      <c r="A963" s="2" t="s">
        <v>156</v>
      </c>
      <c r="B963" s="13" t="s">
        <v>167</v>
      </c>
      <c r="C963" s="13" t="s">
        <v>97</v>
      </c>
      <c r="D963" s="13">
        <v>2</v>
      </c>
      <c r="E963" s="2" t="s">
        <v>99</v>
      </c>
      <c r="F963" s="7">
        <v>733</v>
      </c>
      <c r="G963" s="3">
        <f>F963+(VLOOKUP(D963,'(Semelles.Monument.€HT)'!C:G,3,FALSE()))</f>
        <v>891</v>
      </c>
      <c r="H963" s="4">
        <f>F963+(VLOOKUP(D963,'(Semelles.Monument.€HT)'!C:G,4,FALSE()))</f>
        <v>937</v>
      </c>
      <c r="I963" s="5">
        <f>F963+(VLOOKUP(D963,'(Semelles.Monument.€HT)'!C:G,5,FALSE()))</f>
        <v>985</v>
      </c>
    </row>
    <row r="964" spans="1:9" ht="26" customHeight="1">
      <c r="A964" s="17" t="s">
        <v>156</v>
      </c>
      <c r="B964" s="18" t="s">
        <v>167</v>
      </c>
      <c r="C964" s="18" t="s">
        <v>97</v>
      </c>
      <c r="D964" s="18">
        <v>3</v>
      </c>
      <c r="E964" s="17" t="s">
        <v>100</v>
      </c>
      <c r="F964" s="19">
        <v>816</v>
      </c>
      <c r="G964" s="20">
        <f>F964+(VLOOKUP(D964,'(Semelles.Monument.€HT)'!C:G,3,FALSE()))</f>
        <v>992</v>
      </c>
      <c r="H964" s="21">
        <f>F964+(VLOOKUP(D964,'(Semelles.Monument.€HT)'!C:G,4,FALSE()))</f>
        <v>1043</v>
      </c>
      <c r="I964" s="22">
        <f>F964+(VLOOKUP(D964,'(Semelles.Monument.€HT)'!C:G,5,FALSE()))</f>
        <v>1096</v>
      </c>
    </row>
    <row r="965" spans="1:9" ht="26" customHeight="1">
      <c r="A965" s="2" t="s">
        <v>156</v>
      </c>
      <c r="B965" s="13" t="s">
        <v>167</v>
      </c>
      <c r="C965" s="13" t="s">
        <v>97</v>
      </c>
      <c r="D965" s="13">
        <v>4</v>
      </c>
      <c r="E965" s="2" t="s">
        <v>101</v>
      </c>
      <c r="F965" s="7">
        <v>829</v>
      </c>
      <c r="G965" s="3">
        <f>F965+(VLOOKUP(D965,'(Semelles.Monument.€HT)'!C:G,3,FALSE()))</f>
        <v>1008</v>
      </c>
      <c r="H965" s="4">
        <f>F965+(VLOOKUP(D965,'(Semelles.Monument.€HT)'!C:G,4,FALSE()))</f>
        <v>1060</v>
      </c>
      <c r="I965" s="5">
        <f>F965+(VLOOKUP(D965,'(Semelles.Monument.€HT)'!C:G,5,FALSE()))</f>
        <v>1114</v>
      </c>
    </row>
    <row r="966" spans="1:9" ht="26" customHeight="1">
      <c r="A966" s="17" t="s">
        <v>156</v>
      </c>
      <c r="B966" s="18" t="s">
        <v>167</v>
      </c>
      <c r="C966" s="18" t="s">
        <v>97</v>
      </c>
      <c r="D966" s="18">
        <v>5</v>
      </c>
      <c r="E966" s="17" t="s">
        <v>102</v>
      </c>
      <c r="F966" s="19">
        <v>829</v>
      </c>
      <c r="G966" s="20">
        <f>F966+(VLOOKUP(D966,'(Semelles.Monument.€HT)'!C:G,3,FALSE()))</f>
        <v>1008</v>
      </c>
      <c r="H966" s="21">
        <f>F966+(VLOOKUP(D966,'(Semelles.Monument.€HT)'!C:G,4,FALSE()))</f>
        <v>1060</v>
      </c>
      <c r="I966" s="22">
        <f>F966+(VLOOKUP(D966,'(Semelles.Monument.€HT)'!C:G,5,FALSE()))</f>
        <v>1114</v>
      </c>
    </row>
    <row r="967" spans="1:9" ht="26" customHeight="1">
      <c r="A967" s="2" t="s">
        <v>156</v>
      </c>
      <c r="B967" s="13" t="s">
        <v>167</v>
      </c>
      <c r="C967" s="13" t="s">
        <v>97</v>
      </c>
      <c r="D967" s="13">
        <v>6</v>
      </c>
      <c r="E967" s="2" t="s">
        <v>103</v>
      </c>
      <c r="F967" s="7">
        <v>833</v>
      </c>
      <c r="G967" s="3">
        <f>F967+(VLOOKUP(D967,'(Semelles.Monument.€HT)'!C:G,3,FALSE()))</f>
        <v>1013</v>
      </c>
      <c r="H967" s="4">
        <f>F967+(VLOOKUP(D967,'(Semelles.Monument.€HT)'!C:G,4,FALSE()))</f>
        <v>1065</v>
      </c>
      <c r="I967" s="5">
        <f>F967+(VLOOKUP(D967,'(Semelles.Monument.€HT)'!C:G,5,FALSE()))</f>
        <v>1120</v>
      </c>
    </row>
    <row r="968" spans="1:9" ht="26" customHeight="1">
      <c r="A968" s="17" t="s">
        <v>156</v>
      </c>
      <c r="B968" s="18" t="s">
        <v>167</v>
      </c>
      <c r="C968" s="18" t="s">
        <v>97</v>
      </c>
      <c r="D968" s="18">
        <v>7</v>
      </c>
      <c r="E968" s="17" t="s">
        <v>104</v>
      </c>
      <c r="F968" s="19">
        <v>833</v>
      </c>
      <c r="G968" s="20">
        <f>F968+(VLOOKUP(D968,'(Semelles.Monument.€HT)'!C:G,3,FALSE()))</f>
        <v>1013</v>
      </c>
      <c r="H968" s="21">
        <f>F968+(VLOOKUP(D968,'(Semelles.Monument.€HT)'!C:G,4,FALSE()))</f>
        <v>1065</v>
      </c>
      <c r="I968" s="22">
        <f>F968+(VLOOKUP(D968,'(Semelles.Monument.€HT)'!C:G,5,FALSE()))</f>
        <v>1120</v>
      </c>
    </row>
    <row r="969" spans="1:9" ht="26" customHeight="1">
      <c r="A969" s="2" t="s">
        <v>156</v>
      </c>
      <c r="B969" s="13" t="s">
        <v>167</v>
      </c>
      <c r="C969" s="13" t="s">
        <v>97</v>
      </c>
      <c r="D969" s="13">
        <v>8</v>
      </c>
      <c r="E969" s="2" t="s">
        <v>105</v>
      </c>
      <c r="F969" s="7">
        <v>833</v>
      </c>
      <c r="G969" s="3">
        <f>F969+(VLOOKUP(D969,'(Semelles.Monument.€HT)'!C:G,3,FALSE()))</f>
        <v>1013</v>
      </c>
      <c r="H969" s="4">
        <f>F969+(VLOOKUP(D969,'(Semelles.Monument.€HT)'!C:G,4,FALSE()))</f>
        <v>1065</v>
      </c>
      <c r="I969" s="5">
        <f>F969+(VLOOKUP(D969,'(Semelles.Monument.€HT)'!C:G,5,FALSE()))</f>
        <v>1120</v>
      </c>
    </row>
    <row r="970" spans="1:9" ht="26" customHeight="1">
      <c r="A970" s="17" t="s">
        <v>156</v>
      </c>
      <c r="B970" s="18" t="s">
        <v>167</v>
      </c>
      <c r="C970" s="18" t="s">
        <v>97</v>
      </c>
      <c r="D970" s="18">
        <v>9</v>
      </c>
      <c r="E970" s="17" t="s">
        <v>106</v>
      </c>
      <c r="F970" s="19">
        <v>833</v>
      </c>
      <c r="G970" s="20">
        <f>F970+(VLOOKUP(D970,'(Semelles.Monument.€HT)'!C:G,3,FALSE()))</f>
        <v>1013</v>
      </c>
      <c r="H970" s="21">
        <f>F970+(VLOOKUP(D970,'(Semelles.Monument.€HT)'!C:G,4,FALSE()))</f>
        <v>1065</v>
      </c>
      <c r="I970" s="22">
        <f>F970+(VLOOKUP(D970,'(Semelles.Monument.€HT)'!C:G,5,FALSE()))</f>
        <v>1120</v>
      </c>
    </row>
    <row r="971" spans="1:9" ht="26" customHeight="1">
      <c r="A971" s="2" t="s">
        <v>156</v>
      </c>
      <c r="B971" s="13" t="s">
        <v>167</v>
      </c>
      <c r="C971" s="13" t="s">
        <v>97</v>
      </c>
      <c r="D971" s="13">
        <v>10</v>
      </c>
      <c r="E971" s="2" t="s">
        <v>107</v>
      </c>
      <c r="F971" s="7">
        <v>833</v>
      </c>
      <c r="G971" s="3">
        <f>F971+(VLOOKUP(D971,'(Semelles.Monument.€HT)'!C:G,3,FALSE()))</f>
        <v>1013</v>
      </c>
      <c r="H971" s="4">
        <f>F971+(VLOOKUP(D971,'(Semelles.Monument.€HT)'!C:G,4,FALSE()))</f>
        <v>1065</v>
      </c>
      <c r="I971" s="5">
        <f>F971+(VLOOKUP(D971,'(Semelles.Monument.€HT)'!C:G,5,FALSE()))</f>
        <v>1120</v>
      </c>
    </row>
    <row r="972" spans="1:9" ht="26" customHeight="1">
      <c r="A972" s="17" t="s">
        <v>156</v>
      </c>
      <c r="B972" s="18" t="s">
        <v>167</v>
      </c>
      <c r="C972" s="18" t="s">
        <v>97</v>
      </c>
      <c r="D972" s="18">
        <v>11</v>
      </c>
      <c r="E972" s="17" t="s">
        <v>108</v>
      </c>
      <c r="F972" s="19">
        <v>833</v>
      </c>
      <c r="G972" s="20">
        <f>F972+(VLOOKUP(D972,'(Semelles.Monument.€HT)'!C:G,3,FALSE()))</f>
        <v>1013</v>
      </c>
      <c r="H972" s="21">
        <f>F972+(VLOOKUP(D972,'(Semelles.Monument.€HT)'!C:G,4,FALSE()))</f>
        <v>1065</v>
      </c>
      <c r="I972" s="22">
        <f>F972+(VLOOKUP(D972,'(Semelles.Monument.€HT)'!C:G,5,FALSE()))</f>
        <v>1120</v>
      </c>
    </row>
    <row r="973" spans="1:9" ht="26" customHeight="1">
      <c r="A973" s="2" t="s">
        <v>156</v>
      </c>
      <c r="B973" s="13" t="s">
        <v>167</v>
      </c>
      <c r="C973" s="13" t="s">
        <v>97</v>
      </c>
      <c r="D973" s="13">
        <v>12</v>
      </c>
      <c r="E973" s="2" t="s">
        <v>109</v>
      </c>
      <c r="F973" s="7">
        <v>845</v>
      </c>
      <c r="G973" s="3">
        <f>F973+(VLOOKUP(D973,'(Semelles.Monument.€HT)'!C:G,3,FALSE()))</f>
        <v>1027</v>
      </c>
      <c r="H973" s="4">
        <f>F973+(VLOOKUP(D973,'(Semelles.Monument.€HT)'!C:G,4,FALSE()))</f>
        <v>1080</v>
      </c>
      <c r="I973" s="5">
        <f>F973+(VLOOKUP(D973,'(Semelles.Monument.€HT)'!C:G,5,FALSE()))</f>
        <v>1136</v>
      </c>
    </row>
    <row r="974" spans="1:9" ht="26" customHeight="1">
      <c r="A974" s="17" t="s">
        <v>156</v>
      </c>
      <c r="B974" s="18" t="s">
        <v>167</v>
      </c>
      <c r="C974" s="18" t="s">
        <v>97</v>
      </c>
      <c r="D974" s="18">
        <v>13</v>
      </c>
      <c r="E974" s="17" t="s">
        <v>110</v>
      </c>
      <c r="F974" s="19">
        <v>845</v>
      </c>
      <c r="G974" s="20">
        <f>F974+(VLOOKUP(D974,'(Semelles.Monument.€HT)'!C:G,3,FALSE()))</f>
        <v>1027</v>
      </c>
      <c r="H974" s="21">
        <f>F974+(VLOOKUP(D974,'(Semelles.Monument.€HT)'!C:G,4,FALSE()))</f>
        <v>1080</v>
      </c>
      <c r="I974" s="22">
        <f>F974+(VLOOKUP(D974,'(Semelles.Monument.€HT)'!C:G,5,FALSE()))</f>
        <v>1136</v>
      </c>
    </row>
    <row r="975" spans="1:9" ht="26" customHeight="1">
      <c r="A975" s="2" t="s">
        <v>156</v>
      </c>
      <c r="B975" s="13" t="s">
        <v>167</v>
      </c>
      <c r="C975" s="13" t="s">
        <v>97</v>
      </c>
      <c r="D975" s="13">
        <v>14</v>
      </c>
      <c r="E975" s="2" t="s">
        <v>111</v>
      </c>
      <c r="F975" s="7">
        <v>848</v>
      </c>
      <c r="G975" s="3">
        <f>F975+(VLOOKUP(D975,'(Semelles.Monument.€HT)'!C:G,3,FALSE()))</f>
        <v>1031</v>
      </c>
      <c r="H975" s="4">
        <f>F975+(VLOOKUP(D975,'(Semelles.Monument.€HT)'!C:G,4,FALSE()))</f>
        <v>1084</v>
      </c>
      <c r="I975" s="5">
        <f>F975+(VLOOKUP(D975,'(Semelles.Monument.€HT)'!C:G,5,FALSE()))</f>
        <v>1140</v>
      </c>
    </row>
    <row r="976" spans="1:9" ht="26" customHeight="1">
      <c r="A976" s="17" t="s">
        <v>156</v>
      </c>
      <c r="B976" s="18" t="s">
        <v>167</v>
      </c>
      <c r="C976" s="18" t="s">
        <v>97</v>
      </c>
      <c r="D976" s="18">
        <v>15</v>
      </c>
      <c r="E976" s="17" t="s">
        <v>112</v>
      </c>
      <c r="F976" s="19">
        <v>848</v>
      </c>
      <c r="G976" s="20">
        <f>F976+(VLOOKUP(D976,'(Semelles.Monument.€HT)'!C:G,3,FALSE()))</f>
        <v>1031</v>
      </c>
      <c r="H976" s="21">
        <f>F976+(VLOOKUP(D976,'(Semelles.Monument.€HT)'!C:G,4,FALSE()))</f>
        <v>1084</v>
      </c>
      <c r="I976" s="22">
        <f>F976+(VLOOKUP(D976,'(Semelles.Monument.€HT)'!C:G,5,FALSE()))</f>
        <v>1140</v>
      </c>
    </row>
    <row r="977" spans="1:9" ht="26" customHeight="1">
      <c r="A977" s="2" t="s">
        <v>156</v>
      </c>
      <c r="B977" s="13" t="s">
        <v>167</v>
      </c>
      <c r="C977" s="13" t="s">
        <v>97</v>
      </c>
      <c r="D977" s="13">
        <v>16</v>
      </c>
      <c r="E977" s="2" t="s">
        <v>113</v>
      </c>
      <c r="F977" s="7">
        <v>848</v>
      </c>
      <c r="G977" s="3">
        <f>F977+(VLOOKUP(D977,'(Semelles.Monument.€HT)'!C:G,3,FALSE()))</f>
        <v>1031</v>
      </c>
      <c r="H977" s="4">
        <f>F977+(VLOOKUP(D977,'(Semelles.Monument.€HT)'!C:G,4,FALSE()))</f>
        <v>1084</v>
      </c>
      <c r="I977" s="5">
        <f>F977+(VLOOKUP(D977,'(Semelles.Monument.€HT)'!C:G,5,FALSE()))</f>
        <v>1140</v>
      </c>
    </row>
    <row r="978" spans="1:9" ht="26" customHeight="1">
      <c r="A978" s="17" t="s">
        <v>156</v>
      </c>
      <c r="B978" s="18" t="s">
        <v>167</v>
      </c>
      <c r="C978" s="18" t="s">
        <v>97</v>
      </c>
      <c r="D978" s="18">
        <v>17</v>
      </c>
      <c r="E978" s="17" t="s">
        <v>114</v>
      </c>
      <c r="F978" s="19">
        <v>863</v>
      </c>
      <c r="G978" s="20">
        <f>F978+(VLOOKUP(D978,'(Semelles.Monument.€HT)'!C:G,3,FALSE()))</f>
        <v>1049</v>
      </c>
      <c r="H978" s="21">
        <f>F978+(VLOOKUP(D978,'(Semelles.Monument.€HT)'!C:G,4,FALSE()))</f>
        <v>1103</v>
      </c>
      <c r="I978" s="22">
        <f>F978+(VLOOKUP(D978,'(Semelles.Monument.€HT)'!C:G,5,FALSE()))</f>
        <v>1160</v>
      </c>
    </row>
    <row r="979" spans="1:9" ht="26" customHeight="1">
      <c r="A979" s="2" t="s">
        <v>156</v>
      </c>
      <c r="B979" s="13" t="s">
        <v>167</v>
      </c>
      <c r="C979" s="13" t="s">
        <v>97</v>
      </c>
      <c r="D979" s="13">
        <v>18</v>
      </c>
      <c r="E979" s="2" t="s">
        <v>115</v>
      </c>
      <c r="F979" s="7">
        <v>863</v>
      </c>
      <c r="G979" s="3">
        <f>F979+(VLOOKUP(D979,'(Semelles.Monument.€HT)'!C:G,3,FALSE()))</f>
        <v>1049</v>
      </c>
      <c r="H979" s="4">
        <f>F979+(VLOOKUP(D979,'(Semelles.Monument.€HT)'!C:G,4,FALSE()))</f>
        <v>1103</v>
      </c>
      <c r="I979" s="5">
        <f>F979+(VLOOKUP(D979,'(Semelles.Monument.€HT)'!C:G,5,FALSE()))</f>
        <v>1160</v>
      </c>
    </row>
    <row r="980" spans="1:9" ht="26" customHeight="1">
      <c r="A980" s="17" t="s">
        <v>156</v>
      </c>
      <c r="B980" s="18" t="s">
        <v>167</v>
      </c>
      <c r="C980" s="18" t="s">
        <v>97</v>
      </c>
      <c r="D980" s="18">
        <v>19</v>
      </c>
      <c r="E980" s="17" t="s">
        <v>116</v>
      </c>
      <c r="F980" s="19">
        <v>863</v>
      </c>
      <c r="G980" s="20">
        <f>F980+(VLOOKUP(D980,'(Semelles.Monument.€HT)'!C:G,3,FALSE()))</f>
        <v>1049</v>
      </c>
      <c r="H980" s="21">
        <f>F980+(VLOOKUP(D980,'(Semelles.Monument.€HT)'!C:G,4,FALSE()))</f>
        <v>1103</v>
      </c>
      <c r="I980" s="22">
        <f>F980+(VLOOKUP(D980,'(Semelles.Monument.€HT)'!C:G,5,FALSE()))</f>
        <v>1160</v>
      </c>
    </row>
    <row r="981" spans="1:9" ht="26" customHeight="1">
      <c r="A981" s="2" t="s">
        <v>156</v>
      </c>
      <c r="B981" s="13" t="s">
        <v>167</v>
      </c>
      <c r="C981" s="13" t="s">
        <v>97</v>
      </c>
      <c r="D981" s="13">
        <v>20</v>
      </c>
      <c r="E981" s="2" t="s">
        <v>117</v>
      </c>
      <c r="F981" s="7">
        <v>870</v>
      </c>
      <c r="G981" s="3">
        <f>F981+(VLOOKUP(D981,'(Semelles.Monument.€HT)'!C:G,3,FALSE()))</f>
        <v>1058</v>
      </c>
      <c r="H981" s="4">
        <f>F981+(VLOOKUP(D981,'(Semelles.Monument.€HT)'!C:G,4,FALSE()))</f>
        <v>1112</v>
      </c>
      <c r="I981" s="5">
        <f>F981+(VLOOKUP(D981,'(Semelles.Monument.€HT)'!C:G,5,FALSE()))</f>
        <v>1169</v>
      </c>
    </row>
    <row r="982" spans="1:9" ht="26" customHeight="1">
      <c r="A982" s="17" t="s">
        <v>156</v>
      </c>
      <c r="B982" s="18" t="s">
        <v>167</v>
      </c>
      <c r="C982" s="18" t="s">
        <v>97</v>
      </c>
      <c r="D982" s="18">
        <v>21</v>
      </c>
      <c r="E982" s="17" t="s">
        <v>118</v>
      </c>
      <c r="F982" s="19">
        <v>875</v>
      </c>
      <c r="G982" s="20">
        <f>F982+(VLOOKUP(D982,'(Semelles.Monument.€HT)'!C:G,3,FALSE()))</f>
        <v>1064</v>
      </c>
      <c r="H982" s="21">
        <f>F982+(VLOOKUP(D982,'(Semelles.Monument.€HT)'!C:G,4,FALSE()))</f>
        <v>1118</v>
      </c>
      <c r="I982" s="22">
        <f>F982+(VLOOKUP(D982,'(Semelles.Monument.€HT)'!C:G,5,FALSE()))</f>
        <v>1176</v>
      </c>
    </row>
    <row r="983" spans="1:9" ht="26" customHeight="1">
      <c r="A983" s="2" t="s">
        <v>156</v>
      </c>
      <c r="B983" s="13" t="s">
        <v>167</v>
      </c>
      <c r="C983" s="13" t="s">
        <v>97</v>
      </c>
      <c r="D983" s="13">
        <v>22</v>
      </c>
      <c r="E983" s="2" t="s">
        <v>119</v>
      </c>
      <c r="F983" s="7">
        <v>875</v>
      </c>
      <c r="G983" s="3">
        <f>F983+(VLOOKUP(D983,'(Semelles.Monument.€HT)'!C:G,3,FALSE()))</f>
        <v>1064</v>
      </c>
      <c r="H983" s="4">
        <f>F983+(VLOOKUP(D983,'(Semelles.Monument.€HT)'!C:G,4,FALSE()))</f>
        <v>1118</v>
      </c>
      <c r="I983" s="5">
        <f>F983+(VLOOKUP(D983,'(Semelles.Monument.€HT)'!C:G,5,FALSE()))</f>
        <v>1176</v>
      </c>
    </row>
    <row r="984" spans="1:9" ht="26" customHeight="1">
      <c r="A984" s="17" t="s">
        <v>156</v>
      </c>
      <c r="B984" s="18" t="s">
        <v>167</v>
      </c>
      <c r="C984" s="18" t="s">
        <v>97</v>
      </c>
      <c r="D984" s="18">
        <v>23</v>
      </c>
      <c r="E984" s="17" t="s">
        <v>120</v>
      </c>
      <c r="F984" s="19">
        <v>888</v>
      </c>
      <c r="G984" s="20">
        <f>F984+(VLOOKUP(D984,'(Semelles.Monument.€HT)'!C:G,3,FALSE()))</f>
        <v>1080</v>
      </c>
      <c r="H984" s="21">
        <f>F984+(VLOOKUP(D984,'(Semelles.Monument.€HT)'!C:G,4,FALSE()))</f>
        <v>1135</v>
      </c>
      <c r="I984" s="22">
        <f>F984+(VLOOKUP(D984,'(Semelles.Monument.€HT)'!C:G,5,FALSE()))</f>
        <v>1193</v>
      </c>
    </row>
    <row r="985" spans="1:9" ht="26" customHeight="1">
      <c r="A985" s="2" t="s">
        <v>156</v>
      </c>
      <c r="B985" s="13" t="s">
        <v>167</v>
      </c>
      <c r="C985" s="13" t="s">
        <v>97</v>
      </c>
      <c r="D985" s="13">
        <v>24</v>
      </c>
      <c r="E985" s="2" t="s">
        <v>121</v>
      </c>
      <c r="F985" s="7">
        <v>888</v>
      </c>
      <c r="G985" s="3">
        <f>F985+(VLOOKUP(D985,'(Semelles.Monument.€HT)'!C:G,3,FALSE()))</f>
        <v>1080</v>
      </c>
      <c r="H985" s="4">
        <f>F985+(VLOOKUP(D985,'(Semelles.Monument.€HT)'!C:G,4,FALSE()))</f>
        <v>1135</v>
      </c>
      <c r="I985" s="5">
        <f>F985+(VLOOKUP(D985,'(Semelles.Monument.€HT)'!C:G,5,FALSE()))</f>
        <v>1193</v>
      </c>
    </row>
    <row r="986" spans="1:9" ht="26" customHeight="1">
      <c r="A986" s="17" t="s">
        <v>156</v>
      </c>
      <c r="B986" s="18" t="s">
        <v>167</v>
      </c>
      <c r="C986" s="18" t="s">
        <v>97</v>
      </c>
      <c r="D986" s="18">
        <v>25</v>
      </c>
      <c r="E986" s="17" t="s">
        <v>122</v>
      </c>
      <c r="F986" s="19">
        <v>888</v>
      </c>
      <c r="G986" s="20">
        <f>F986+(VLOOKUP(D986,'(Semelles.Monument.€HT)'!C:G,3,FALSE()))</f>
        <v>1080</v>
      </c>
      <c r="H986" s="21">
        <f>F986+(VLOOKUP(D986,'(Semelles.Monument.€HT)'!C:G,4,FALSE()))</f>
        <v>1135</v>
      </c>
      <c r="I986" s="22">
        <f>F986+(VLOOKUP(D986,'(Semelles.Monument.€HT)'!C:G,5,FALSE()))</f>
        <v>1193</v>
      </c>
    </row>
    <row r="987" spans="1:9" ht="26" customHeight="1">
      <c r="A987" s="2" t="s">
        <v>156</v>
      </c>
      <c r="B987" s="13" t="s">
        <v>167</v>
      </c>
      <c r="C987" s="13" t="s">
        <v>97</v>
      </c>
      <c r="D987" s="13">
        <v>26</v>
      </c>
      <c r="E987" s="2" t="s">
        <v>123</v>
      </c>
      <c r="F987" s="7">
        <v>903</v>
      </c>
      <c r="G987" s="3">
        <f>F987+(VLOOKUP(D987,'(Semelles.Monument.€HT)'!C:G,3,FALSE()))</f>
        <v>1098</v>
      </c>
      <c r="H987" s="4">
        <f>F987+(VLOOKUP(D987,'(Semelles.Monument.€HT)'!C:G,4,FALSE()))</f>
        <v>1154</v>
      </c>
      <c r="I987" s="5">
        <f>F987+(VLOOKUP(D987,'(Semelles.Monument.€HT)'!C:G,5,FALSE()))</f>
        <v>1213</v>
      </c>
    </row>
    <row r="988" spans="1:9" ht="26" customHeight="1">
      <c r="A988" s="17" t="s">
        <v>156</v>
      </c>
      <c r="B988" s="18" t="s">
        <v>167</v>
      </c>
      <c r="C988" s="18" t="s">
        <v>97</v>
      </c>
      <c r="D988" s="18">
        <v>27</v>
      </c>
      <c r="E988" s="17" t="s">
        <v>124</v>
      </c>
      <c r="F988" s="19">
        <v>962</v>
      </c>
      <c r="G988" s="20">
        <f>F988+(VLOOKUP(D988,'(Semelles.Monument.€HT)'!C:G,3,FALSE()))</f>
        <v>1170</v>
      </c>
      <c r="H988" s="21">
        <f>F988+(VLOOKUP(D988,'(Semelles.Monument.€HT)'!C:G,4,FALSE()))</f>
        <v>1230</v>
      </c>
      <c r="I988" s="22">
        <f>F988+(VLOOKUP(D988,'(Semelles.Monument.€HT)'!C:G,5,FALSE()))</f>
        <v>1329</v>
      </c>
    </row>
    <row r="989" spans="1:9" ht="26" customHeight="1">
      <c r="A989" s="2" t="s">
        <v>156</v>
      </c>
      <c r="B989" s="13" t="s">
        <v>167</v>
      </c>
      <c r="C989" s="13" t="s">
        <v>97</v>
      </c>
      <c r="D989" s="13">
        <v>28</v>
      </c>
      <c r="E989" s="2" t="s">
        <v>125</v>
      </c>
      <c r="F989" s="7">
        <v>1066</v>
      </c>
      <c r="G989" s="3">
        <f>F989+(VLOOKUP(D989,'(Semelles.Monument.€HT)'!C:G,3,FALSE()))</f>
        <v>1296</v>
      </c>
      <c r="H989" s="4">
        <f>F989+(VLOOKUP(D989,'(Semelles.Monument.€HT)'!C:G,4,FALSE()))</f>
        <v>1363</v>
      </c>
      <c r="I989" s="5">
        <f>F989+(VLOOKUP(D989,'(Semelles.Monument.€HT)'!C:G,5,FALSE()))</f>
        <v>1433</v>
      </c>
    </row>
    <row r="990" spans="1:9" ht="26" customHeight="1">
      <c r="A990" s="17" t="s">
        <v>156</v>
      </c>
      <c r="B990" s="18" t="s">
        <v>167</v>
      </c>
      <c r="C990" s="18" t="s">
        <v>97</v>
      </c>
      <c r="D990" s="18">
        <v>29</v>
      </c>
      <c r="E990" s="17" t="s">
        <v>126</v>
      </c>
      <c r="F990" s="19">
        <v>1111</v>
      </c>
      <c r="G990" s="20">
        <f>F990+(VLOOKUP(D990,'(Semelles.Monument.€HT)'!C:G,3,FALSE()))</f>
        <v>1351</v>
      </c>
      <c r="H990" s="21">
        <f>F990+(VLOOKUP(D990,'(Semelles.Monument.€HT)'!C:G,4,FALSE()))</f>
        <v>1420</v>
      </c>
      <c r="I990" s="22">
        <f>F990+(VLOOKUP(D990,'(Semelles.Monument.€HT)'!C:G,5,FALSE()))</f>
        <v>1493</v>
      </c>
    </row>
    <row r="991" spans="1:9" ht="26" customHeight="1">
      <c r="A991" s="2" t="s">
        <v>156</v>
      </c>
      <c r="B991" s="13" t="s">
        <v>167</v>
      </c>
      <c r="C991" s="13" t="s">
        <v>97</v>
      </c>
      <c r="D991" s="13">
        <v>30</v>
      </c>
      <c r="E991" s="2" t="s">
        <v>127</v>
      </c>
      <c r="F991" s="7">
        <v>1111</v>
      </c>
      <c r="G991" s="3">
        <f>F991+(VLOOKUP(D991,'(Semelles.Monument.€HT)'!C:G,3,FALSE()))</f>
        <v>1351</v>
      </c>
      <c r="H991" s="4">
        <f>F991+(VLOOKUP(D991,'(Semelles.Monument.€HT)'!C:G,4,FALSE()))</f>
        <v>1420</v>
      </c>
      <c r="I991" s="5">
        <f>F991+(VLOOKUP(D991,'(Semelles.Monument.€HT)'!C:G,5,FALSE()))</f>
        <v>1493</v>
      </c>
    </row>
    <row r="992" spans="1:9" ht="26" customHeight="1">
      <c r="A992" s="17" t="s">
        <v>156</v>
      </c>
      <c r="B992" s="18" t="s">
        <v>167</v>
      </c>
      <c r="C992" s="18" t="s">
        <v>128</v>
      </c>
      <c r="D992" s="18">
        <v>31</v>
      </c>
      <c r="E992" s="17" t="s">
        <v>129</v>
      </c>
      <c r="F992" s="19">
        <v>631</v>
      </c>
      <c r="G992" s="20">
        <f>F992+(VLOOKUP(D992,'(Semelles.Monument.€HT)'!C:G,3,FALSE()))</f>
        <v>763</v>
      </c>
      <c r="H992" s="21">
        <f>F992+(VLOOKUP(D992,'(Semelles.Monument.€HT)'!C:G,4,FALSE()))</f>
        <v>801</v>
      </c>
      <c r="I992" s="22">
        <f>F992+(VLOOKUP(D992,'(Semelles.Monument.€HT)'!C:G,5,FALSE()))</f>
        <v>841</v>
      </c>
    </row>
    <row r="993" spans="1:9" ht="26" customHeight="1">
      <c r="A993" s="2" t="s">
        <v>156</v>
      </c>
      <c r="B993" s="13" t="s">
        <v>167</v>
      </c>
      <c r="C993" s="13" t="s">
        <v>128</v>
      </c>
      <c r="D993" s="13">
        <v>32</v>
      </c>
      <c r="E993" s="2" t="s">
        <v>130</v>
      </c>
      <c r="F993" s="7">
        <v>640</v>
      </c>
      <c r="G993" s="3">
        <f>F993+(VLOOKUP(D993,'(Semelles.Monument.€HT)'!C:G,3,FALSE()))</f>
        <v>774</v>
      </c>
      <c r="H993" s="4">
        <f>F993+(VLOOKUP(D993,'(Semelles.Monument.€HT)'!C:G,4,FALSE()))</f>
        <v>813</v>
      </c>
      <c r="I993" s="5">
        <f>F993+(VLOOKUP(D993,'(Semelles.Monument.€HT)'!C:G,5,FALSE()))</f>
        <v>853</v>
      </c>
    </row>
    <row r="994" spans="1:9" ht="26" customHeight="1">
      <c r="A994" s="17" t="s">
        <v>156</v>
      </c>
      <c r="B994" s="18" t="s">
        <v>167</v>
      </c>
      <c r="C994" s="18" t="s">
        <v>128</v>
      </c>
      <c r="D994" s="18">
        <v>33</v>
      </c>
      <c r="E994" s="17" t="s">
        <v>131</v>
      </c>
      <c r="F994" s="19">
        <v>640</v>
      </c>
      <c r="G994" s="20">
        <f>F994+(VLOOKUP(D994,'(Semelles.Monument.€HT)'!C:G,3,FALSE()))</f>
        <v>774</v>
      </c>
      <c r="H994" s="21">
        <f>F994+(VLOOKUP(D994,'(Semelles.Monument.€HT)'!C:G,4,FALSE()))</f>
        <v>813</v>
      </c>
      <c r="I994" s="22">
        <f>F994+(VLOOKUP(D994,'(Semelles.Monument.€HT)'!C:G,5,FALSE()))</f>
        <v>853</v>
      </c>
    </row>
    <row r="995" spans="1:9" ht="26" customHeight="1">
      <c r="A995" s="2" t="s">
        <v>156</v>
      </c>
      <c r="B995" s="13" t="s">
        <v>167</v>
      </c>
      <c r="C995" s="13" t="s">
        <v>128</v>
      </c>
      <c r="D995" s="13">
        <v>34</v>
      </c>
      <c r="E995" s="2" t="s">
        <v>132</v>
      </c>
      <c r="F995" s="7">
        <v>646</v>
      </c>
      <c r="G995" s="3">
        <f>F995+(VLOOKUP(D995,'(Semelles.Monument.€HT)'!C:G,3,FALSE()))</f>
        <v>781</v>
      </c>
      <c r="H995" s="4">
        <f>F995+(VLOOKUP(D995,'(Semelles.Monument.€HT)'!C:G,4,FALSE()))</f>
        <v>820</v>
      </c>
      <c r="I995" s="5">
        <f>F995+(VLOOKUP(D995,'(Semelles.Monument.€HT)'!C:G,5,FALSE()))</f>
        <v>861</v>
      </c>
    </row>
    <row r="996" spans="1:9" ht="26" customHeight="1">
      <c r="A996" s="17" t="s">
        <v>156</v>
      </c>
      <c r="B996" s="18" t="s">
        <v>167</v>
      </c>
      <c r="C996" s="18" t="s">
        <v>128</v>
      </c>
      <c r="D996" s="18">
        <v>35</v>
      </c>
      <c r="E996" s="17" t="s">
        <v>133</v>
      </c>
      <c r="F996" s="19">
        <v>774</v>
      </c>
      <c r="G996" s="20">
        <f>F996+(VLOOKUP(D996,'(Semelles.Monument.€HT)'!C:G,3,FALSE()))</f>
        <v>937</v>
      </c>
      <c r="H996" s="21">
        <f>F996+(VLOOKUP(D996,'(Semelles.Monument.€HT)'!C:G,4,FALSE()))</f>
        <v>984</v>
      </c>
      <c r="I996" s="22">
        <f>F996+(VLOOKUP(D996,'(Semelles.Monument.€HT)'!C:G,5,FALSE()))</f>
        <v>1033</v>
      </c>
    </row>
    <row r="997" spans="1:9" ht="26" customHeight="1">
      <c r="A997" s="2" t="s">
        <v>156</v>
      </c>
      <c r="B997" s="13" t="s">
        <v>167</v>
      </c>
      <c r="C997" s="13" t="s">
        <v>128</v>
      </c>
      <c r="D997" s="13">
        <v>36</v>
      </c>
      <c r="E997" s="2" t="s">
        <v>134</v>
      </c>
      <c r="F997" s="7">
        <v>801</v>
      </c>
      <c r="G997" s="3">
        <f>F997+(VLOOKUP(D997,'(Semelles.Monument.€HT)'!C:G,3,FALSE()))</f>
        <v>969</v>
      </c>
      <c r="H997" s="4">
        <f>F997+(VLOOKUP(D997,'(Semelles.Monument.€HT)'!C:G,4,FALSE()))</f>
        <v>1018</v>
      </c>
      <c r="I997" s="5">
        <f>F997+(VLOOKUP(D997,'(Semelles.Monument.€HT)'!C:G,5,FALSE()))</f>
        <v>1069</v>
      </c>
    </row>
    <row r="998" spans="1:9" ht="26" customHeight="1">
      <c r="A998" s="17" t="s">
        <v>156</v>
      </c>
      <c r="B998" s="18" t="s">
        <v>167</v>
      </c>
      <c r="C998" s="18" t="s">
        <v>128</v>
      </c>
      <c r="D998" s="18">
        <v>37</v>
      </c>
      <c r="E998" s="17" t="s">
        <v>135</v>
      </c>
      <c r="F998" s="19">
        <v>985</v>
      </c>
      <c r="G998" s="20">
        <f>F998+(VLOOKUP(D998,'(Semelles.Monument.€HT)'!C:G,3,FALSE()))</f>
        <v>1193</v>
      </c>
      <c r="H998" s="21">
        <f>F998+(VLOOKUP(D998,'(Semelles.Monument.€HT)'!C:G,4,FALSE()))</f>
        <v>1253</v>
      </c>
      <c r="I998" s="22">
        <f>F998+(VLOOKUP(D998,'(Semelles.Monument.€HT)'!C:G,5,FALSE()))</f>
        <v>1317</v>
      </c>
    </row>
    <row r="999" spans="1:9" ht="26" customHeight="1">
      <c r="A999" s="2" t="s">
        <v>156</v>
      </c>
      <c r="B999" s="13" t="s">
        <v>167</v>
      </c>
      <c r="C999" s="13" t="s">
        <v>128</v>
      </c>
      <c r="D999" s="13">
        <v>38</v>
      </c>
      <c r="E999" s="2" t="s">
        <v>136</v>
      </c>
      <c r="F999" s="7">
        <v>1041</v>
      </c>
      <c r="G999" s="3">
        <f>F999+(VLOOKUP(D999,'(Semelles.Monument.€HT)'!C:G,3,FALSE()))</f>
        <v>1261</v>
      </c>
      <c r="H999" s="4">
        <f>F999+(VLOOKUP(D999,'(Semelles.Monument.€HT)'!C:G,4,FALSE()))</f>
        <v>1325</v>
      </c>
      <c r="I999" s="5">
        <f>F999+(VLOOKUP(D999,'(Semelles.Monument.€HT)'!C:G,5,FALSE()))</f>
        <v>1392</v>
      </c>
    </row>
    <row r="1000" spans="1:9" ht="26" customHeight="1">
      <c r="A1000" s="17" t="s">
        <v>156</v>
      </c>
      <c r="B1000" s="18" t="s">
        <v>167</v>
      </c>
      <c r="C1000" s="18" t="s">
        <v>128</v>
      </c>
      <c r="D1000" s="18">
        <v>39</v>
      </c>
      <c r="E1000" s="17" t="s">
        <v>137</v>
      </c>
      <c r="F1000" s="19">
        <v>1068</v>
      </c>
      <c r="G1000" s="20">
        <f>F1000+(VLOOKUP(D1000,'(Semelles.Monument.€HT)'!C:G,3,FALSE()))</f>
        <v>1294</v>
      </c>
      <c r="H1000" s="21">
        <f>F1000+(VLOOKUP(D1000,'(Semelles.Monument.€HT)'!C:G,4,FALSE()))</f>
        <v>1359</v>
      </c>
      <c r="I1000" s="22">
        <f>F1000+(VLOOKUP(D1000,'(Semelles.Monument.€HT)'!C:G,5,FALSE()))</f>
        <v>1428</v>
      </c>
    </row>
    <row r="1001" spans="1:9" ht="26" customHeight="1">
      <c r="A1001" s="2" t="s">
        <v>156</v>
      </c>
      <c r="B1001" s="13" t="s">
        <v>167</v>
      </c>
      <c r="C1001" s="13" t="s">
        <v>128</v>
      </c>
      <c r="D1001" s="13">
        <v>40</v>
      </c>
      <c r="E1001" s="2" t="s">
        <v>138</v>
      </c>
      <c r="F1001" s="7">
        <v>1097</v>
      </c>
      <c r="G1001" s="3">
        <f>F1001+(VLOOKUP(D1001,'(Semelles.Monument.€HT)'!C:G,3,FALSE()))</f>
        <v>1329</v>
      </c>
      <c r="H1001" s="4">
        <f>F1001+(VLOOKUP(D1001,'(Semelles.Monument.€HT)'!C:G,4,FALSE()))</f>
        <v>1397</v>
      </c>
      <c r="I1001" s="5">
        <f>F1001+(VLOOKUP(D1001,'(Semelles.Monument.€HT)'!C:G,5,FALSE()))</f>
        <v>1467</v>
      </c>
    </row>
    <row r="1002" spans="1:9" ht="26" customHeight="1">
      <c r="A1002" s="17" t="s">
        <v>156</v>
      </c>
      <c r="B1002" s="18" t="s">
        <v>167</v>
      </c>
      <c r="C1002" s="18" t="s">
        <v>128</v>
      </c>
      <c r="D1002" s="18">
        <v>41</v>
      </c>
      <c r="E1002" s="17" t="s">
        <v>139</v>
      </c>
      <c r="F1002" s="19">
        <v>1166</v>
      </c>
      <c r="G1002" s="20">
        <f>F1002+(VLOOKUP(D1002,'(Semelles.Monument.€HT)'!C:G,3,FALSE()))</f>
        <v>1413</v>
      </c>
      <c r="H1002" s="21">
        <f>F1002+(VLOOKUP(D1002,'(Semelles.Monument.€HT)'!C:G,4,FALSE()))</f>
        <v>1485</v>
      </c>
      <c r="I1002" s="22">
        <f>F1002+(VLOOKUP(D1002,'(Semelles.Monument.€HT)'!C:G,5,FALSE()))</f>
        <v>1560</v>
      </c>
    </row>
    <row r="1003" spans="1:9" ht="26" customHeight="1">
      <c r="A1003" s="2" t="s">
        <v>156</v>
      </c>
      <c r="B1003" s="13" t="s">
        <v>167</v>
      </c>
      <c r="C1003" s="13" t="s">
        <v>128</v>
      </c>
      <c r="D1003" s="13">
        <v>42</v>
      </c>
      <c r="E1003" s="2" t="s">
        <v>140</v>
      </c>
      <c r="F1003" s="7">
        <v>1278</v>
      </c>
      <c r="G1003" s="3">
        <f>F1003+(VLOOKUP(D1003,'(Semelles.Monument.€HT)'!C:G,3,FALSE()))</f>
        <v>1549</v>
      </c>
      <c r="H1003" s="4">
        <f>F1003+(VLOOKUP(D1003,'(Semelles.Monument.€HT)'!C:G,4,FALSE()))</f>
        <v>1628</v>
      </c>
      <c r="I1003" s="5">
        <f>F1003+(VLOOKUP(D1003,'(Semelles.Monument.€HT)'!C:G,5,FALSE()))</f>
        <v>1711</v>
      </c>
    </row>
    <row r="1004" spans="1:9" ht="26" customHeight="1">
      <c r="A1004" s="17" t="s">
        <v>156</v>
      </c>
      <c r="B1004" s="18" t="s">
        <v>167</v>
      </c>
      <c r="C1004" s="18" t="s">
        <v>128</v>
      </c>
      <c r="D1004" s="18">
        <v>43</v>
      </c>
      <c r="E1004" s="17" t="s">
        <v>141</v>
      </c>
      <c r="F1004" s="19">
        <v>1278</v>
      </c>
      <c r="G1004" s="20">
        <f>F1004+(VLOOKUP(D1004,'(Semelles.Monument.€HT)'!C:G,3,FALSE()))</f>
        <v>1549</v>
      </c>
      <c r="H1004" s="21">
        <f>F1004+(VLOOKUP(D1004,'(Semelles.Monument.€HT)'!C:G,4,FALSE()))</f>
        <v>1628</v>
      </c>
      <c r="I1004" s="22">
        <f>F1004+(VLOOKUP(D1004,'(Semelles.Monument.€HT)'!C:G,5,FALSE()))</f>
        <v>1711</v>
      </c>
    </row>
    <row r="1005" spans="1:9" ht="26" customHeight="1">
      <c r="A1005" s="2" t="s">
        <v>156</v>
      </c>
      <c r="B1005" s="13" t="s">
        <v>167</v>
      </c>
      <c r="C1005" s="13" t="s">
        <v>128</v>
      </c>
      <c r="D1005" s="13">
        <v>44</v>
      </c>
      <c r="E1005" s="2" t="s">
        <v>142</v>
      </c>
      <c r="F1005" s="7">
        <v>1293</v>
      </c>
      <c r="G1005" s="3">
        <f>F1005+(VLOOKUP(D1005,'(Semelles.Monument.€HT)'!C:G,3,FALSE()))</f>
        <v>1568</v>
      </c>
      <c r="H1005" s="4">
        <f>F1005+(VLOOKUP(D1005,'(Semelles.Monument.€HT)'!C:G,4,FALSE()))</f>
        <v>1647</v>
      </c>
      <c r="I1005" s="5">
        <f>F1005+(VLOOKUP(D1005,'(Semelles.Monument.€HT)'!C:G,5,FALSE()))</f>
        <v>1731</v>
      </c>
    </row>
    <row r="1006" spans="1:9" ht="26" customHeight="1">
      <c r="A1006" s="17" t="s">
        <v>156</v>
      </c>
      <c r="B1006" s="18" t="s">
        <v>167</v>
      </c>
      <c r="C1006" s="18" t="s">
        <v>128</v>
      </c>
      <c r="D1006" s="18">
        <v>45</v>
      </c>
      <c r="E1006" s="17" t="s">
        <v>143</v>
      </c>
      <c r="F1006" s="19">
        <v>1308</v>
      </c>
      <c r="G1006" s="20">
        <f>F1006+(VLOOKUP(D1006,'(Semelles.Monument.€HT)'!C:G,3,FALSE()))</f>
        <v>1586</v>
      </c>
      <c r="H1006" s="21">
        <f>F1006+(VLOOKUP(D1006,'(Semelles.Monument.€HT)'!C:G,4,FALSE()))</f>
        <v>1666</v>
      </c>
      <c r="I1006" s="22">
        <f>F1006+(VLOOKUP(D1006,'(Semelles.Monument.€HT)'!C:G,5,FALSE()))</f>
        <v>1751</v>
      </c>
    </row>
    <row r="1007" spans="1:9" ht="26" customHeight="1">
      <c r="A1007" s="2" t="s">
        <v>156</v>
      </c>
      <c r="B1007" s="13" t="s">
        <v>167</v>
      </c>
      <c r="C1007" s="13" t="s">
        <v>128</v>
      </c>
      <c r="D1007" s="13">
        <v>46</v>
      </c>
      <c r="E1007" s="2" t="s">
        <v>144</v>
      </c>
      <c r="F1007" s="7">
        <v>1308</v>
      </c>
      <c r="G1007" s="3">
        <f>F1007+(VLOOKUP(D1007,'(Semelles.Monument.€HT)'!C:G,3,FALSE()))</f>
        <v>1586</v>
      </c>
      <c r="H1007" s="4">
        <f>F1007+(VLOOKUP(D1007,'(Semelles.Monument.€HT)'!C:G,4,FALSE()))</f>
        <v>1666</v>
      </c>
      <c r="I1007" s="5">
        <f>F1007+(VLOOKUP(D1007,'(Semelles.Monument.€HT)'!C:G,5,FALSE()))</f>
        <v>1751</v>
      </c>
    </row>
    <row r="1008" spans="1:9" ht="26" customHeight="1">
      <c r="A1008" s="17" t="s">
        <v>156</v>
      </c>
      <c r="B1008" s="18" t="s">
        <v>167</v>
      </c>
      <c r="C1008" s="18" t="s">
        <v>128</v>
      </c>
      <c r="D1008" s="18">
        <v>47</v>
      </c>
      <c r="E1008" s="17" t="s">
        <v>145</v>
      </c>
      <c r="F1008" s="19">
        <v>1335</v>
      </c>
      <c r="G1008" s="20">
        <f>F1008+(VLOOKUP(D1008,'(Semelles.Monument.€HT)'!C:G,3,FALSE()))</f>
        <v>1619</v>
      </c>
      <c r="H1008" s="21">
        <f>F1008+(VLOOKUP(D1008,'(Semelles.Monument.€HT)'!C:G,4,FALSE()))</f>
        <v>1701</v>
      </c>
      <c r="I1008" s="22">
        <f>F1008+(VLOOKUP(D1008,'(Semelles.Monument.€HT)'!C:G,5,FALSE()))</f>
        <v>1787</v>
      </c>
    </row>
    <row r="1009" spans="1:9" ht="26" customHeight="1">
      <c r="A1009" s="2" t="s">
        <v>156</v>
      </c>
      <c r="B1009" s="13" t="s">
        <v>167</v>
      </c>
      <c r="C1009" s="13" t="s">
        <v>128</v>
      </c>
      <c r="D1009" s="13">
        <v>48</v>
      </c>
      <c r="E1009" s="2" t="s">
        <v>146</v>
      </c>
      <c r="F1009" s="7">
        <v>1350</v>
      </c>
      <c r="G1009" s="3">
        <f>F1009+(VLOOKUP(D1009,'(Semelles.Monument.€HT)'!C:G,3,FALSE()))</f>
        <v>1637</v>
      </c>
      <c r="H1009" s="4">
        <f>F1009+(VLOOKUP(D1009,'(Semelles.Monument.€HT)'!C:G,4,FALSE()))</f>
        <v>1720</v>
      </c>
      <c r="I1009" s="5">
        <f>F1009+(VLOOKUP(D1009,'(Semelles.Monument.€HT)'!C:G,5,FALSE()))</f>
        <v>1807</v>
      </c>
    </row>
    <row r="1010" spans="1:9" ht="26" customHeight="1">
      <c r="A1010" s="17" t="s">
        <v>156</v>
      </c>
      <c r="B1010" s="18" t="s">
        <v>168</v>
      </c>
      <c r="C1010" s="18" t="s">
        <v>97</v>
      </c>
      <c r="D1010" s="18">
        <v>1</v>
      </c>
      <c r="E1010" s="17" t="s">
        <v>98</v>
      </c>
      <c r="F1010" s="19">
        <v>697</v>
      </c>
      <c r="G1010" s="20">
        <f>F1010+(VLOOKUP(D1010,'(Semelles.Monument.€HT)'!C:G,3,FALSE()))</f>
        <v>855</v>
      </c>
      <c r="H1010" s="21">
        <f>F1010+(VLOOKUP(D1010,'(Semelles.Monument.€HT)'!C:G,4,FALSE()))</f>
        <v>901</v>
      </c>
      <c r="I1010" s="22">
        <f>F1010+(VLOOKUP(D1010,'(Semelles.Monument.€HT)'!C:G,5,FALSE()))</f>
        <v>949</v>
      </c>
    </row>
    <row r="1011" spans="1:9" ht="26" customHeight="1">
      <c r="A1011" s="2" t="s">
        <v>156</v>
      </c>
      <c r="B1011" s="13" t="s">
        <v>168</v>
      </c>
      <c r="C1011" s="13" t="s">
        <v>97</v>
      </c>
      <c r="D1011" s="13">
        <v>2</v>
      </c>
      <c r="E1011" s="2" t="s">
        <v>99</v>
      </c>
      <c r="F1011" s="7">
        <v>696</v>
      </c>
      <c r="G1011" s="3">
        <f>F1011+(VLOOKUP(D1011,'(Semelles.Monument.€HT)'!C:G,3,FALSE()))</f>
        <v>854</v>
      </c>
      <c r="H1011" s="4">
        <f>F1011+(VLOOKUP(D1011,'(Semelles.Monument.€HT)'!C:G,4,FALSE()))</f>
        <v>900</v>
      </c>
      <c r="I1011" s="5">
        <f>F1011+(VLOOKUP(D1011,'(Semelles.Monument.€HT)'!C:G,5,FALSE()))</f>
        <v>948</v>
      </c>
    </row>
    <row r="1012" spans="1:9" ht="26" customHeight="1">
      <c r="A1012" s="17" t="s">
        <v>156</v>
      </c>
      <c r="B1012" s="18" t="s">
        <v>168</v>
      </c>
      <c r="C1012" s="18" t="s">
        <v>97</v>
      </c>
      <c r="D1012" s="18">
        <v>3</v>
      </c>
      <c r="E1012" s="17" t="s">
        <v>100</v>
      </c>
      <c r="F1012" s="19">
        <v>775</v>
      </c>
      <c r="G1012" s="20">
        <f>F1012+(VLOOKUP(D1012,'(Semelles.Monument.€HT)'!C:G,3,FALSE()))</f>
        <v>951</v>
      </c>
      <c r="H1012" s="21">
        <f>F1012+(VLOOKUP(D1012,'(Semelles.Monument.€HT)'!C:G,4,FALSE()))</f>
        <v>1002</v>
      </c>
      <c r="I1012" s="22">
        <f>F1012+(VLOOKUP(D1012,'(Semelles.Monument.€HT)'!C:G,5,FALSE()))</f>
        <v>1055</v>
      </c>
    </row>
    <row r="1013" spans="1:9" ht="26" customHeight="1">
      <c r="A1013" s="2" t="s">
        <v>156</v>
      </c>
      <c r="B1013" s="13" t="s">
        <v>168</v>
      </c>
      <c r="C1013" s="13" t="s">
        <v>97</v>
      </c>
      <c r="D1013" s="13">
        <v>4</v>
      </c>
      <c r="E1013" s="2" t="s">
        <v>101</v>
      </c>
      <c r="F1013" s="7">
        <v>787</v>
      </c>
      <c r="G1013" s="3">
        <f>F1013+(VLOOKUP(D1013,'(Semelles.Monument.€HT)'!C:G,3,FALSE()))</f>
        <v>966</v>
      </c>
      <c r="H1013" s="4">
        <f>F1013+(VLOOKUP(D1013,'(Semelles.Monument.€HT)'!C:G,4,FALSE()))</f>
        <v>1018</v>
      </c>
      <c r="I1013" s="5">
        <f>F1013+(VLOOKUP(D1013,'(Semelles.Monument.€HT)'!C:G,5,FALSE()))</f>
        <v>1072</v>
      </c>
    </row>
    <row r="1014" spans="1:9" ht="26" customHeight="1">
      <c r="A1014" s="17" t="s">
        <v>156</v>
      </c>
      <c r="B1014" s="18" t="s">
        <v>168</v>
      </c>
      <c r="C1014" s="18" t="s">
        <v>97</v>
      </c>
      <c r="D1014" s="18">
        <v>5</v>
      </c>
      <c r="E1014" s="17" t="s">
        <v>102</v>
      </c>
      <c r="F1014" s="19">
        <v>787</v>
      </c>
      <c r="G1014" s="20">
        <f>F1014+(VLOOKUP(D1014,'(Semelles.Monument.€HT)'!C:G,3,FALSE()))</f>
        <v>966</v>
      </c>
      <c r="H1014" s="21">
        <f>F1014+(VLOOKUP(D1014,'(Semelles.Monument.€HT)'!C:G,4,FALSE()))</f>
        <v>1018</v>
      </c>
      <c r="I1014" s="22">
        <f>F1014+(VLOOKUP(D1014,'(Semelles.Monument.€HT)'!C:G,5,FALSE()))</f>
        <v>1072</v>
      </c>
    </row>
    <row r="1015" spans="1:9" ht="26" customHeight="1">
      <c r="A1015" s="2" t="s">
        <v>156</v>
      </c>
      <c r="B1015" s="13" t="s">
        <v>168</v>
      </c>
      <c r="C1015" s="13" t="s">
        <v>97</v>
      </c>
      <c r="D1015" s="13">
        <v>6</v>
      </c>
      <c r="E1015" s="2" t="s">
        <v>103</v>
      </c>
      <c r="F1015" s="7">
        <v>792</v>
      </c>
      <c r="G1015" s="3">
        <f>F1015+(VLOOKUP(D1015,'(Semelles.Monument.€HT)'!C:G,3,FALSE()))</f>
        <v>972</v>
      </c>
      <c r="H1015" s="4">
        <f>F1015+(VLOOKUP(D1015,'(Semelles.Monument.€HT)'!C:G,4,FALSE()))</f>
        <v>1024</v>
      </c>
      <c r="I1015" s="5">
        <f>F1015+(VLOOKUP(D1015,'(Semelles.Monument.€HT)'!C:G,5,FALSE()))</f>
        <v>1079</v>
      </c>
    </row>
    <row r="1016" spans="1:9" ht="26" customHeight="1">
      <c r="A1016" s="17" t="s">
        <v>156</v>
      </c>
      <c r="B1016" s="18" t="s">
        <v>168</v>
      </c>
      <c r="C1016" s="18" t="s">
        <v>97</v>
      </c>
      <c r="D1016" s="18">
        <v>7</v>
      </c>
      <c r="E1016" s="17" t="s">
        <v>104</v>
      </c>
      <c r="F1016" s="19">
        <v>792</v>
      </c>
      <c r="G1016" s="20">
        <f>F1016+(VLOOKUP(D1016,'(Semelles.Monument.€HT)'!C:G,3,FALSE()))</f>
        <v>972</v>
      </c>
      <c r="H1016" s="21">
        <f>F1016+(VLOOKUP(D1016,'(Semelles.Monument.€HT)'!C:G,4,FALSE()))</f>
        <v>1024</v>
      </c>
      <c r="I1016" s="22">
        <f>F1016+(VLOOKUP(D1016,'(Semelles.Monument.€HT)'!C:G,5,FALSE()))</f>
        <v>1079</v>
      </c>
    </row>
    <row r="1017" spans="1:9" ht="26" customHeight="1">
      <c r="A1017" s="2" t="s">
        <v>156</v>
      </c>
      <c r="B1017" s="13" t="s">
        <v>168</v>
      </c>
      <c r="C1017" s="13" t="s">
        <v>97</v>
      </c>
      <c r="D1017" s="13">
        <v>8</v>
      </c>
      <c r="E1017" s="2" t="s">
        <v>105</v>
      </c>
      <c r="F1017" s="7">
        <v>792</v>
      </c>
      <c r="G1017" s="3">
        <f>F1017+(VLOOKUP(D1017,'(Semelles.Monument.€HT)'!C:G,3,FALSE()))</f>
        <v>972</v>
      </c>
      <c r="H1017" s="4">
        <f>F1017+(VLOOKUP(D1017,'(Semelles.Monument.€HT)'!C:G,4,FALSE()))</f>
        <v>1024</v>
      </c>
      <c r="I1017" s="5">
        <f>F1017+(VLOOKUP(D1017,'(Semelles.Monument.€HT)'!C:G,5,FALSE()))</f>
        <v>1079</v>
      </c>
    </row>
    <row r="1018" spans="1:9" ht="26" customHeight="1">
      <c r="A1018" s="17" t="s">
        <v>156</v>
      </c>
      <c r="B1018" s="18" t="s">
        <v>168</v>
      </c>
      <c r="C1018" s="18" t="s">
        <v>97</v>
      </c>
      <c r="D1018" s="18">
        <v>9</v>
      </c>
      <c r="E1018" s="17" t="s">
        <v>106</v>
      </c>
      <c r="F1018" s="19">
        <v>792</v>
      </c>
      <c r="G1018" s="20">
        <f>F1018+(VLOOKUP(D1018,'(Semelles.Monument.€HT)'!C:G,3,FALSE()))</f>
        <v>972</v>
      </c>
      <c r="H1018" s="21">
        <f>F1018+(VLOOKUP(D1018,'(Semelles.Monument.€HT)'!C:G,4,FALSE()))</f>
        <v>1024</v>
      </c>
      <c r="I1018" s="22">
        <f>F1018+(VLOOKUP(D1018,'(Semelles.Monument.€HT)'!C:G,5,FALSE()))</f>
        <v>1079</v>
      </c>
    </row>
    <row r="1019" spans="1:9" ht="26" customHeight="1">
      <c r="A1019" s="2" t="s">
        <v>156</v>
      </c>
      <c r="B1019" s="13" t="s">
        <v>168</v>
      </c>
      <c r="C1019" s="13" t="s">
        <v>97</v>
      </c>
      <c r="D1019" s="13">
        <v>10</v>
      </c>
      <c r="E1019" s="2" t="s">
        <v>107</v>
      </c>
      <c r="F1019" s="7">
        <v>792</v>
      </c>
      <c r="G1019" s="3">
        <f>F1019+(VLOOKUP(D1019,'(Semelles.Monument.€HT)'!C:G,3,FALSE()))</f>
        <v>972</v>
      </c>
      <c r="H1019" s="4">
        <f>F1019+(VLOOKUP(D1019,'(Semelles.Monument.€HT)'!C:G,4,FALSE()))</f>
        <v>1024</v>
      </c>
      <c r="I1019" s="5">
        <f>F1019+(VLOOKUP(D1019,'(Semelles.Monument.€HT)'!C:G,5,FALSE()))</f>
        <v>1079</v>
      </c>
    </row>
    <row r="1020" spans="1:9" ht="26" customHeight="1">
      <c r="A1020" s="17" t="s">
        <v>156</v>
      </c>
      <c r="B1020" s="18" t="s">
        <v>168</v>
      </c>
      <c r="C1020" s="18" t="s">
        <v>97</v>
      </c>
      <c r="D1020" s="18">
        <v>11</v>
      </c>
      <c r="E1020" s="17" t="s">
        <v>108</v>
      </c>
      <c r="F1020" s="19">
        <v>792</v>
      </c>
      <c r="G1020" s="20">
        <f>F1020+(VLOOKUP(D1020,'(Semelles.Monument.€HT)'!C:G,3,FALSE()))</f>
        <v>972</v>
      </c>
      <c r="H1020" s="21">
        <f>F1020+(VLOOKUP(D1020,'(Semelles.Monument.€HT)'!C:G,4,FALSE()))</f>
        <v>1024</v>
      </c>
      <c r="I1020" s="22">
        <f>F1020+(VLOOKUP(D1020,'(Semelles.Monument.€HT)'!C:G,5,FALSE()))</f>
        <v>1079</v>
      </c>
    </row>
    <row r="1021" spans="1:9" ht="26" customHeight="1">
      <c r="A1021" s="2" t="s">
        <v>156</v>
      </c>
      <c r="B1021" s="13" t="s">
        <v>168</v>
      </c>
      <c r="C1021" s="13" t="s">
        <v>97</v>
      </c>
      <c r="D1021" s="13">
        <v>12</v>
      </c>
      <c r="E1021" s="2" t="s">
        <v>109</v>
      </c>
      <c r="F1021" s="7">
        <v>803</v>
      </c>
      <c r="G1021" s="3">
        <f>F1021+(VLOOKUP(D1021,'(Semelles.Monument.€HT)'!C:G,3,FALSE()))</f>
        <v>985</v>
      </c>
      <c r="H1021" s="4">
        <f>F1021+(VLOOKUP(D1021,'(Semelles.Monument.€HT)'!C:G,4,FALSE()))</f>
        <v>1038</v>
      </c>
      <c r="I1021" s="5">
        <f>F1021+(VLOOKUP(D1021,'(Semelles.Monument.€HT)'!C:G,5,FALSE()))</f>
        <v>1094</v>
      </c>
    </row>
    <row r="1022" spans="1:9" ht="26" customHeight="1">
      <c r="A1022" s="17" t="s">
        <v>156</v>
      </c>
      <c r="B1022" s="18" t="s">
        <v>168</v>
      </c>
      <c r="C1022" s="18" t="s">
        <v>97</v>
      </c>
      <c r="D1022" s="18">
        <v>13</v>
      </c>
      <c r="E1022" s="17" t="s">
        <v>110</v>
      </c>
      <c r="F1022" s="19">
        <v>803</v>
      </c>
      <c r="G1022" s="20">
        <f>F1022+(VLOOKUP(D1022,'(Semelles.Monument.€HT)'!C:G,3,FALSE()))</f>
        <v>985</v>
      </c>
      <c r="H1022" s="21">
        <f>F1022+(VLOOKUP(D1022,'(Semelles.Monument.€HT)'!C:G,4,FALSE()))</f>
        <v>1038</v>
      </c>
      <c r="I1022" s="22">
        <f>F1022+(VLOOKUP(D1022,'(Semelles.Monument.€HT)'!C:G,5,FALSE()))</f>
        <v>1094</v>
      </c>
    </row>
    <row r="1023" spans="1:9" ht="26" customHeight="1">
      <c r="A1023" s="2" t="s">
        <v>156</v>
      </c>
      <c r="B1023" s="13" t="s">
        <v>168</v>
      </c>
      <c r="C1023" s="13" t="s">
        <v>97</v>
      </c>
      <c r="D1023" s="13">
        <v>14</v>
      </c>
      <c r="E1023" s="2" t="s">
        <v>111</v>
      </c>
      <c r="F1023" s="7">
        <v>806</v>
      </c>
      <c r="G1023" s="3">
        <f>F1023+(VLOOKUP(D1023,'(Semelles.Monument.€HT)'!C:G,3,FALSE()))</f>
        <v>989</v>
      </c>
      <c r="H1023" s="4">
        <f>F1023+(VLOOKUP(D1023,'(Semelles.Monument.€HT)'!C:G,4,FALSE()))</f>
        <v>1042</v>
      </c>
      <c r="I1023" s="5">
        <f>F1023+(VLOOKUP(D1023,'(Semelles.Monument.€HT)'!C:G,5,FALSE()))</f>
        <v>1098</v>
      </c>
    </row>
    <row r="1024" spans="1:9" ht="26" customHeight="1">
      <c r="A1024" s="17" t="s">
        <v>156</v>
      </c>
      <c r="B1024" s="18" t="s">
        <v>168</v>
      </c>
      <c r="C1024" s="18" t="s">
        <v>97</v>
      </c>
      <c r="D1024" s="18">
        <v>15</v>
      </c>
      <c r="E1024" s="17" t="s">
        <v>112</v>
      </c>
      <c r="F1024" s="19">
        <v>806</v>
      </c>
      <c r="G1024" s="20">
        <f>F1024+(VLOOKUP(D1024,'(Semelles.Monument.€HT)'!C:G,3,FALSE()))</f>
        <v>989</v>
      </c>
      <c r="H1024" s="21">
        <f>F1024+(VLOOKUP(D1024,'(Semelles.Monument.€HT)'!C:G,4,FALSE()))</f>
        <v>1042</v>
      </c>
      <c r="I1024" s="22">
        <f>F1024+(VLOOKUP(D1024,'(Semelles.Monument.€HT)'!C:G,5,FALSE()))</f>
        <v>1098</v>
      </c>
    </row>
    <row r="1025" spans="1:9" ht="26" customHeight="1">
      <c r="A1025" s="2" t="s">
        <v>156</v>
      </c>
      <c r="B1025" s="13" t="s">
        <v>168</v>
      </c>
      <c r="C1025" s="13" t="s">
        <v>97</v>
      </c>
      <c r="D1025" s="13">
        <v>16</v>
      </c>
      <c r="E1025" s="2" t="s">
        <v>113</v>
      </c>
      <c r="F1025" s="7">
        <v>806</v>
      </c>
      <c r="G1025" s="3">
        <f>F1025+(VLOOKUP(D1025,'(Semelles.Monument.€HT)'!C:G,3,FALSE()))</f>
        <v>989</v>
      </c>
      <c r="H1025" s="4">
        <f>F1025+(VLOOKUP(D1025,'(Semelles.Monument.€HT)'!C:G,4,FALSE()))</f>
        <v>1042</v>
      </c>
      <c r="I1025" s="5">
        <f>F1025+(VLOOKUP(D1025,'(Semelles.Monument.€HT)'!C:G,5,FALSE()))</f>
        <v>1098</v>
      </c>
    </row>
    <row r="1026" spans="1:9" ht="26" customHeight="1">
      <c r="A1026" s="17" t="s">
        <v>156</v>
      </c>
      <c r="B1026" s="18" t="s">
        <v>168</v>
      </c>
      <c r="C1026" s="18" t="s">
        <v>97</v>
      </c>
      <c r="D1026" s="18">
        <v>17</v>
      </c>
      <c r="E1026" s="17" t="s">
        <v>114</v>
      </c>
      <c r="F1026" s="19">
        <v>819</v>
      </c>
      <c r="G1026" s="20">
        <f>F1026+(VLOOKUP(D1026,'(Semelles.Monument.€HT)'!C:G,3,FALSE()))</f>
        <v>1005</v>
      </c>
      <c r="H1026" s="21">
        <f>F1026+(VLOOKUP(D1026,'(Semelles.Monument.€HT)'!C:G,4,FALSE()))</f>
        <v>1059</v>
      </c>
      <c r="I1026" s="22">
        <f>F1026+(VLOOKUP(D1026,'(Semelles.Monument.€HT)'!C:G,5,FALSE()))</f>
        <v>1116</v>
      </c>
    </row>
    <row r="1027" spans="1:9" ht="26" customHeight="1">
      <c r="A1027" s="2" t="s">
        <v>156</v>
      </c>
      <c r="B1027" s="13" t="s">
        <v>168</v>
      </c>
      <c r="C1027" s="13" t="s">
        <v>97</v>
      </c>
      <c r="D1027" s="13">
        <v>18</v>
      </c>
      <c r="E1027" s="2" t="s">
        <v>115</v>
      </c>
      <c r="F1027" s="7">
        <v>819</v>
      </c>
      <c r="G1027" s="3">
        <f>F1027+(VLOOKUP(D1027,'(Semelles.Monument.€HT)'!C:G,3,FALSE()))</f>
        <v>1005</v>
      </c>
      <c r="H1027" s="4">
        <f>F1027+(VLOOKUP(D1027,'(Semelles.Monument.€HT)'!C:G,4,FALSE()))</f>
        <v>1059</v>
      </c>
      <c r="I1027" s="5">
        <f>F1027+(VLOOKUP(D1027,'(Semelles.Monument.€HT)'!C:G,5,FALSE()))</f>
        <v>1116</v>
      </c>
    </row>
    <row r="1028" spans="1:9" ht="26" customHeight="1">
      <c r="A1028" s="17" t="s">
        <v>156</v>
      </c>
      <c r="B1028" s="18" t="s">
        <v>168</v>
      </c>
      <c r="C1028" s="18" t="s">
        <v>97</v>
      </c>
      <c r="D1028" s="18">
        <v>19</v>
      </c>
      <c r="E1028" s="17" t="s">
        <v>116</v>
      </c>
      <c r="F1028" s="19">
        <v>819</v>
      </c>
      <c r="G1028" s="20">
        <f>F1028+(VLOOKUP(D1028,'(Semelles.Monument.€HT)'!C:G,3,FALSE()))</f>
        <v>1005</v>
      </c>
      <c r="H1028" s="21">
        <f>F1028+(VLOOKUP(D1028,'(Semelles.Monument.€HT)'!C:G,4,FALSE()))</f>
        <v>1059</v>
      </c>
      <c r="I1028" s="22">
        <f>F1028+(VLOOKUP(D1028,'(Semelles.Monument.€HT)'!C:G,5,FALSE()))</f>
        <v>1116</v>
      </c>
    </row>
    <row r="1029" spans="1:9" ht="26" customHeight="1">
      <c r="A1029" s="2" t="s">
        <v>156</v>
      </c>
      <c r="B1029" s="13" t="s">
        <v>168</v>
      </c>
      <c r="C1029" s="13" t="s">
        <v>97</v>
      </c>
      <c r="D1029" s="13">
        <v>20</v>
      </c>
      <c r="E1029" s="2" t="s">
        <v>117</v>
      </c>
      <c r="F1029" s="7">
        <v>826</v>
      </c>
      <c r="G1029" s="3">
        <f>F1029+(VLOOKUP(D1029,'(Semelles.Monument.€HT)'!C:G,3,FALSE()))</f>
        <v>1014</v>
      </c>
      <c r="H1029" s="4">
        <f>F1029+(VLOOKUP(D1029,'(Semelles.Monument.€HT)'!C:G,4,FALSE()))</f>
        <v>1068</v>
      </c>
      <c r="I1029" s="5">
        <f>F1029+(VLOOKUP(D1029,'(Semelles.Monument.€HT)'!C:G,5,FALSE()))</f>
        <v>1125</v>
      </c>
    </row>
    <row r="1030" spans="1:9" ht="26" customHeight="1">
      <c r="A1030" s="17" t="s">
        <v>156</v>
      </c>
      <c r="B1030" s="18" t="s">
        <v>168</v>
      </c>
      <c r="C1030" s="18" t="s">
        <v>97</v>
      </c>
      <c r="D1030" s="18">
        <v>21</v>
      </c>
      <c r="E1030" s="17" t="s">
        <v>118</v>
      </c>
      <c r="F1030" s="19">
        <v>831</v>
      </c>
      <c r="G1030" s="20">
        <f>F1030+(VLOOKUP(D1030,'(Semelles.Monument.€HT)'!C:G,3,FALSE()))</f>
        <v>1020</v>
      </c>
      <c r="H1030" s="21">
        <f>F1030+(VLOOKUP(D1030,'(Semelles.Monument.€HT)'!C:G,4,FALSE()))</f>
        <v>1074</v>
      </c>
      <c r="I1030" s="22">
        <f>F1030+(VLOOKUP(D1030,'(Semelles.Monument.€HT)'!C:G,5,FALSE()))</f>
        <v>1132</v>
      </c>
    </row>
    <row r="1031" spans="1:9" ht="26" customHeight="1">
      <c r="A1031" s="2" t="s">
        <v>156</v>
      </c>
      <c r="B1031" s="13" t="s">
        <v>168</v>
      </c>
      <c r="C1031" s="13" t="s">
        <v>97</v>
      </c>
      <c r="D1031" s="13">
        <v>22</v>
      </c>
      <c r="E1031" s="2" t="s">
        <v>119</v>
      </c>
      <c r="F1031" s="7">
        <v>831</v>
      </c>
      <c r="G1031" s="3">
        <f>F1031+(VLOOKUP(D1031,'(Semelles.Monument.€HT)'!C:G,3,FALSE()))</f>
        <v>1020</v>
      </c>
      <c r="H1031" s="4">
        <f>F1031+(VLOOKUP(D1031,'(Semelles.Monument.€HT)'!C:G,4,FALSE()))</f>
        <v>1074</v>
      </c>
      <c r="I1031" s="5">
        <f>F1031+(VLOOKUP(D1031,'(Semelles.Monument.€HT)'!C:G,5,FALSE()))</f>
        <v>1132</v>
      </c>
    </row>
    <row r="1032" spans="1:9" ht="26" customHeight="1">
      <c r="A1032" s="17" t="s">
        <v>156</v>
      </c>
      <c r="B1032" s="18" t="s">
        <v>168</v>
      </c>
      <c r="C1032" s="18" t="s">
        <v>97</v>
      </c>
      <c r="D1032" s="18">
        <v>23</v>
      </c>
      <c r="E1032" s="17" t="s">
        <v>120</v>
      </c>
      <c r="F1032" s="19">
        <v>844</v>
      </c>
      <c r="G1032" s="20">
        <f>F1032+(VLOOKUP(D1032,'(Semelles.Monument.€HT)'!C:G,3,FALSE()))</f>
        <v>1036</v>
      </c>
      <c r="H1032" s="21">
        <f>F1032+(VLOOKUP(D1032,'(Semelles.Monument.€HT)'!C:G,4,FALSE()))</f>
        <v>1091</v>
      </c>
      <c r="I1032" s="22">
        <f>F1032+(VLOOKUP(D1032,'(Semelles.Monument.€HT)'!C:G,5,FALSE()))</f>
        <v>1149</v>
      </c>
    </row>
    <row r="1033" spans="1:9" ht="26" customHeight="1">
      <c r="A1033" s="2" t="s">
        <v>156</v>
      </c>
      <c r="B1033" s="13" t="s">
        <v>168</v>
      </c>
      <c r="C1033" s="13" t="s">
        <v>97</v>
      </c>
      <c r="D1033" s="13">
        <v>24</v>
      </c>
      <c r="E1033" s="2" t="s">
        <v>121</v>
      </c>
      <c r="F1033" s="7">
        <v>844</v>
      </c>
      <c r="G1033" s="3">
        <f>F1033+(VLOOKUP(D1033,'(Semelles.Monument.€HT)'!C:G,3,FALSE()))</f>
        <v>1036</v>
      </c>
      <c r="H1033" s="4">
        <f>F1033+(VLOOKUP(D1033,'(Semelles.Monument.€HT)'!C:G,4,FALSE()))</f>
        <v>1091</v>
      </c>
      <c r="I1033" s="5">
        <f>F1033+(VLOOKUP(D1033,'(Semelles.Monument.€HT)'!C:G,5,FALSE()))</f>
        <v>1149</v>
      </c>
    </row>
    <row r="1034" spans="1:9" ht="26" customHeight="1">
      <c r="A1034" s="17" t="s">
        <v>156</v>
      </c>
      <c r="B1034" s="18" t="s">
        <v>168</v>
      </c>
      <c r="C1034" s="18" t="s">
        <v>97</v>
      </c>
      <c r="D1034" s="18">
        <v>25</v>
      </c>
      <c r="E1034" s="17" t="s">
        <v>122</v>
      </c>
      <c r="F1034" s="19">
        <v>844</v>
      </c>
      <c r="G1034" s="20">
        <f>F1034+(VLOOKUP(D1034,'(Semelles.Monument.€HT)'!C:G,3,FALSE()))</f>
        <v>1036</v>
      </c>
      <c r="H1034" s="21">
        <f>F1034+(VLOOKUP(D1034,'(Semelles.Monument.€HT)'!C:G,4,FALSE()))</f>
        <v>1091</v>
      </c>
      <c r="I1034" s="22">
        <f>F1034+(VLOOKUP(D1034,'(Semelles.Monument.€HT)'!C:G,5,FALSE()))</f>
        <v>1149</v>
      </c>
    </row>
    <row r="1035" spans="1:9" ht="26" customHeight="1">
      <c r="A1035" s="2" t="s">
        <v>156</v>
      </c>
      <c r="B1035" s="13" t="s">
        <v>168</v>
      </c>
      <c r="C1035" s="13" t="s">
        <v>97</v>
      </c>
      <c r="D1035" s="13">
        <v>26</v>
      </c>
      <c r="E1035" s="2" t="s">
        <v>123</v>
      </c>
      <c r="F1035" s="7">
        <v>858</v>
      </c>
      <c r="G1035" s="3">
        <f>F1035+(VLOOKUP(D1035,'(Semelles.Monument.€HT)'!C:G,3,FALSE()))</f>
        <v>1053</v>
      </c>
      <c r="H1035" s="4">
        <f>F1035+(VLOOKUP(D1035,'(Semelles.Monument.€HT)'!C:G,4,FALSE()))</f>
        <v>1109</v>
      </c>
      <c r="I1035" s="5">
        <f>F1035+(VLOOKUP(D1035,'(Semelles.Monument.€HT)'!C:G,5,FALSE()))</f>
        <v>1168</v>
      </c>
    </row>
    <row r="1036" spans="1:9" ht="26" customHeight="1">
      <c r="A1036" s="17" t="s">
        <v>156</v>
      </c>
      <c r="B1036" s="18" t="s">
        <v>168</v>
      </c>
      <c r="C1036" s="18" t="s">
        <v>97</v>
      </c>
      <c r="D1036" s="18">
        <v>27</v>
      </c>
      <c r="E1036" s="17" t="s">
        <v>124</v>
      </c>
      <c r="F1036" s="19">
        <v>914</v>
      </c>
      <c r="G1036" s="20">
        <f>F1036+(VLOOKUP(D1036,'(Semelles.Monument.€HT)'!C:G,3,FALSE()))</f>
        <v>1122</v>
      </c>
      <c r="H1036" s="21">
        <f>F1036+(VLOOKUP(D1036,'(Semelles.Monument.€HT)'!C:G,4,FALSE()))</f>
        <v>1182</v>
      </c>
      <c r="I1036" s="22">
        <f>F1036+(VLOOKUP(D1036,'(Semelles.Monument.€HT)'!C:G,5,FALSE()))</f>
        <v>1281</v>
      </c>
    </row>
    <row r="1037" spans="1:9" ht="26" customHeight="1">
      <c r="A1037" s="2" t="s">
        <v>156</v>
      </c>
      <c r="B1037" s="13" t="s">
        <v>168</v>
      </c>
      <c r="C1037" s="13" t="s">
        <v>97</v>
      </c>
      <c r="D1037" s="13">
        <v>28</v>
      </c>
      <c r="E1037" s="2" t="s">
        <v>125</v>
      </c>
      <c r="F1037" s="7">
        <v>1013</v>
      </c>
      <c r="G1037" s="3">
        <f>F1037+(VLOOKUP(D1037,'(Semelles.Monument.€HT)'!C:G,3,FALSE()))</f>
        <v>1243</v>
      </c>
      <c r="H1037" s="4">
        <f>F1037+(VLOOKUP(D1037,'(Semelles.Monument.€HT)'!C:G,4,FALSE()))</f>
        <v>1310</v>
      </c>
      <c r="I1037" s="5">
        <f>F1037+(VLOOKUP(D1037,'(Semelles.Monument.€HT)'!C:G,5,FALSE()))</f>
        <v>1380</v>
      </c>
    </row>
    <row r="1038" spans="1:9" ht="26" customHeight="1">
      <c r="A1038" s="17" t="s">
        <v>156</v>
      </c>
      <c r="B1038" s="18" t="s">
        <v>168</v>
      </c>
      <c r="C1038" s="18" t="s">
        <v>97</v>
      </c>
      <c r="D1038" s="18">
        <v>29</v>
      </c>
      <c r="E1038" s="17" t="s">
        <v>126</v>
      </c>
      <c r="F1038" s="19">
        <v>1055</v>
      </c>
      <c r="G1038" s="20">
        <f>F1038+(VLOOKUP(D1038,'(Semelles.Monument.€HT)'!C:G,3,FALSE()))</f>
        <v>1295</v>
      </c>
      <c r="H1038" s="21">
        <f>F1038+(VLOOKUP(D1038,'(Semelles.Monument.€HT)'!C:G,4,FALSE()))</f>
        <v>1364</v>
      </c>
      <c r="I1038" s="22">
        <f>F1038+(VLOOKUP(D1038,'(Semelles.Monument.€HT)'!C:G,5,FALSE()))</f>
        <v>1437</v>
      </c>
    </row>
    <row r="1039" spans="1:9" ht="26" customHeight="1">
      <c r="A1039" s="2" t="s">
        <v>156</v>
      </c>
      <c r="B1039" s="13" t="s">
        <v>168</v>
      </c>
      <c r="C1039" s="13" t="s">
        <v>97</v>
      </c>
      <c r="D1039" s="13">
        <v>30</v>
      </c>
      <c r="E1039" s="2" t="s">
        <v>127</v>
      </c>
      <c r="F1039" s="7">
        <v>1055</v>
      </c>
      <c r="G1039" s="3">
        <f>F1039+(VLOOKUP(D1039,'(Semelles.Monument.€HT)'!C:G,3,FALSE()))</f>
        <v>1295</v>
      </c>
      <c r="H1039" s="4">
        <f>F1039+(VLOOKUP(D1039,'(Semelles.Monument.€HT)'!C:G,4,FALSE()))</f>
        <v>1364</v>
      </c>
      <c r="I1039" s="5">
        <f>F1039+(VLOOKUP(D1039,'(Semelles.Monument.€HT)'!C:G,5,FALSE()))</f>
        <v>1437</v>
      </c>
    </row>
    <row r="1040" spans="1:9" ht="26" customHeight="1">
      <c r="A1040" s="17" t="s">
        <v>156</v>
      </c>
      <c r="B1040" s="18" t="s">
        <v>168</v>
      </c>
      <c r="C1040" s="18" t="s">
        <v>128</v>
      </c>
      <c r="D1040" s="18">
        <v>31</v>
      </c>
      <c r="E1040" s="17" t="s">
        <v>129</v>
      </c>
      <c r="F1040" s="19">
        <v>611</v>
      </c>
      <c r="G1040" s="20">
        <f>F1040+(VLOOKUP(D1040,'(Semelles.Monument.€HT)'!C:G,3,FALSE()))</f>
        <v>743</v>
      </c>
      <c r="H1040" s="21">
        <f>F1040+(VLOOKUP(D1040,'(Semelles.Monument.€HT)'!C:G,4,FALSE()))</f>
        <v>781</v>
      </c>
      <c r="I1040" s="22">
        <f>F1040+(VLOOKUP(D1040,'(Semelles.Monument.€HT)'!C:G,5,FALSE()))</f>
        <v>821</v>
      </c>
    </row>
    <row r="1041" spans="1:9" ht="26" customHeight="1">
      <c r="A1041" s="2" t="s">
        <v>156</v>
      </c>
      <c r="B1041" s="13" t="s">
        <v>168</v>
      </c>
      <c r="C1041" s="13" t="s">
        <v>128</v>
      </c>
      <c r="D1041" s="13">
        <v>32</v>
      </c>
      <c r="E1041" s="2" t="s">
        <v>130</v>
      </c>
      <c r="F1041" s="7">
        <v>619</v>
      </c>
      <c r="G1041" s="3">
        <f>F1041+(VLOOKUP(D1041,'(Semelles.Monument.€HT)'!C:G,3,FALSE()))</f>
        <v>753</v>
      </c>
      <c r="H1041" s="4">
        <f>F1041+(VLOOKUP(D1041,'(Semelles.Monument.€HT)'!C:G,4,FALSE()))</f>
        <v>792</v>
      </c>
      <c r="I1041" s="5">
        <f>F1041+(VLOOKUP(D1041,'(Semelles.Monument.€HT)'!C:G,5,FALSE()))</f>
        <v>832</v>
      </c>
    </row>
    <row r="1042" spans="1:9" ht="26" customHeight="1">
      <c r="A1042" s="17" t="s">
        <v>156</v>
      </c>
      <c r="B1042" s="18" t="s">
        <v>168</v>
      </c>
      <c r="C1042" s="18" t="s">
        <v>128</v>
      </c>
      <c r="D1042" s="18">
        <v>33</v>
      </c>
      <c r="E1042" s="17" t="s">
        <v>131</v>
      </c>
      <c r="F1042" s="19">
        <v>619</v>
      </c>
      <c r="G1042" s="20">
        <f>F1042+(VLOOKUP(D1042,'(Semelles.Monument.€HT)'!C:G,3,FALSE()))</f>
        <v>753</v>
      </c>
      <c r="H1042" s="21">
        <f>F1042+(VLOOKUP(D1042,'(Semelles.Monument.€HT)'!C:G,4,FALSE()))</f>
        <v>792</v>
      </c>
      <c r="I1042" s="22">
        <f>F1042+(VLOOKUP(D1042,'(Semelles.Monument.€HT)'!C:G,5,FALSE()))</f>
        <v>832</v>
      </c>
    </row>
    <row r="1043" spans="1:9" ht="26" customHeight="1">
      <c r="A1043" s="2" t="s">
        <v>156</v>
      </c>
      <c r="B1043" s="13" t="s">
        <v>168</v>
      </c>
      <c r="C1043" s="13" t="s">
        <v>128</v>
      </c>
      <c r="D1043" s="13">
        <v>34</v>
      </c>
      <c r="E1043" s="2" t="s">
        <v>132</v>
      </c>
      <c r="F1043" s="7">
        <v>625</v>
      </c>
      <c r="G1043" s="3">
        <f>F1043+(VLOOKUP(D1043,'(Semelles.Monument.€HT)'!C:G,3,FALSE()))</f>
        <v>760</v>
      </c>
      <c r="H1043" s="4">
        <f>F1043+(VLOOKUP(D1043,'(Semelles.Monument.€HT)'!C:G,4,FALSE()))</f>
        <v>799</v>
      </c>
      <c r="I1043" s="5">
        <f>F1043+(VLOOKUP(D1043,'(Semelles.Monument.€HT)'!C:G,5,FALSE()))</f>
        <v>840</v>
      </c>
    </row>
    <row r="1044" spans="1:9" ht="26" customHeight="1">
      <c r="A1044" s="17" t="s">
        <v>156</v>
      </c>
      <c r="B1044" s="18" t="s">
        <v>168</v>
      </c>
      <c r="C1044" s="18" t="s">
        <v>128</v>
      </c>
      <c r="D1044" s="18">
        <v>35</v>
      </c>
      <c r="E1044" s="17" t="s">
        <v>133</v>
      </c>
      <c r="F1044" s="19">
        <v>746</v>
      </c>
      <c r="G1044" s="20">
        <f>F1044+(VLOOKUP(D1044,'(Semelles.Monument.€HT)'!C:G,3,FALSE()))</f>
        <v>909</v>
      </c>
      <c r="H1044" s="21">
        <f>F1044+(VLOOKUP(D1044,'(Semelles.Monument.€HT)'!C:G,4,FALSE()))</f>
        <v>956</v>
      </c>
      <c r="I1044" s="22">
        <f>F1044+(VLOOKUP(D1044,'(Semelles.Monument.€HT)'!C:G,5,FALSE()))</f>
        <v>1005</v>
      </c>
    </row>
    <row r="1045" spans="1:9" ht="26" customHeight="1">
      <c r="A1045" s="2" t="s">
        <v>156</v>
      </c>
      <c r="B1045" s="13" t="s">
        <v>168</v>
      </c>
      <c r="C1045" s="13" t="s">
        <v>128</v>
      </c>
      <c r="D1045" s="13">
        <v>36</v>
      </c>
      <c r="E1045" s="2" t="s">
        <v>134</v>
      </c>
      <c r="F1045" s="7">
        <v>771</v>
      </c>
      <c r="G1045" s="3">
        <f>F1045+(VLOOKUP(D1045,'(Semelles.Monument.€HT)'!C:G,3,FALSE()))</f>
        <v>939</v>
      </c>
      <c r="H1045" s="4">
        <f>F1045+(VLOOKUP(D1045,'(Semelles.Monument.€HT)'!C:G,4,FALSE()))</f>
        <v>988</v>
      </c>
      <c r="I1045" s="5">
        <f>F1045+(VLOOKUP(D1045,'(Semelles.Monument.€HT)'!C:G,5,FALSE()))</f>
        <v>1039</v>
      </c>
    </row>
    <row r="1046" spans="1:9" ht="26" customHeight="1">
      <c r="A1046" s="17" t="s">
        <v>156</v>
      </c>
      <c r="B1046" s="18" t="s">
        <v>168</v>
      </c>
      <c r="C1046" s="18" t="s">
        <v>128</v>
      </c>
      <c r="D1046" s="18">
        <v>37</v>
      </c>
      <c r="E1046" s="17" t="s">
        <v>135</v>
      </c>
      <c r="F1046" s="19">
        <v>946</v>
      </c>
      <c r="G1046" s="20">
        <f>F1046+(VLOOKUP(D1046,'(Semelles.Monument.€HT)'!C:G,3,FALSE()))</f>
        <v>1154</v>
      </c>
      <c r="H1046" s="21">
        <f>F1046+(VLOOKUP(D1046,'(Semelles.Monument.€HT)'!C:G,4,FALSE()))</f>
        <v>1214</v>
      </c>
      <c r="I1046" s="22">
        <f>F1046+(VLOOKUP(D1046,'(Semelles.Monument.€HT)'!C:G,5,FALSE()))</f>
        <v>1278</v>
      </c>
    </row>
    <row r="1047" spans="1:9" ht="26" customHeight="1">
      <c r="A1047" s="2" t="s">
        <v>156</v>
      </c>
      <c r="B1047" s="13" t="s">
        <v>168</v>
      </c>
      <c r="C1047" s="13" t="s">
        <v>128</v>
      </c>
      <c r="D1047" s="13">
        <v>38</v>
      </c>
      <c r="E1047" s="2" t="s">
        <v>136</v>
      </c>
      <c r="F1047" s="7">
        <v>1000</v>
      </c>
      <c r="G1047" s="3">
        <f>F1047+(VLOOKUP(D1047,'(Semelles.Monument.€HT)'!C:G,3,FALSE()))</f>
        <v>1220</v>
      </c>
      <c r="H1047" s="4">
        <f>F1047+(VLOOKUP(D1047,'(Semelles.Monument.€HT)'!C:G,4,FALSE()))</f>
        <v>1284</v>
      </c>
      <c r="I1047" s="5">
        <f>F1047+(VLOOKUP(D1047,'(Semelles.Monument.€HT)'!C:G,5,FALSE()))</f>
        <v>1351</v>
      </c>
    </row>
    <row r="1048" spans="1:9" ht="26" customHeight="1">
      <c r="A1048" s="17" t="s">
        <v>156</v>
      </c>
      <c r="B1048" s="18" t="s">
        <v>168</v>
      </c>
      <c r="C1048" s="18" t="s">
        <v>128</v>
      </c>
      <c r="D1048" s="18">
        <v>39</v>
      </c>
      <c r="E1048" s="17" t="s">
        <v>137</v>
      </c>
      <c r="F1048" s="19">
        <v>1025</v>
      </c>
      <c r="G1048" s="20">
        <f>F1048+(VLOOKUP(D1048,'(Semelles.Monument.€HT)'!C:G,3,FALSE()))</f>
        <v>1251</v>
      </c>
      <c r="H1048" s="21">
        <f>F1048+(VLOOKUP(D1048,'(Semelles.Monument.€HT)'!C:G,4,FALSE()))</f>
        <v>1316</v>
      </c>
      <c r="I1048" s="22">
        <f>F1048+(VLOOKUP(D1048,'(Semelles.Monument.€HT)'!C:G,5,FALSE()))</f>
        <v>1385</v>
      </c>
    </row>
    <row r="1049" spans="1:9" ht="26" customHeight="1">
      <c r="A1049" s="2" t="s">
        <v>156</v>
      </c>
      <c r="B1049" s="13" t="s">
        <v>168</v>
      </c>
      <c r="C1049" s="13" t="s">
        <v>128</v>
      </c>
      <c r="D1049" s="13">
        <v>40</v>
      </c>
      <c r="E1049" s="2" t="s">
        <v>138</v>
      </c>
      <c r="F1049" s="7">
        <v>1053</v>
      </c>
      <c r="G1049" s="3">
        <f>F1049+(VLOOKUP(D1049,'(Semelles.Monument.€HT)'!C:G,3,FALSE()))</f>
        <v>1285</v>
      </c>
      <c r="H1049" s="4">
        <f>F1049+(VLOOKUP(D1049,'(Semelles.Monument.€HT)'!C:G,4,FALSE()))</f>
        <v>1353</v>
      </c>
      <c r="I1049" s="5">
        <f>F1049+(VLOOKUP(D1049,'(Semelles.Monument.€HT)'!C:G,5,FALSE()))</f>
        <v>1423</v>
      </c>
    </row>
    <row r="1050" spans="1:9" ht="26" customHeight="1">
      <c r="A1050" s="17" t="s">
        <v>156</v>
      </c>
      <c r="B1050" s="18" t="s">
        <v>168</v>
      </c>
      <c r="C1050" s="18" t="s">
        <v>128</v>
      </c>
      <c r="D1050" s="18">
        <v>41</v>
      </c>
      <c r="E1050" s="17" t="s">
        <v>139</v>
      </c>
      <c r="F1050" s="19">
        <v>1118</v>
      </c>
      <c r="G1050" s="20">
        <f>F1050+(VLOOKUP(D1050,'(Semelles.Monument.€HT)'!C:G,3,FALSE()))</f>
        <v>1365</v>
      </c>
      <c r="H1050" s="21">
        <f>F1050+(VLOOKUP(D1050,'(Semelles.Monument.€HT)'!C:G,4,FALSE()))</f>
        <v>1437</v>
      </c>
      <c r="I1050" s="22">
        <f>F1050+(VLOOKUP(D1050,'(Semelles.Monument.€HT)'!C:G,5,FALSE()))</f>
        <v>1512</v>
      </c>
    </row>
    <row r="1051" spans="1:9" ht="26" customHeight="1">
      <c r="A1051" s="2" t="s">
        <v>156</v>
      </c>
      <c r="B1051" s="13" t="s">
        <v>168</v>
      </c>
      <c r="C1051" s="13" t="s">
        <v>128</v>
      </c>
      <c r="D1051" s="13">
        <v>42</v>
      </c>
      <c r="E1051" s="2" t="s">
        <v>140</v>
      </c>
      <c r="F1051" s="7">
        <v>1225</v>
      </c>
      <c r="G1051" s="3">
        <f>F1051+(VLOOKUP(D1051,'(Semelles.Monument.€HT)'!C:G,3,FALSE()))</f>
        <v>1496</v>
      </c>
      <c r="H1051" s="4">
        <f>F1051+(VLOOKUP(D1051,'(Semelles.Monument.€HT)'!C:G,4,FALSE()))</f>
        <v>1575</v>
      </c>
      <c r="I1051" s="5">
        <f>F1051+(VLOOKUP(D1051,'(Semelles.Monument.€HT)'!C:G,5,FALSE()))</f>
        <v>1658</v>
      </c>
    </row>
    <row r="1052" spans="1:9" ht="26" customHeight="1">
      <c r="A1052" s="17" t="s">
        <v>156</v>
      </c>
      <c r="B1052" s="18" t="s">
        <v>168</v>
      </c>
      <c r="C1052" s="18" t="s">
        <v>128</v>
      </c>
      <c r="D1052" s="18">
        <v>43</v>
      </c>
      <c r="E1052" s="17" t="s">
        <v>141</v>
      </c>
      <c r="F1052" s="19">
        <v>1225</v>
      </c>
      <c r="G1052" s="20">
        <f>F1052+(VLOOKUP(D1052,'(Semelles.Monument.€HT)'!C:G,3,FALSE()))</f>
        <v>1496</v>
      </c>
      <c r="H1052" s="21">
        <f>F1052+(VLOOKUP(D1052,'(Semelles.Monument.€HT)'!C:G,4,FALSE()))</f>
        <v>1575</v>
      </c>
      <c r="I1052" s="22">
        <f>F1052+(VLOOKUP(D1052,'(Semelles.Monument.€HT)'!C:G,5,FALSE()))</f>
        <v>1658</v>
      </c>
    </row>
    <row r="1053" spans="1:9" ht="26" customHeight="1">
      <c r="A1053" s="2" t="s">
        <v>156</v>
      </c>
      <c r="B1053" s="13" t="s">
        <v>168</v>
      </c>
      <c r="C1053" s="13" t="s">
        <v>128</v>
      </c>
      <c r="D1053" s="13">
        <v>44</v>
      </c>
      <c r="E1053" s="2" t="s">
        <v>142</v>
      </c>
      <c r="F1053" s="7">
        <v>1239</v>
      </c>
      <c r="G1053" s="3">
        <f>F1053+(VLOOKUP(D1053,'(Semelles.Monument.€HT)'!C:G,3,FALSE()))</f>
        <v>1514</v>
      </c>
      <c r="H1053" s="4">
        <f>F1053+(VLOOKUP(D1053,'(Semelles.Monument.€HT)'!C:G,4,FALSE()))</f>
        <v>1593</v>
      </c>
      <c r="I1053" s="5">
        <f>F1053+(VLOOKUP(D1053,'(Semelles.Monument.€HT)'!C:G,5,FALSE()))</f>
        <v>1677</v>
      </c>
    </row>
    <row r="1054" spans="1:9" ht="26" customHeight="1">
      <c r="A1054" s="17" t="s">
        <v>156</v>
      </c>
      <c r="B1054" s="18" t="s">
        <v>168</v>
      </c>
      <c r="C1054" s="18" t="s">
        <v>128</v>
      </c>
      <c r="D1054" s="18">
        <v>45</v>
      </c>
      <c r="E1054" s="17" t="s">
        <v>143</v>
      </c>
      <c r="F1054" s="19">
        <v>1253</v>
      </c>
      <c r="G1054" s="20">
        <f>F1054+(VLOOKUP(D1054,'(Semelles.Monument.€HT)'!C:G,3,FALSE()))</f>
        <v>1531</v>
      </c>
      <c r="H1054" s="21">
        <f>F1054+(VLOOKUP(D1054,'(Semelles.Monument.€HT)'!C:G,4,FALSE()))</f>
        <v>1611</v>
      </c>
      <c r="I1054" s="22">
        <f>F1054+(VLOOKUP(D1054,'(Semelles.Monument.€HT)'!C:G,5,FALSE()))</f>
        <v>1696</v>
      </c>
    </row>
    <row r="1055" spans="1:9" ht="26" customHeight="1">
      <c r="A1055" s="2" t="s">
        <v>156</v>
      </c>
      <c r="B1055" s="13" t="s">
        <v>168</v>
      </c>
      <c r="C1055" s="13" t="s">
        <v>128</v>
      </c>
      <c r="D1055" s="13">
        <v>46</v>
      </c>
      <c r="E1055" s="2" t="s">
        <v>144</v>
      </c>
      <c r="F1055" s="7">
        <v>1253</v>
      </c>
      <c r="G1055" s="3">
        <f>F1055+(VLOOKUP(D1055,'(Semelles.Monument.€HT)'!C:G,3,FALSE()))</f>
        <v>1531</v>
      </c>
      <c r="H1055" s="4">
        <f>F1055+(VLOOKUP(D1055,'(Semelles.Monument.€HT)'!C:G,4,FALSE()))</f>
        <v>1611</v>
      </c>
      <c r="I1055" s="5">
        <f>F1055+(VLOOKUP(D1055,'(Semelles.Monument.€HT)'!C:G,5,FALSE()))</f>
        <v>1696</v>
      </c>
    </row>
    <row r="1056" spans="1:9" ht="26" customHeight="1">
      <c r="A1056" s="17" t="s">
        <v>156</v>
      </c>
      <c r="B1056" s="18" t="s">
        <v>168</v>
      </c>
      <c r="C1056" s="18" t="s">
        <v>128</v>
      </c>
      <c r="D1056" s="18">
        <v>47</v>
      </c>
      <c r="E1056" s="17" t="s">
        <v>145</v>
      </c>
      <c r="F1056" s="19">
        <v>1279</v>
      </c>
      <c r="G1056" s="20">
        <f>F1056+(VLOOKUP(D1056,'(Semelles.Monument.€HT)'!C:G,3,FALSE()))</f>
        <v>1563</v>
      </c>
      <c r="H1056" s="21">
        <f>F1056+(VLOOKUP(D1056,'(Semelles.Monument.€HT)'!C:G,4,FALSE()))</f>
        <v>1645</v>
      </c>
      <c r="I1056" s="22">
        <f>F1056+(VLOOKUP(D1056,'(Semelles.Monument.€HT)'!C:G,5,FALSE()))</f>
        <v>1731</v>
      </c>
    </row>
    <row r="1057" spans="1:9" ht="26" customHeight="1">
      <c r="A1057" s="2" t="s">
        <v>156</v>
      </c>
      <c r="B1057" s="13" t="s">
        <v>168</v>
      </c>
      <c r="C1057" s="13" t="s">
        <v>128</v>
      </c>
      <c r="D1057" s="13">
        <v>48</v>
      </c>
      <c r="E1057" s="2" t="s">
        <v>146</v>
      </c>
      <c r="F1057" s="7">
        <v>1293</v>
      </c>
      <c r="G1057" s="3">
        <f>F1057+(VLOOKUP(D1057,'(Semelles.Monument.€HT)'!C:G,3,FALSE()))</f>
        <v>1580</v>
      </c>
      <c r="H1057" s="4">
        <f>F1057+(VLOOKUP(D1057,'(Semelles.Monument.€HT)'!C:G,4,FALSE()))</f>
        <v>1663</v>
      </c>
      <c r="I1057" s="5">
        <f>F1057+(VLOOKUP(D1057,'(Semelles.Monument.€HT)'!C:G,5,FALSE()))</f>
        <v>1750</v>
      </c>
    </row>
    <row r="1058" spans="1:9" ht="26" customHeight="1">
      <c r="A1058" s="17" t="s">
        <v>156</v>
      </c>
      <c r="B1058" s="18" t="s">
        <v>169</v>
      </c>
      <c r="C1058" s="18" t="s">
        <v>97</v>
      </c>
      <c r="D1058" s="18">
        <v>1</v>
      </c>
      <c r="E1058" s="17" t="s">
        <v>98</v>
      </c>
      <c r="F1058" s="19">
        <v>678</v>
      </c>
      <c r="G1058" s="20">
        <f>F1058+(VLOOKUP(D1058,'(Semelles.Monument.€HT)'!C:G,3,FALSE()))</f>
        <v>836</v>
      </c>
      <c r="H1058" s="21">
        <f>F1058+(VLOOKUP(D1058,'(Semelles.Monument.€HT)'!C:G,4,FALSE()))</f>
        <v>882</v>
      </c>
      <c r="I1058" s="22">
        <f>F1058+(VLOOKUP(D1058,'(Semelles.Monument.€HT)'!C:G,5,FALSE()))</f>
        <v>930</v>
      </c>
    </row>
    <row r="1059" spans="1:9" ht="26" customHeight="1">
      <c r="A1059" s="2" t="s">
        <v>156</v>
      </c>
      <c r="B1059" s="13" t="s">
        <v>169</v>
      </c>
      <c r="C1059" s="13" t="s">
        <v>97</v>
      </c>
      <c r="D1059" s="13">
        <v>2</v>
      </c>
      <c r="E1059" s="2" t="s">
        <v>99</v>
      </c>
      <c r="F1059" s="7">
        <v>677</v>
      </c>
      <c r="G1059" s="3">
        <f>F1059+(VLOOKUP(D1059,'(Semelles.Monument.€HT)'!C:G,3,FALSE()))</f>
        <v>835</v>
      </c>
      <c r="H1059" s="4">
        <f>F1059+(VLOOKUP(D1059,'(Semelles.Monument.€HT)'!C:G,4,FALSE()))</f>
        <v>881</v>
      </c>
      <c r="I1059" s="5">
        <f>F1059+(VLOOKUP(D1059,'(Semelles.Monument.€HT)'!C:G,5,FALSE()))</f>
        <v>929</v>
      </c>
    </row>
    <row r="1060" spans="1:9" ht="26" customHeight="1">
      <c r="A1060" s="17" t="s">
        <v>156</v>
      </c>
      <c r="B1060" s="18" t="s">
        <v>169</v>
      </c>
      <c r="C1060" s="18" t="s">
        <v>97</v>
      </c>
      <c r="D1060" s="18">
        <v>3</v>
      </c>
      <c r="E1060" s="17" t="s">
        <v>100</v>
      </c>
      <c r="F1060" s="19">
        <v>753</v>
      </c>
      <c r="G1060" s="20">
        <f>F1060+(VLOOKUP(D1060,'(Semelles.Monument.€HT)'!C:G,3,FALSE()))</f>
        <v>929</v>
      </c>
      <c r="H1060" s="21">
        <f>F1060+(VLOOKUP(D1060,'(Semelles.Monument.€HT)'!C:G,4,FALSE()))</f>
        <v>980</v>
      </c>
      <c r="I1060" s="22">
        <f>F1060+(VLOOKUP(D1060,'(Semelles.Monument.€HT)'!C:G,5,FALSE()))</f>
        <v>1033</v>
      </c>
    </row>
    <row r="1061" spans="1:9" ht="26" customHeight="1">
      <c r="A1061" s="2" t="s">
        <v>156</v>
      </c>
      <c r="B1061" s="13" t="s">
        <v>169</v>
      </c>
      <c r="C1061" s="13" t="s">
        <v>97</v>
      </c>
      <c r="D1061" s="13">
        <v>4</v>
      </c>
      <c r="E1061" s="2" t="s">
        <v>101</v>
      </c>
      <c r="F1061" s="7">
        <v>766</v>
      </c>
      <c r="G1061" s="3">
        <f>F1061+(VLOOKUP(D1061,'(Semelles.Monument.€HT)'!C:G,3,FALSE()))</f>
        <v>945</v>
      </c>
      <c r="H1061" s="4">
        <f>F1061+(VLOOKUP(D1061,'(Semelles.Monument.€HT)'!C:G,4,FALSE()))</f>
        <v>997</v>
      </c>
      <c r="I1061" s="5">
        <f>F1061+(VLOOKUP(D1061,'(Semelles.Monument.€HT)'!C:G,5,FALSE()))</f>
        <v>1051</v>
      </c>
    </row>
    <row r="1062" spans="1:9" ht="26" customHeight="1">
      <c r="A1062" s="17" t="s">
        <v>156</v>
      </c>
      <c r="B1062" s="18" t="s">
        <v>169</v>
      </c>
      <c r="C1062" s="18" t="s">
        <v>97</v>
      </c>
      <c r="D1062" s="18">
        <v>5</v>
      </c>
      <c r="E1062" s="17" t="s">
        <v>102</v>
      </c>
      <c r="F1062" s="19">
        <v>766</v>
      </c>
      <c r="G1062" s="20">
        <f>F1062+(VLOOKUP(D1062,'(Semelles.Monument.€HT)'!C:G,3,FALSE()))</f>
        <v>945</v>
      </c>
      <c r="H1062" s="21">
        <f>F1062+(VLOOKUP(D1062,'(Semelles.Monument.€HT)'!C:G,4,FALSE()))</f>
        <v>997</v>
      </c>
      <c r="I1062" s="22">
        <f>F1062+(VLOOKUP(D1062,'(Semelles.Monument.€HT)'!C:G,5,FALSE()))</f>
        <v>1051</v>
      </c>
    </row>
    <row r="1063" spans="1:9" ht="26" customHeight="1">
      <c r="A1063" s="2" t="s">
        <v>156</v>
      </c>
      <c r="B1063" s="13" t="s">
        <v>169</v>
      </c>
      <c r="C1063" s="13" t="s">
        <v>97</v>
      </c>
      <c r="D1063" s="13">
        <v>6</v>
      </c>
      <c r="E1063" s="2" t="s">
        <v>103</v>
      </c>
      <c r="F1063" s="7">
        <v>770</v>
      </c>
      <c r="G1063" s="3">
        <f>F1063+(VLOOKUP(D1063,'(Semelles.Monument.€HT)'!C:G,3,FALSE()))</f>
        <v>950</v>
      </c>
      <c r="H1063" s="4">
        <f>F1063+(VLOOKUP(D1063,'(Semelles.Monument.€HT)'!C:G,4,FALSE()))</f>
        <v>1002</v>
      </c>
      <c r="I1063" s="5">
        <f>F1063+(VLOOKUP(D1063,'(Semelles.Monument.€HT)'!C:G,5,FALSE()))</f>
        <v>1057</v>
      </c>
    </row>
    <row r="1064" spans="1:9" ht="26" customHeight="1">
      <c r="A1064" s="17" t="s">
        <v>156</v>
      </c>
      <c r="B1064" s="18" t="s">
        <v>169</v>
      </c>
      <c r="C1064" s="18" t="s">
        <v>97</v>
      </c>
      <c r="D1064" s="18">
        <v>7</v>
      </c>
      <c r="E1064" s="17" t="s">
        <v>104</v>
      </c>
      <c r="F1064" s="19">
        <v>770</v>
      </c>
      <c r="G1064" s="20">
        <f>F1064+(VLOOKUP(D1064,'(Semelles.Monument.€HT)'!C:G,3,FALSE()))</f>
        <v>950</v>
      </c>
      <c r="H1064" s="21">
        <f>F1064+(VLOOKUP(D1064,'(Semelles.Monument.€HT)'!C:G,4,FALSE()))</f>
        <v>1002</v>
      </c>
      <c r="I1064" s="22">
        <f>F1064+(VLOOKUP(D1064,'(Semelles.Monument.€HT)'!C:G,5,FALSE()))</f>
        <v>1057</v>
      </c>
    </row>
    <row r="1065" spans="1:9" ht="26" customHeight="1">
      <c r="A1065" s="2" t="s">
        <v>156</v>
      </c>
      <c r="B1065" s="13" t="s">
        <v>169</v>
      </c>
      <c r="C1065" s="13" t="s">
        <v>97</v>
      </c>
      <c r="D1065" s="13">
        <v>8</v>
      </c>
      <c r="E1065" s="2" t="s">
        <v>105</v>
      </c>
      <c r="F1065" s="7">
        <v>770</v>
      </c>
      <c r="G1065" s="3">
        <f>F1065+(VLOOKUP(D1065,'(Semelles.Monument.€HT)'!C:G,3,FALSE()))</f>
        <v>950</v>
      </c>
      <c r="H1065" s="4">
        <f>F1065+(VLOOKUP(D1065,'(Semelles.Monument.€HT)'!C:G,4,FALSE()))</f>
        <v>1002</v>
      </c>
      <c r="I1065" s="5">
        <f>F1065+(VLOOKUP(D1065,'(Semelles.Monument.€HT)'!C:G,5,FALSE()))</f>
        <v>1057</v>
      </c>
    </row>
    <row r="1066" spans="1:9" ht="26" customHeight="1">
      <c r="A1066" s="17" t="s">
        <v>156</v>
      </c>
      <c r="B1066" s="18" t="s">
        <v>169</v>
      </c>
      <c r="C1066" s="18" t="s">
        <v>97</v>
      </c>
      <c r="D1066" s="18">
        <v>9</v>
      </c>
      <c r="E1066" s="17" t="s">
        <v>106</v>
      </c>
      <c r="F1066" s="19">
        <v>770</v>
      </c>
      <c r="G1066" s="20">
        <f>F1066+(VLOOKUP(D1066,'(Semelles.Monument.€HT)'!C:G,3,FALSE()))</f>
        <v>950</v>
      </c>
      <c r="H1066" s="21">
        <f>F1066+(VLOOKUP(D1066,'(Semelles.Monument.€HT)'!C:G,4,FALSE()))</f>
        <v>1002</v>
      </c>
      <c r="I1066" s="22">
        <f>F1066+(VLOOKUP(D1066,'(Semelles.Monument.€HT)'!C:G,5,FALSE()))</f>
        <v>1057</v>
      </c>
    </row>
    <row r="1067" spans="1:9" ht="26" customHeight="1">
      <c r="A1067" s="2" t="s">
        <v>156</v>
      </c>
      <c r="B1067" s="13" t="s">
        <v>169</v>
      </c>
      <c r="C1067" s="13" t="s">
        <v>97</v>
      </c>
      <c r="D1067" s="13">
        <v>10</v>
      </c>
      <c r="E1067" s="2" t="s">
        <v>107</v>
      </c>
      <c r="F1067" s="7">
        <v>770</v>
      </c>
      <c r="G1067" s="3">
        <f>F1067+(VLOOKUP(D1067,'(Semelles.Monument.€HT)'!C:G,3,FALSE()))</f>
        <v>950</v>
      </c>
      <c r="H1067" s="4">
        <f>F1067+(VLOOKUP(D1067,'(Semelles.Monument.€HT)'!C:G,4,FALSE()))</f>
        <v>1002</v>
      </c>
      <c r="I1067" s="5">
        <f>F1067+(VLOOKUP(D1067,'(Semelles.Monument.€HT)'!C:G,5,FALSE()))</f>
        <v>1057</v>
      </c>
    </row>
    <row r="1068" spans="1:9" ht="26" customHeight="1">
      <c r="A1068" s="17" t="s">
        <v>156</v>
      </c>
      <c r="B1068" s="18" t="s">
        <v>169</v>
      </c>
      <c r="C1068" s="18" t="s">
        <v>97</v>
      </c>
      <c r="D1068" s="18">
        <v>11</v>
      </c>
      <c r="E1068" s="17" t="s">
        <v>108</v>
      </c>
      <c r="F1068" s="19">
        <v>770</v>
      </c>
      <c r="G1068" s="20">
        <f>F1068+(VLOOKUP(D1068,'(Semelles.Monument.€HT)'!C:G,3,FALSE()))</f>
        <v>950</v>
      </c>
      <c r="H1068" s="21">
        <f>F1068+(VLOOKUP(D1068,'(Semelles.Monument.€HT)'!C:G,4,FALSE()))</f>
        <v>1002</v>
      </c>
      <c r="I1068" s="22">
        <f>F1068+(VLOOKUP(D1068,'(Semelles.Monument.€HT)'!C:G,5,FALSE()))</f>
        <v>1057</v>
      </c>
    </row>
    <row r="1069" spans="1:9" ht="26" customHeight="1">
      <c r="A1069" s="2" t="s">
        <v>156</v>
      </c>
      <c r="B1069" s="13" t="s">
        <v>169</v>
      </c>
      <c r="C1069" s="13" t="s">
        <v>97</v>
      </c>
      <c r="D1069" s="13">
        <v>12</v>
      </c>
      <c r="E1069" s="2" t="s">
        <v>109</v>
      </c>
      <c r="F1069" s="7">
        <v>781</v>
      </c>
      <c r="G1069" s="3">
        <f>F1069+(VLOOKUP(D1069,'(Semelles.Monument.€HT)'!C:G,3,FALSE()))</f>
        <v>963</v>
      </c>
      <c r="H1069" s="4">
        <f>F1069+(VLOOKUP(D1069,'(Semelles.Monument.€HT)'!C:G,4,FALSE()))</f>
        <v>1016</v>
      </c>
      <c r="I1069" s="5">
        <f>F1069+(VLOOKUP(D1069,'(Semelles.Monument.€HT)'!C:G,5,FALSE()))</f>
        <v>1072</v>
      </c>
    </row>
    <row r="1070" spans="1:9" ht="26" customHeight="1">
      <c r="A1070" s="17" t="s">
        <v>156</v>
      </c>
      <c r="B1070" s="18" t="s">
        <v>169</v>
      </c>
      <c r="C1070" s="18" t="s">
        <v>97</v>
      </c>
      <c r="D1070" s="18">
        <v>13</v>
      </c>
      <c r="E1070" s="17" t="s">
        <v>110</v>
      </c>
      <c r="F1070" s="19">
        <v>781</v>
      </c>
      <c r="G1070" s="20">
        <f>F1070+(VLOOKUP(D1070,'(Semelles.Monument.€HT)'!C:G,3,FALSE()))</f>
        <v>963</v>
      </c>
      <c r="H1070" s="21">
        <f>F1070+(VLOOKUP(D1070,'(Semelles.Monument.€HT)'!C:G,4,FALSE()))</f>
        <v>1016</v>
      </c>
      <c r="I1070" s="22">
        <f>F1070+(VLOOKUP(D1070,'(Semelles.Monument.€HT)'!C:G,5,FALSE()))</f>
        <v>1072</v>
      </c>
    </row>
    <row r="1071" spans="1:9" ht="26" customHeight="1">
      <c r="A1071" s="2" t="s">
        <v>156</v>
      </c>
      <c r="B1071" s="13" t="s">
        <v>169</v>
      </c>
      <c r="C1071" s="13" t="s">
        <v>97</v>
      </c>
      <c r="D1071" s="13">
        <v>14</v>
      </c>
      <c r="E1071" s="2" t="s">
        <v>111</v>
      </c>
      <c r="F1071" s="7">
        <v>783</v>
      </c>
      <c r="G1071" s="3">
        <f>F1071+(VLOOKUP(D1071,'(Semelles.Monument.€HT)'!C:G,3,FALSE()))</f>
        <v>966</v>
      </c>
      <c r="H1071" s="4">
        <f>F1071+(VLOOKUP(D1071,'(Semelles.Monument.€HT)'!C:G,4,FALSE()))</f>
        <v>1019</v>
      </c>
      <c r="I1071" s="5">
        <f>F1071+(VLOOKUP(D1071,'(Semelles.Monument.€HT)'!C:G,5,FALSE()))</f>
        <v>1075</v>
      </c>
    </row>
    <row r="1072" spans="1:9" ht="26" customHeight="1">
      <c r="A1072" s="17" t="s">
        <v>156</v>
      </c>
      <c r="B1072" s="18" t="s">
        <v>169</v>
      </c>
      <c r="C1072" s="18" t="s">
        <v>97</v>
      </c>
      <c r="D1072" s="18">
        <v>15</v>
      </c>
      <c r="E1072" s="17" t="s">
        <v>112</v>
      </c>
      <c r="F1072" s="19">
        <v>783</v>
      </c>
      <c r="G1072" s="20">
        <f>F1072+(VLOOKUP(D1072,'(Semelles.Monument.€HT)'!C:G,3,FALSE()))</f>
        <v>966</v>
      </c>
      <c r="H1072" s="21">
        <f>F1072+(VLOOKUP(D1072,'(Semelles.Monument.€HT)'!C:G,4,FALSE()))</f>
        <v>1019</v>
      </c>
      <c r="I1072" s="22">
        <f>F1072+(VLOOKUP(D1072,'(Semelles.Monument.€HT)'!C:G,5,FALSE()))</f>
        <v>1075</v>
      </c>
    </row>
    <row r="1073" spans="1:9" ht="26" customHeight="1">
      <c r="A1073" s="2" t="s">
        <v>156</v>
      </c>
      <c r="B1073" s="13" t="s">
        <v>169</v>
      </c>
      <c r="C1073" s="13" t="s">
        <v>97</v>
      </c>
      <c r="D1073" s="13">
        <v>16</v>
      </c>
      <c r="E1073" s="2" t="s">
        <v>113</v>
      </c>
      <c r="F1073" s="7">
        <v>783</v>
      </c>
      <c r="G1073" s="3">
        <f>F1073+(VLOOKUP(D1073,'(Semelles.Monument.€HT)'!C:G,3,FALSE()))</f>
        <v>966</v>
      </c>
      <c r="H1073" s="4">
        <f>F1073+(VLOOKUP(D1073,'(Semelles.Monument.€HT)'!C:G,4,FALSE()))</f>
        <v>1019</v>
      </c>
      <c r="I1073" s="5">
        <f>F1073+(VLOOKUP(D1073,'(Semelles.Monument.€HT)'!C:G,5,FALSE()))</f>
        <v>1075</v>
      </c>
    </row>
    <row r="1074" spans="1:9" ht="26" customHeight="1">
      <c r="A1074" s="17" t="s">
        <v>156</v>
      </c>
      <c r="B1074" s="18" t="s">
        <v>169</v>
      </c>
      <c r="C1074" s="18" t="s">
        <v>97</v>
      </c>
      <c r="D1074" s="18">
        <v>17</v>
      </c>
      <c r="E1074" s="17" t="s">
        <v>114</v>
      </c>
      <c r="F1074" s="19">
        <v>797</v>
      </c>
      <c r="G1074" s="20">
        <f>F1074+(VLOOKUP(D1074,'(Semelles.Monument.€HT)'!C:G,3,FALSE()))</f>
        <v>983</v>
      </c>
      <c r="H1074" s="21">
        <f>F1074+(VLOOKUP(D1074,'(Semelles.Monument.€HT)'!C:G,4,FALSE()))</f>
        <v>1037</v>
      </c>
      <c r="I1074" s="22">
        <f>F1074+(VLOOKUP(D1074,'(Semelles.Monument.€HT)'!C:G,5,FALSE()))</f>
        <v>1094</v>
      </c>
    </row>
    <row r="1075" spans="1:9" ht="26" customHeight="1">
      <c r="A1075" s="2" t="s">
        <v>156</v>
      </c>
      <c r="B1075" s="13" t="s">
        <v>169</v>
      </c>
      <c r="C1075" s="13" t="s">
        <v>97</v>
      </c>
      <c r="D1075" s="13">
        <v>18</v>
      </c>
      <c r="E1075" s="2" t="s">
        <v>115</v>
      </c>
      <c r="F1075" s="7">
        <v>797</v>
      </c>
      <c r="G1075" s="3">
        <f>F1075+(VLOOKUP(D1075,'(Semelles.Monument.€HT)'!C:G,3,FALSE()))</f>
        <v>983</v>
      </c>
      <c r="H1075" s="4">
        <f>F1075+(VLOOKUP(D1075,'(Semelles.Monument.€HT)'!C:G,4,FALSE()))</f>
        <v>1037</v>
      </c>
      <c r="I1075" s="5">
        <f>F1075+(VLOOKUP(D1075,'(Semelles.Monument.€HT)'!C:G,5,FALSE()))</f>
        <v>1094</v>
      </c>
    </row>
    <row r="1076" spans="1:9" ht="26" customHeight="1">
      <c r="A1076" s="17" t="s">
        <v>156</v>
      </c>
      <c r="B1076" s="18" t="s">
        <v>169</v>
      </c>
      <c r="C1076" s="18" t="s">
        <v>97</v>
      </c>
      <c r="D1076" s="18">
        <v>19</v>
      </c>
      <c r="E1076" s="17" t="s">
        <v>116</v>
      </c>
      <c r="F1076" s="19">
        <v>797</v>
      </c>
      <c r="G1076" s="20">
        <f>F1076+(VLOOKUP(D1076,'(Semelles.Monument.€HT)'!C:G,3,FALSE()))</f>
        <v>983</v>
      </c>
      <c r="H1076" s="21">
        <f>F1076+(VLOOKUP(D1076,'(Semelles.Monument.€HT)'!C:G,4,FALSE()))</f>
        <v>1037</v>
      </c>
      <c r="I1076" s="22">
        <f>F1076+(VLOOKUP(D1076,'(Semelles.Monument.€HT)'!C:G,5,FALSE()))</f>
        <v>1094</v>
      </c>
    </row>
    <row r="1077" spans="1:9" ht="26" customHeight="1">
      <c r="A1077" s="2" t="s">
        <v>156</v>
      </c>
      <c r="B1077" s="13" t="s">
        <v>169</v>
      </c>
      <c r="C1077" s="13" t="s">
        <v>97</v>
      </c>
      <c r="D1077" s="13">
        <v>20</v>
      </c>
      <c r="E1077" s="2" t="s">
        <v>117</v>
      </c>
      <c r="F1077" s="7">
        <v>803</v>
      </c>
      <c r="G1077" s="3">
        <f>F1077+(VLOOKUP(D1077,'(Semelles.Monument.€HT)'!C:G,3,FALSE()))</f>
        <v>991</v>
      </c>
      <c r="H1077" s="4">
        <f>F1077+(VLOOKUP(D1077,'(Semelles.Monument.€HT)'!C:G,4,FALSE()))</f>
        <v>1045</v>
      </c>
      <c r="I1077" s="5">
        <f>F1077+(VLOOKUP(D1077,'(Semelles.Monument.€HT)'!C:G,5,FALSE()))</f>
        <v>1102</v>
      </c>
    </row>
    <row r="1078" spans="1:9" ht="26" customHeight="1">
      <c r="A1078" s="17" t="s">
        <v>156</v>
      </c>
      <c r="B1078" s="18" t="s">
        <v>169</v>
      </c>
      <c r="C1078" s="18" t="s">
        <v>97</v>
      </c>
      <c r="D1078" s="18">
        <v>21</v>
      </c>
      <c r="E1078" s="17" t="s">
        <v>118</v>
      </c>
      <c r="F1078" s="19">
        <v>808</v>
      </c>
      <c r="G1078" s="20">
        <f>F1078+(VLOOKUP(D1078,'(Semelles.Monument.€HT)'!C:G,3,FALSE()))</f>
        <v>997</v>
      </c>
      <c r="H1078" s="21">
        <f>F1078+(VLOOKUP(D1078,'(Semelles.Monument.€HT)'!C:G,4,FALSE()))</f>
        <v>1051</v>
      </c>
      <c r="I1078" s="22">
        <f>F1078+(VLOOKUP(D1078,'(Semelles.Monument.€HT)'!C:G,5,FALSE()))</f>
        <v>1109</v>
      </c>
    </row>
    <row r="1079" spans="1:9" ht="26" customHeight="1">
      <c r="A1079" s="2" t="s">
        <v>156</v>
      </c>
      <c r="B1079" s="13" t="s">
        <v>169</v>
      </c>
      <c r="C1079" s="13" t="s">
        <v>97</v>
      </c>
      <c r="D1079" s="13">
        <v>22</v>
      </c>
      <c r="E1079" s="2" t="s">
        <v>119</v>
      </c>
      <c r="F1079" s="7">
        <v>808</v>
      </c>
      <c r="G1079" s="3">
        <f>F1079+(VLOOKUP(D1079,'(Semelles.Monument.€HT)'!C:G,3,FALSE()))</f>
        <v>997</v>
      </c>
      <c r="H1079" s="4">
        <f>F1079+(VLOOKUP(D1079,'(Semelles.Monument.€HT)'!C:G,4,FALSE()))</f>
        <v>1051</v>
      </c>
      <c r="I1079" s="5">
        <f>F1079+(VLOOKUP(D1079,'(Semelles.Monument.€HT)'!C:G,5,FALSE()))</f>
        <v>1109</v>
      </c>
    </row>
    <row r="1080" spans="1:9" ht="26" customHeight="1">
      <c r="A1080" s="17" t="s">
        <v>156</v>
      </c>
      <c r="B1080" s="18" t="s">
        <v>169</v>
      </c>
      <c r="C1080" s="18" t="s">
        <v>97</v>
      </c>
      <c r="D1080" s="18">
        <v>23</v>
      </c>
      <c r="E1080" s="17" t="s">
        <v>120</v>
      </c>
      <c r="F1080" s="19">
        <v>820</v>
      </c>
      <c r="G1080" s="20">
        <f>F1080+(VLOOKUP(D1080,'(Semelles.Monument.€HT)'!C:G,3,FALSE()))</f>
        <v>1012</v>
      </c>
      <c r="H1080" s="21">
        <f>F1080+(VLOOKUP(D1080,'(Semelles.Monument.€HT)'!C:G,4,FALSE()))</f>
        <v>1067</v>
      </c>
      <c r="I1080" s="22">
        <f>F1080+(VLOOKUP(D1080,'(Semelles.Monument.€HT)'!C:G,5,FALSE()))</f>
        <v>1125</v>
      </c>
    </row>
    <row r="1081" spans="1:9" ht="26" customHeight="1">
      <c r="A1081" s="2" t="s">
        <v>156</v>
      </c>
      <c r="B1081" s="13" t="s">
        <v>169</v>
      </c>
      <c r="C1081" s="13" t="s">
        <v>97</v>
      </c>
      <c r="D1081" s="13">
        <v>24</v>
      </c>
      <c r="E1081" s="2" t="s">
        <v>121</v>
      </c>
      <c r="F1081" s="7">
        <v>820</v>
      </c>
      <c r="G1081" s="3">
        <f>F1081+(VLOOKUP(D1081,'(Semelles.Monument.€HT)'!C:G,3,FALSE()))</f>
        <v>1012</v>
      </c>
      <c r="H1081" s="4">
        <f>F1081+(VLOOKUP(D1081,'(Semelles.Monument.€HT)'!C:G,4,FALSE()))</f>
        <v>1067</v>
      </c>
      <c r="I1081" s="5">
        <f>F1081+(VLOOKUP(D1081,'(Semelles.Monument.€HT)'!C:G,5,FALSE()))</f>
        <v>1125</v>
      </c>
    </row>
    <row r="1082" spans="1:9" ht="26" customHeight="1">
      <c r="A1082" s="17" t="s">
        <v>156</v>
      </c>
      <c r="B1082" s="18" t="s">
        <v>169</v>
      </c>
      <c r="C1082" s="18" t="s">
        <v>97</v>
      </c>
      <c r="D1082" s="18">
        <v>25</v>
      </c>
      <c r="E1082" s="17" t="s">
        <v>122</v>
      </c>
      <c r="F1082" s="19">
        <v>820</v>
      </c>
      <c r="G1082" s="20">
        <f>F1082+(VLOOKUP(D1082,'(Semelles.Monument.€HT)'!C:G,3,FALSE()))</f>
        <v>1012</v>
      </c>
      <c r="H1082" s="21">
        <f>F1082+(VLOOKUP(D1082,'(Semelles.Monument.€HT)'!C:G,4,FALSE()))</f>
        <v>1067</v>
      </c>
      <c r="I1082" s="22">
        <f>F1082+(VLOOKUP(D1082,'(Semelles.Monument.€HT)'!C:G,5,FALSE()))</f>
        <v>1125</v>
      </c>
    </row>
    <row r="1083" spans="1:9" ht="26" customHeight="1">
      <c r="A1083" s="2" t="s">
        <v>156</v>
      </c>
      <c r="B1083" s="13" t="s">
        <v>169</v>
      </c>
      <c r="C1083" s="13" t="s">
        <v>97</v>
      </c>
      <c r="D1083" s="13">
        <v>26</v>
      </c>
      <c r="E1083" s="2" t="s">
        <v>123</v>
      </c>
      <c r="F1083" s="7">
        <v>834</v>
      </c>
      <c r="G1083" s="3">
        <f>F1083+(VLOOKUP(D1083,'(Semelles.Monument.€HT)'!C:G,3,FALSE()))</f>
        <v>1029</v>
      </c>
      <c r="H1083" s="4">
        <f>F1083+(VLOOKUP(D1083,'(Semelles.Monument.€HT)'!C:G,4,FALSE()))</f>
        <v>1085</v>
      </c>
      <c r="I1083" s="5">
        <f>F1083+(VLOOKUP(D1083,'(Semelles.Monument.€HT)'!C:G,5,FALSE()))</f>
        <v>1144</v>
      </c>
    </row>
    <row r="1084" spans="1:9" ht="26" customHeight="1">
      <c r="A1084" s="17" t="s">
        <v>156</v>
      </c>
      <c r="B1084" s="18" t="s">
        <v>169</v>
      </c>
      <c r="C1084" s="18" t="s">
        <v>97</v>
      </c>
      <c r="D1084" s="18">
        <v>27</v>
      </c>
      <c r="E1084" s="17" t="s">
        <v>124</v>
      </c>
      <c r="F1084" s="19">
        <v>889</v>
      </c>
      <c r="G1084" s="20">
        <f>F1084+(VLOOKUP(D1084,'(Semelles.Monument.€HT)'!C:G,3,FALSE()))</f>
        <v>1097</v>
      </c>
      <c r="H1084" s="21">
        <f>F1084+(VLOOKUP(D1084,'(Semelles.Monument.€HT)'!C:G,4,FALSE()))</f>
        <v>1157</v>
      </c>
      <c r="I1084" s="22">
        <f>F1084+(VLOOKUP(D1084,'(Semelles.Monument.€HT)'!C:G,5,FALSE()))</f>
        <v>1256</v>
      </c>
    </row>
    <row r="1085" spans="1:9" ht="26" customHeight="1">
      <c r="A1085" s="2" t="s">
        <v>156</v>
      </c>
      <c r="B1085" s="13" t="s">
        <v>169</v>
      </c>
      <c r="C1085" s="13" t="s">
        <v>97</v>
      </c>
      <c r="D1085" s="13">
        <v>28</v>
      </c>
      <c r="E1085" s="2" t="s">
        <v>125</v>
      </c>
      <c r="F1085" s="7">
        <v>985</v>
      </c>
      <c r="G1085" s="3">
        <f>F1085+(VLOOKUP(D1085,'(Semelles.Monument.€HT)'!C:G,3,FALSE()))</f>
        <v>1215</v>
      </c>
      <c r="H1085" s="4">
        <f>F1085+(VLOOKUP(D1085,'(Semelles.Monument.€HT)'!C:G,4,FALSE()))</f>
        <v>1282</v>
      </c>
      <c r="I1085" s="5">
        <f>F1085+(VLOOKUP(D1085,'(Semelles.Monument.€HT)'!C:G,5,FALSE()))</f>
        <v>1352</v>
      </c>
    </row>
    <row r="1086" spans="1:9" ht="26" customHeight="1">
      <c r="A1086" s="17" t="s">
        <v>156</v>
      </c>
      <c r="B1086" s="18" t="s">
        <v>169</v>
      </c>
      <c r="C1086" s="18" t="s">
        <v>97</v>
      </c>
      <c r="D1086" s="18">
        <v>29</v>
      </c>
      <c r="E1086" s="17" t="s">
        <v>126</v>
      </c>
      <c r="F1086" s="19">
        <v>1026</v>
      </c>
      <c r="G1086" s="20">
        <f>F1086+(VLOOKUP(D1086,'(Semelles.Monument.€HT)'!C:G,3,FALSE()))</f>
        <v>1266</v>
      </c>
      <c r="H1086" s="21">
        <f>F1086+(VLOOKUP(D1086,'(Semelles.Monument.€HT)'!C:G,4,FALSE()))</f>
        <v>1335</v>
      </c>
      <c r="I1086" s="22">
        <f>F1086+(VLOOKUP(D1086,'(Semelles.Monument.€HT)'!C:G,5,FALSE()))</f>
        <v>1408</v>
      </c>
    </row>
    <row r="1087" spans="1:9" ht="26" customHeight="1">
      <c r="A1087" s="2" t="s">
        <v>156</v>
      </c>
      <c r="B1087" s="13" t="s">
        <v>169</v>
      </c>
      <c r="C1087" s="13" t="s">
        <v>97</v>
      </c>
      <c r="D1087" s="13">
        <v>30</v>
      </c>
      <c r="E1087" s="2" t="s">
        <v>127</v>
      </c>
      <c r="F1087" s="7">
        <v>1026</v>
      </c>
      <c r="G1087" s="3">
        <f>F1087+(VLOOKUP(D1087,'(Semelles.Monument.€HT)'!C:G,3,FALSE()))</f>
        <v>1266</v>
      </c>
      <c r="H1087" s="4">
        <f>F1087+(VLOOKUP(D1087,'(Semelles.Monument.€HT)'!C:G,4,FALSE()))</f>
        <v>1335</v>
      </c>
      <c r="I1087" s="5">
        <f>F1087+(VLOOKUP(D1087,'(Semelles.Monument.€HT)'!C:G,5,FALSE()))</f>
        <v>1408</v>
      </c>
    </row>
    <row r="1088" spans="1:9" ht="26" customHeight="1">
      <c r="A1088" s="17" t="s">
        <v>156</v>
      </c>
      <c r="B1088" s="18" t="s">
        <v>169</v>
      </c>
      <c r="C1088" s="18" t="s">
        <v>128</v>
      </c>
      <c r="D1088" s="18">
        <v>31</v>
      </c>
      <c r="E1088" s="17" t="s">
        <v>129</v>
      </c>
      <c r="F1088" s="19">
        <v>585</v>
      </c>
      <c r="G1088" s="20">
        <f>F1088+(VLOOKUP(D1088,'(Semelles.Monument.€HT)'!C:G,3,FALSE()))</f>
        <v>717</v>
      </c>
      <c r="H1088" s="21">
        <f>F1088+(VLOOKUP(D1088,'(Semelles.Monument.€HT)'!C:G,4,FALSE()))</f>
        <v>755</v>
      </c>
      <c r="I1088" s="22">
        <f>F1088+(VLOOKUP(D1088,'(Semelles.Monument.€HT)'!C:G,5,FALSE()))</f>
        <v>795</v>
      </c>
    </row>
    <row r="1089" spans="1:9" ht="26" customHeight="1">
      <c r="A1089" s="2" t="s">
        <v>156</v>
      </c>
      <c r="B1089" s="13" t="s">
        <v>169</v>
      </c>
      <c r="C1089" s="13" t="s">
        <v>128</v>
      </c>
      <c r="D1089" s="13">
        <v>32</v>
      </c>
      <c r="E1089" s="2" t="s">
        <v>130</v>
      </c>
      <c r="F1089" s="7">
        <v>593</v>
      </c>
      <c r="G1089" s="3">
        <f>F1089+(VLOOKUP(D1089,'(Semelles.Monument.€HT)'!C:G,3,FALSE()))</f>
        <v>727</v>
      </c>
      <c r="H1089" s="4">
        <f>F1089+(VLOOKUP(D1089,'(Semelles.Monument.€HT)'!C:G,4,FALSE()))</f>
        <v>766</v>
      </c>
      <c r="I1089" s="5">
        <f>F1089+(VLOOKUP(D1089,'(Semelles.Monument.€HT)'!C:G,5,FALSE()))</f>
        <v>806</v>
      </c>
    </row>
    <row r="1090" spans="1:9" ht="26" customHeight="1">
      <c r="A1090" s="17" t="s">
        <v>156</v>
      </c>
      <c r="B1090" s="18" t="s">
        <v>169</v>
      </c>
      <c r="C1090" s="18" t="s">
        <v>128</v>
      </c>
      <c r="D1090" s="18">
        <v>33</v>
      </c>
      <c r="E1090" s="17" t="s">
        <v>131</v>
      </c>
      <c r="F1090" s="19">
        <v>593</v>
      </c>
      <c r="G1090" s="20">
        <f>F1090+(VLOOKUP(D1090,'(Semelles.Monument.€HT)'!C:G,3,FALSE()))</f>
        <v>727</v>
      </c>
      <c r="H1090" s="21">
        <f>F1090+(VLOOKUP(D1090,'(Semelles.Monument.€HT)'!C:G,4,FALSE()))</f>
        <v>766</v>
      </c>
      <c r="I1090" s="22">
        <f>F1090+(VLOOKUP(D1090,'(Semelles.Monument.€HT)'!C:G,5,FALSE()))</f>
        <v>806</v>
      </c>
    </row>
    <row r="1091" spans="1:9" ht="26" customHeight="1">
      <c r="A1091" s="2" t="s">
        <v>156</v>
      </c>
      <c r="B1091" s="13" t="s">
        <v>169</v>
      </c>
      <c r="C1091" s="13" t="s">
        <v>128</v>
      </c>
      <c r="D1091" s="13">
        <v>34</v>
      </c>
      <c r="E1091" s="2" t="s">
        <v>132</v>
      </c>
      <c r="F1091" s="7">
        <v>598</v>
      </c>
      <c r="G1091" s="3">
        <f>F1091+(VLOOKUP(D1091,'(Semelles.Monument.€HT)'!C:G,3,FALSE()))</f>
        <v>733</v>
      </c>
      <c r="H1091" s="4">
        <f>F1091+(VLOOKUP(D1091,'(Semelles.Monument.€HT)'!C:G,4,FALSE()))</f>
        <v>772</v>
      </c>
      <c r="I1091" s="5">
        <f>F1091+(VLOOKUP(D1091,'(Semelles.Monument.€HT)'!C:G,5,FALSE()))</f>
        <v>813</v>
      </c>
    </row>
    <row r="1092" spans="1:9" ht="26" customHeight="1">
      <c r="A1092" s="17" t="s">
        <v>156</v>
      </c>
      <c r="B1092" s="18" t="s">
        <v>169</v>
      </c>
      <c r="C1092" s="18" t="s">
        <v>128</v>
      </c>
      <c r="D1092" s="18">
        <v>35</v>
      </c>
      <c r="E1092" s="17" t="s">
        <v>133</v>
      </c>
      <c r="F1092" s="19">
        <v>716</v>
      </c>
      <c r="G1092" s="20">
        <f>F1092+(VLOOKUP(D1092,'(Semelles.Monument.€HT)'!C:G,3,FALSE()))</f>
        <v>879</v>
      </c>
      <c r="H1092" s="21">
        <f>F1092+(VLOOKUP(D1092,'(Semelles.Monument.€HT)'!C:G,4,FALSE()))</f>
        <v>926</v>
      </c>
      <c r="I1092" s="22">
        <f>F1092+(VLOOKUP(D1092,'(Semelles.Monument.€HT)'!C:G,5,FALSE()))</f>
        <v>975</v>
      </c>
    </row>
    <row r="1093" spans="1:9" ht="26" customHeight="1">
      <c r="A1093" s="2" t="s">
        <v>156</v>
      </c>
      <c r="B1093" s="13" t="s">
        <v>169</v>
      </c>
      <c r="C1093" s="13" t="s">
        <v>128</v>
      </c>
      <c r="D1093" s="13">
        <v>36</v>
      </c>
      <c r="E1093" s="2" t="s">
        <v>134</v>
      </c>
      <c r="F1093" s="7">
        <v>741</v>
      </c>
      <c r="G1093" s="3">
        <f>F1093+(VLOOKUP(D1093,'(Semelles.Monument.€HT)'!C:G,3,FALSE()))</f>
        <v>909</v>
      </c>
      <c r="H1093" s="4">
        <f>F1093+(VLOOKUP(D1093,'(Semelles.Monument.€HT)'!C:G,4,FALSE()))</f>
        <v>958</v>
      </c>
      <c r="I1093" s="5">
        <f>F1093+(VLOOKUP(D1093,'(Semelles.Monument.€HT)'!C:G,5,FALSE()))</f>
        <v>1009</v>
      </c>
    </row>
    <row r="1094" spans="1:9" ht="26" customHeight="1">
      <c r="A1094" s="17" t="s">
        <v>156</v>
      </c>
      <c r="B1094" s="18" t="s">
        <v>169</v>
      </c>
      <c r="C1094" s="18" t="s">
        <v>128</v>
      </c>
      <c r="D1094" s="18">
        <v>37</v>
      </c>
      <c r="E1094" s="17" t="s">
        <v>135</v>
      </c>
      <c r="F1094" s="19">
        <v>911</v>
      </c>
      <c r="G1094" s="20">
        <f>F1094+(VLOOKUP(D1094,'(Semelles.Monument.€HT)'!C:G,3,FALSE()))</f>
        <v>1119</v>
      </c>
      <c r="H1094" s="21">
        <f>F1094+(VLOOKUP(D1094,'(Semelles.Monument.€HT)'!C:G,4,FALSE()))</f>
        <v>1179</v>
      </c>
      <c r="I1094" s="22">
        <f>F1094+(VLOOKUP(D1094,'(Semelles.Monument.€HT)'!C:G,5,FALSE()))</f>
        <v>1243</v>
      </c>
    </row>
    <row r="1095" spans="1:9" ht="26" customHeight="1">
      <c r="A1095" s="2" t="s">
        <v>156</v>
      </c>
      <c r="B1095" s="13" t="s">
        <v>169</v>
      </c>
      <c r="C1095" s="13" t="s">
        <v>128</v>
      </c>
      <c r="D1095" s="13">
        <v>38</v>
      </c>
      <c r="E1095" s="2" t="s">
        <v>136</v>
      </c>
      <c r="F1095" s="7">
        <v>963</v>
      </c>
      <c r="G1095" s="3">
        <f>F1095+(VLOOKUP(D1095,'(Semelles.Monument.€HT)'!C:G,3,FALSE()))</f>
        <v>1183</v>
      </c>
      <c r="H1095" s="4">
        <f>F1095+(VLOOKUP(D1095,'(Semelles.Monument.€HT)'!C:G,4,FALSE()))</f>
        <v>1247</v>
      </c>
      <c r="I1095" s="5">
        <f>F1095+(VLOOKUP(D1095,'(Semelles.Monument.€HT)'!C:G,5,FALSE()))</f>
        <v>1314</v>
      </c>
    </row>
    <row r="1096" spans="1:9" ht="26" customHeight="1">
      <c r="A1096" s="17" t="s">
        <v>156</v>
      </c>
      <c r="B1096" s="18" t="s">
        <v>169</v>
      </c>
      <c r="C1096" s="18" t="s">
        <v>128</v>
      </c>
      <c r="D1096" s="18">
        <v>39</v>
      </c>
      <c r="E1096" s="17" t="s">
        <v>137</v>
      </c>
      <c r="F1096" s="19">
        <v>987</v>
      </c>
      <c r="G1096" s="20">
        <f>F1096+(VLOOKUP(D1096,'(Semelles.Monument.€HT)'!C:G,3,FALSE()))</f>
        <v>1213</v>
      </c>
      <c r="H1096" s="21">
        <f>F1096+(VLOOKUP(D1096,'(Semelles.Monument.€HT)'!C:G,4,FALSE()))</f>
        <v>1278</v>
      </c>
      <c r="I1096" s="22">
        <f>F1096+(VLOOKUP(D1096,'(Semelles.Monument.€HT)'!C:G,5,FALSE()))</f>
        <v>1347</v>
      </c>
    </row>
    <row r="1097" spans="1:9" ht="26" customHeight="1">
      <c r="A1097" s="2" t="s">
        <v>156</v>
      </c>
      <c r="B1097" s="13" t="s">
        <v>169</v>
      </c>
      <c r="C1097" s="13" t="s">
        <v>128</v>
      </c>
      <c r="D1097" s="13">
        <v>40</v>
      </c>
      <c r="E1097" s="2" t="s">
        <v>138</v>
      </c>
      <c r="F1097" s="7">
        <v>1015</v>
      </c>
      <c r="G1097" s="3">
        <f>F1097+(VLOOKUP(D1097,'(Semelles.Monument.€HT)'!C:G,3,FALSE()))</f>
        <v>1247</v>
      </c>
      <c r="H1097" s="4">
        <f>F1097+(VLOOKUP(D1097,'(Semelles.Monument.€HT)'!C:G,4,FALSE()))</f>
        <v>1315</v>
      </c>
      <c r="I1097" s="5">
        <f>F1097+(VLOOKUP(D1097,'(Semelles.Monument.€HT)'!C:G,5,FALSE()))</f>
        <v>1385</v>
      </c>
    </row>
    <row r="1098" spans="1:9" ht="26" customHeight="1">
      <c r="A1098" s="17" t="s">
        <v>156</v>
      </c>
      <c r="B1098" s="18" t="s">
        <v>169</v>
      </c>
      <c r="C1098" s="18" t="s">
        <v>128</v>
      </c>
      <c r="D1098" s="18">
        <v>41</v>
      </c>
      <c r="E1098" s="17" t="s">
        <v>139</v>
      </c>
      <c r="F1098" s="19">
        <v>1078</v>
      </c>
      <c r="G1098" s="20">
        <f>F1098+(VLOOKUP(D1098,'(Semelles.Monument.€HT)'!C:G,3,FALSE()))</f>
        <v>1325</v>
      </c>
      <c r="H1098" s="21">
        <f>F1098+(VLOOKUP(D1098,'(Semelles.Monument.€HT)'!C:G,4,FALSE()))</f>
        <v>1397</v>
      </c>
      <c r="I1098" s="22">
        <f>F1098+(VLOOKUP(D1098,'(Semelles.Monument.€HT)'!C:G,5,FALSE()))</f>
        <v>1472</v>
      </c>
    </row>
    <row r="1099" spans="1:9" ht="26" customHeight="1">
      <c r="A1099" s="2" t="s">
        <v>156</v>
      </c>
      <c r="B1099" s="13" t="s">
        <v>169</v>
      </c>
      <c r="C1099" s="13" t="s">
        <v>128</v>
      </c>
      <c r="D1099" s="13">
        <v>42</v>
      </c>
      <c r="E1099" s="2" t="s">
        <v>140</v>
      </c>
      <c r="F1099" s="7">
        <v>1182</v>
      </c>
      <c r="G1099" s="3">
        <f>F1099+(VLOOKUP(D1099,'(Semelles.Monument.€HT)'!C:G,3,FALSE()))</f>
        <v>1453</v>
      </c>
      <c r="H1099" s="4">
        <f>F1099+(VLOOKUP(D1099,'(Semelles.Monument.€HT)'!C:G,4,FALSE()))</f>
        <v>1532</v>
      </c>
      <c r="I1099" s="5">
        <f>F1099+(VLOOKUP(D1099,'(Semelles.Monument.€HT)'!C:G,5,FALSE()))</f>
        <v>1615</v>
      </c>
    </row>
    <row r="1100" spans="1:9" ht="26" customHeight="1">
      <c r="A1100" s="17" t="s">
        <v>156</v>
      </c>
      <c r="B1100" s="18" t="s">
        <v>169</v>
      </c>
      <c r="C1100" s="18" t="s">
        <v>128</v>
      </c>
      <c r="D1100" s="18">
        <v>43</v>
      </c>
      <c r="E1100" s="17" t="s">
        <v>141</v>
      </c>
      <c r="F1100" s="19">
        <v>1182</v>
      </c>
      <c r="G1100" s="20">
        <f>F1100+(VLOOKUP(D1100,'(Semelles.Monument.€HT)'!C:G,3,FALSE()))</f>
        <v>1453</v>
      </c>
      <c r="H1100" s="21">
        <f>F1100+(VLOOKUP(D1100,'(Semelles.Monument.€HT)'!C:G,4,FALSE()))</f>
        <v>1532</v>
      </c>
      <c r="I1100" s="22">
        <f>F1100+(VLOOKUP(D1100,'(Semelles.Monument.€HT)'!C:G,5,FALSE()))</f>
        <v>1615</v>
      </c>
    </row>
    <row r="1101" spans="1:9" ht="26" customHeight="1">
      <c r="A1101" s="2" t="s">
        <v>156</v>
      </c>
      <c r="B1101" s="13" t="s">
        <v>169</v>
      </c>
      <c r="C1101" s="13" t="s">
        <v>128</v>
      </c>
      <c r="D1101" s="13">
        <v>44</v>
      </c>
      <c r="E1101" s="2" t="s">
        <v>142</v>
      </c>
      <c r="F1101" s="7">
        <v>1196</v>
      </c>
      <c r="G1101" s="3">
        <f>F1101+(VLOOKUP(D1101,'(Semelles.Monument.€HT)'!C:G,3,FALSE()))</f>
        <v>1471</v>
      </c>
      <c r="H1101" s="4">
        <f>F1101+(VLOOKUP(D1101,'(Semelles.Monument.€HT)'!C:G,4,FALSE()))</f>
        <v>1550</v>
      </c>
      <c r="I1101" s="5">
        <f>F1101+(VLOOKUP(D1101,'(Semelles.Monument.€HT)'!C:G,5,FALSE()))</f>
        <v>1634</v>
      </c>
    </row>
    <row r="1102" spans="1:9" ht="26" customHeight="1">
      <c r="A1102" s="17" t="s">
        <v>156</v>
      </c>
      <c r="B1102" s="18" t="s">
        <v>169</v>
      </c>
      <c r="C1102" s="18" t="s">
        <v>128</v>
      </c>
      <c r="D1102" s="18">
        <v>45</v>
      </c>
      <c r="E1102" s="17" t="s">
        <v>143</v>
      </c>
      <c r="F1102" s="19">
        <v>1209</v>
      </c>
      <c r="G1102" s="20">
        <f>F1102+(VLOOKUP(D1102,'(Semelles.Monument.€HT)'!C:G,3,FALSE()))</f>
        <v>1487</v>
      </c>
      <c r="H1102" s="21">
        <f>F1102+(VLOOKUP(D1102,'(Semelles.Monument.€HT)'!C:G,4,FALSE()))</f>
        <v>1567</v>
      </c>
      <c r="I1102" s="22">
        <f>F1102+(VLOOKUP(D1102,'(Semelles.Monument.€HT)'!C:G,5,FALSE()))</f>
        <v>1652</v>
      </c>
    </row>
    <row r="1103" spans="1:9" ht="26" customHeight="1">
      <c r="A1103" s="2" t="s">
        <v>156</v>
      </c>
      <c r="B1103" s="13" t="s">
        <v>169</v>
      </c>
      <c r="C1103" s="13" t="s">
        <v>128</v>
      </c>
      <c r="D1103" s="13">
        <v>46</v>
      </c>
      <c r="E1103" s="2" t="s">
        <v>144</v>
      </c>
      <c r="F1103" s="7">
        <v>1209</v>
      </c>
      <c r="G1103" s="3">
        <f>F1103+(VLOOKUP(D1103,'(Semelles.Monument.€HT)'!C:G,3,FALSE()))</f>
        <v>1487</v>
      </c>
      <c r="H1103" s="4">
        <f>F1103+(VLOOKUP(D1103,'(Semelles.Monument.€HT)'!C:G,4,FALSE()))</f>
        <v>1567</v>
      </c>
      <c r="I1103" s="5">
        <f>F1103+(VLOOKUP(D1103,'(Semelles.Monument.€HT)'!C:G,5,FALSE()))</f>
        <v>1652</v>
      </c>
    </row>
    <row r="1104" spans="1:9" ht="26" customHeight="1">
      <c r="A1104" s="17" t="s">
        <v>156</v>
      </c>
      <c r="B1104" s="18" t="s">
        <v>169</v>
      </c>
      <c r="C1104" s="18" t="s">
        <v>128</v>
      </c>
      <c r="D1104" s="18">
        <v>47</v>
      </c>
      <c r="E1104" s="17" t="s">
        <v>145</v>
      </c>
      <c r="F1104" s="19">
        <v>1234</v>
      </c>
      <c r="G1104" s="20">
        <f>F1104+(VLOOKUP(D1104,'(Semelles.Monument.€HT)'!C:G,3,FALSE()))</f>
        <v>1518</v>
      </c>
      <c r="H1104" s="21">
        <f>F1104+(VLOOKUP(D1104,'(Semelles.Monument.€HT)'!C:G,4,FALSE()))</f>
        <v>1600</v>
      </c>
      <c r="I1104" s="22">
        <f>F1104+(VLOOKUP(D1104,'(Semelles.Monument.€HT)'!C:G,5,FALSE()))</f>
        <v>1686</v>
      </c>
    </row>
    <row r="1105" spans="1:9" ht="26" customHeight="1">
      <c r="A1105" s="2" t="s">
        <v>156</v>
      </c>
      <c r="B1105" s="13" t="s">
        <v>169</v>
      </c>
      <c r="C1105" s="13" t="s">
        <v>128</v>
      </c>
      <c r="D1105" s="13">
        <v>48</v>
      </c>
      <c r="E1105" s="2" t="s">
        <v>146</v>
      </c>
      <c r="F1105" s="7">
        <v>1248</v>
      </c>
      <c r="G1105" s="3">
        <f>F1105+(VLOOKUP(D1105,'(Semelles.Monument.€HT)'!C:G,3,FALSE()))</f>
        <v>1535</v>
      </c>
      <c r="H1105" s="4">
        <f>F1105+(VLOOKUP(D1105,'(Semelles.Monument.€HT)'!C:G,4,FALSE()))</f>
        <v>1618</v>
      </c>
      <c r="I1105" s="5">
        <f>F1105+(VLOOKUP(D1105,'(Semelles.Monument.€HT)'!C:G,5,FALSE()))</f>
        <v>1705</v>
      </c>
    </row>
    <row r="1106" spans="1:9" ht="26" customHeight="1">
      <c r="A1106" s="17" t="s">
        <v>156</v>
      </c>
      <c r="B1106" s="18" t="s">
        <v>170</v>
      </c>
      <c r="C1106" s="18" t="s">
        <v>97</v>
      </c>
      <c r="D1106" s="18">
        <v>1</v>
      </c>
      <c r="E1106" s="17" t="s">
        <v>98</v>
      </c>
      <c r="F1106" s="19">
        <v>772</v>
      </c>
      <c r="G1106" s="20">
        <f>F1106+(VLOOKUP(D1106,'(Semelles.Monument.€HT)'!C:G,3,FALSE()))</f>
        <v>930</v>
      </c>
      <c r="H1106" s="21">
        <f>F1106+(VLOOKUP(D1106,'(Semelles.Monument.€HT)'!C:G,4,FALSE()))</f>
        <v>976</v>
      </c>
      <c r="I1106" s="22">
        <f>F1106+(VLOOKUP(D1106,'(Semelles.Monument.€HT)'!C:G,5,FALSE()))</f>
        <v>1024</v>
      </c>
    </row>
    <row r="1107" spans="1:9" ht="26" customHeight="1">
      <c r="A1107" s="2" t="s">
        <v>156</v>
      </c>
      <c r="B1107" s="13" t="s">
        <v>170</v>
      </c>
      <c r="C1107" s="13" t="s">
        <v>97</v>
      </c>
      <c r="D1107" s="13">
        <v>2</v>
      </c>
      <c r="E1107" s="2" t="s">
        <v>99</v>
      </c>
      <c r="F1107" s="7">
        <v>771</v>
      </c>
      <c r="G1107" s="3">
        <f>F1107+(VLOOKUP(D1107,'(Semelles.Monument.€HT)'!C:G,3,FALSE()))</f>
        <v>929</v>
      </c>
      <c r="H1107" s="4">
        <f>F1107+(VLOOKUP(D1107,'(Semelles.Monument.€HT)'!C:G,4,FALSE()))</f>
        <v>975</v>
      </c>
      <c r="I1107" s="5">
        <f>F1107+(VLOOKUP(D1107,'(Semelles.Monument.€HT)'!C:G,5,FALSE()))</f>
        <v>1023</v>
      </c>
    </row>
    <row r="1108" spans="1:9" ht="26" customHeight="1">
      <c r="A1108" s="17" t="s">
        <v>156</v>
      </c>
      <c r="B1108" s="18" t="s">
        <v>170</v>
      </c>
      <c r="C1108" s="18" t="s">
        <v>97</v>
      </c>
      <c r="D1108" s="18">
        <v>3</v>
      </c>
      <c r="E1108" s="17" t="s">
        <v>100</v>
      </c>
      <c r="F1108" s="19">
        <v>858</v>
      </c>
      <c r="G1108" s="20">
        <f>F1108+(VLOOKUP(D1108,'(Semelles.Monument.€HT)'!C:G,3,FALSE()))</f>
        <v>1034</v>
      </c>
      <c r="H1108" s="21">
        <f>F1108+(VLOOKUP(D1108,'(Semelles.Monument.€HT)'!C:G,4,FALSE()))</f>
        <v>1085</v>
      </c>
      <c r="I1108" s="22">
        <f>F1108+(VLOOKUP(D1108,'(Semelles.Monument.€HT)'!C:G,5,FALSE()))</f>
        <v>1138</v>
      </c>
    </row>
    <row r="1109" spans="1:9" ht="26" customHeight="1">
      <c r="A1109" s="2" t="s">
        <v>156</v>
      </c>
      <c r="B1109" s="13" t="s">
        <v>170</v>
      </c>
      <c r="C1109" s="13" t="s">
        <v>97</v>
      </c>
      <c r="D1109" s="13">
        <v>4</v>
      </c>
      <c r="E1109" s="2" t="s">
        <v>101</v>
      </c>
      <c r="F1109" s="7">
        <v>872</v>
      </c>
      <c r="G1109" s="3">
        <f>F1109+(VLOOKUP(D1109,'(Semelles.Monument.€HT)'!C:G,3,FALSE()))</f>
        <v>1051</v>
      </c>
      <c r="H1109" s="4">
        <f>F1109+(VLOOKUP(D1109,'(Semelles.Monument.€HT)'!C:G,4,FALSE()))</f>
        <v>1103</v>
      </c>
      <c r="I1109" s="5">
        <f>F1109+(VLOOKUP(D1109,'(Semelles.Monument.€HT)'!C:G,5,FALSE()))</f>
        <v>1157</v>
      </c>
    </row>
    <row r="1110" spans="1:9" ht="26" customHeight="1">
      <c r="A1110" s="17" t="s">
        <v>156</v>
      </c>
      <c r="B1110" s="18" t="s">
        <v>170</v>
      </c>
      <c r="C1110" s="18" t="s">
        <v>97</v>
      </c>
      <c r="D1110" s="18">
        <v>5</v>
      </c>
      <c r="E1110" s="17" t="s">
        <v>102</v>
      </c>
      <c r="F1110" s="19">
        <v>872</v>
      </c>
      <c r="G1110" s="20">
        <f>F1110+(VLOOKUP(D1110,'(Semelles.Monument.€HT)'!C:G,3,FALSE()))</f>
        <v>1051</v>
      </c>
      <c r="H1110" s="21">
        <f>F1110+(VLOOKUP(D1110,'(Semelles.Monument.€HT)'!C:G,4,FALSE()))</f>
        <v>1103</v>
      </c>
      <c r="I1110" s="22">
        <f>F1110+(VLOOKUP(D1110,'(Semelles.Monument.€HT)'!C:G,5,FALSE()))</f>
        <v>1157</v>
      </c>
    </row>
    <row r="1111" spans="1:9" ht="26" customHeight="1">
      <c r="A1111" s="2" t="s">
        <v>156</v>
      </c>
      <c r="B1111" s="13" t="s">
        <v>170</v>
      </c>
      <c r="C1111" s="13" t="s">
        <v>97</v>
      </c>
      <c r="D1111" s="13">
        <v>6</v>
      </c>
      <c r="E1111" s="2" t="s">
        <v>103</v>
      </c>
      <c r="F1111" s="7">
        <v>876</v>
      </c>
      <c r="G1111" s="3">
        <f>F1111+(VLOOKUP(D1111,'(Semelles.Monument.€HT)'!C:G,3,FALSE()))</f>
        <v>1056</v>
      </c>
      <c r="H1111" s="4">
        <f>F1111+(VLOOKUP(D1111,'(Semelles.Monument.€HT)'!C:G,4,FALSE()))</f>
        <v>1108</v>
      </c>
      <c r="I1111" s="5">
        <f>F1111+(VLOOKUP(D1111,'(Semelles.Monument.€HT)'!C:G,5,FALSE()))</f>
        <v>1163</v>
      </c>
    </row>
    <row r="1112" spans="1:9" ht="26" customHeight="1">
      <c r="A1112" s="17" t="s">
        <v>156</v>
      </c>
      <c r="B1112" s="18" t="s">
        <v>170</v>
      </c>
      <c r="C1112" s="18" t="s">
        <v>97</v>
      </c>
      <c r="D1112" s="18">
        <v>7</v>
      </c>
      <c r="E1112" s="17" t="s">
        <v>104</v>
      </c>
      <c r="F1112" s="19">
        <v>876</v>
      </c>
      <c r="G1112" s="20">
        <f>F1112+(VLOOKUP(D1112,'(Semelles.Monument.€HT)'!C:G,3,FALSE()))</f>
        <v>1056</v>
      </c>
      <c r="H1112" s="21">
        <f>F1112+(VLOOKUP(D1112,'(Semelles.Monument.€HT)'!C:G,4,FALSE()))</f>
        <v>1108</v>
      </c>
      <c r="I1112" s="22">
        <f>F1112+(VLOOKUP(D1112,'(Semelles.Monument.€HT)'!C:G,5,FALSE()))</f>
        <v>1163</v>
      </c>
    </row>
    <row r="1113" spans="1:9" ht="26" customHeight="1">
      <c r="A1113" s="2" t="s">
        <v>156</v>
      </c>
      <c r="B1113" s="13" t="s">
        <v>170</v>
      </c>
      <c r="C1113" s="13" t="s">
        <v>97</v>
      </c>
      <c r="D1113" s="13">
        <v>8</v>
      </c>
      <c r="E1113" s="2" t="s">
        <v>105</v>
      </c>
      <c r="F1113" s="7">
        <v>876</v>
      </c>
      <c r="G1113" s="3">
        <f>F1113+(VLOOKUP(D1113,'(Semelles.Monument.€HT)'!C:G,3,FALSE()))</f>
        <v>1056</v>
      </c>
      <c r="H1113" s="4">
        <f>F1113+(VLOOKUP(D1113,'(Semelles.Monument.€HT)'!C:G,4,FALSE()))</f>
        <v>1108</v>
      </c>
      <c r="I1113" s="5">
        <f>F1113+(VLOOKUP(D1113,'(Semelles.Monument.€HT)'!C:G,5,FALSE()))</f>
        <v>1163</v>
      </c>
    </row>
    <row r="1114" spans="1:9" ht="26" customHeight="1">
      <c r="A1114" s="17" t="s">
        <v>156</v>
      </c>
      <c r="B1114" s="18" t="s">
        <v>170</v>
      </c>
      <c r="C1114" s="18" t="s">
        <v>97</v>
      </c>
      <c r="D1114" s="18">
        <v>9</v>
      </c>
      <c r="E1114" s="17" t="s">
        <v>106</v>
      </c>
      <c r="F1114" s="19">
        <v>876</v>
      </c>
      <c r="G1114" s="20">
        <f>F1114+(VLOOKUP(D1114,'(Semelles.Monument.€HT)'!C:G,3,FALSE()))</f>
        <v>1056</v>
      </c>
      <c r="H1114" s="21">
        <f>F1114+(VLOOKUP(D1114,'(Semelles.Monument.€HT)'!C:G,4,FALSE()))</f>
        <v>1108</v>
      </c>
      <c r="I1114" s="22">
        <f>F1114+(VLOOKUP(D1114,'(Semelles.Monument.€HT)'!C:G,5,FALSE()))</f>
        <v>1163</v>
      </c>
    </row>
    <row r="1115" spans="1:9" ht="26" customHeight="1">
      <c r="A1115" s="2" t="s">
        <v>156</v>
      </c>
      <c r="B1115" s="13" t="s">
        <v>170</v>
      </c>
      <c r="C1115" s="13" t="s">
        <v>97</v>
      </c>
      <c r="D1115" s="13">
        <v>10</v>
      </c>
      <c r="E1115" s="2" t="s">
        <v>107</v>
      </c>
      <c r="F1115" s="7">
        <v>876</v>
      </c>
      <c r="G1115" s="3">
        <f>F1115+(VLOOKUP(D1115,'(Semelles.Monument.€HT)'!C:G,3,FALSE()))</f>
        <v>1056</v>
      </c>
      <c r="H1115" s="4">
        <f>F1115+(VLOOKUP(D1115,'(Semelles.Monument.€HT)'!C:G,4,FALSE()))</f>
        <v>1108</v>
      </c>
      <c r="I1115" s="5">
        <f>F1115+(VLOOKUP(D1115,'(Semelles.Monument.€HT)'!C:G,5,FALSE()))</f>
        <v>1163</v>
      </c>
    </row>
    <row r="1116" spans="1:9" ht="26" customHeight="1">
      <c r="A1116" s="17" t="s">
        <v>156</v>
      </c>
      <c r="B1116" s="18" t="s">
        <v>170</v>
      </c>
      <c r="C1116" s="18" t="s">
        <v>97</v>
      </c>
      <c r="D1116" s="18">
        <v>11</v>
      </c>
      <c r="E1116" s="17" t="s">
        <v>108</v>
      </c>
      <c r="F1116" s="19">
        <v>876</v>
      </c>
      <c r="G1116" s="20">
        <f>F1116+(VLOOKUP(D1116,'(Semelles.Monument.€HT)'!C:G,3,FALSE()))</f>
        <v>1056</v>
      </c>
      <c r="H1116" s="21">
        <f>F1116+(VLOOKUP(D1116,'(Semelles.Monument.€HT)'!C:G,4,FALSE()))</f>
        <v>1108</v>
      </c>
      <c r="I1116" s="22">
        <f>F1116+(VLOOKUP(D1116,'(Semelles.Monument.€HT)'!C:G,5,FALSE()))</f>
        <v>1163</v>
      </c>
    </row>
    <row r="1117" spans="1:9" ht="26" customHeight="1">
      <c r="A1117" s="2" t="s">
        <v>156</v>
      </c>
      <c r="B1117" s="13" t="s">
        <v>170</v>
      </c>
      <c r="C1117" s="13" t="s">
        <v>97</v>
      </c>
      <c r="D1117" s="13">
        <v>12</v>
      </c>
      <c r="E1117" s="2" t="s">
        <v>109</v>
      </c>
      <c r="F1117" s="7">
        <v>889</v>
      </c>
      <c r="G1117" s="3">
        <f>F1117+(VLOOKUP(D1117,'(Semelles.Monument.€HT)'!C:G,3,FALSE()))</f>
        <v>1071</v>
      </c>
      <c r="H1117" s="4">
        <f>F1117+(VLOOKUP(D1117,'(Semelles.Monument.€HT)'!C:G,4,FALSE()))</f>
        <v>1124</v>
      </c>
      <c r="I1117" s="5">
        <f>F1117+(VLOOKUP(D1117,'(Semelles.Monument.€HT)'!C:G,5,FALSE()))</f>
        <v>1180</v>
      </c>
    </row>
    <row r="1118" spans="1:9" ht="26" customHeight="1">
      <c r="A1118" s="17" t="s">
        <v>156</v>
      </c>
      <c r="B1118" s="18" t="s">
        <v>170</v>
      </c>
      <c r="C1118" s="18" t="s">
        <v>97</v>
      </c>
      <c r="D1118" s="18">
        <v>13</v>
      </c>
      <c r="E1118" s="17" t="s">
        <v>110</v>
      </c>
      <c r="F1118" s="19">
        <v>889</v>
      </c>
      <c r="G1118" s="20">
        <f>F1118+(VLOOKUP(D1118,'(Semelles.Monument.€HT)'!C:G,3,FALSE()))</f>
        <v>1071</v>
      </c>
      <c r="H1118" s="21">
        <f>F1118+(VLOOKUP(D1118,'(Semelles.Monument.€HT)'!C:G,4,FALSE()))</f>
        <v>1124</v>
      </c>
      <c r="I1118" s="22">
        <f>F1118+(VLOOKUP(D1118,'(Semelles.Monument.€HT)'!C:G,5,FALSE()))</f>
        <v>1180</v>
      </c>
    </row>
    <row r="1119" spans="1:9" ht="26" customHeight="1">
      <c r="A1119" s="2" t="s">
        <v>156</v>
      </c>
      <c r="B1119" s="13" t="s">
        <v>170</v>
      </c>
      <c r="C1119" s="13" t="s">
        <v>97</v>
      </c>
      <c r="D1119" s="13">
        <v>14</v>
      </c>
      <c r="E1119" s="2" t="s">
        <v>111</v>
      </c>
      <c r="F1119" s="7">
        <v>892</v>
      </c>
      <c r="G1119" s="3">
        <f>F1119+(VLOOKUP(D1119,'(Semelles.Monument.€HT)'!C:G,3,FALSE()))</f>
        <v>1075</v>
      </c>
      <c r="H1119" s="4">
        <f>F1119+(VLOOKUP(D1119,'(Semelles.Monument.€HT)'!C:G,4,FALSE()))</f>
        <v>1128</v>
      </c>
      <c r="I1119" s="5">
        <f>F1119+(VLOOKUP(D1119,'(Semelles.Monument.€HT)'!C:G,5,FALSE()))</f>
        <v>1184</v>
      </c>
    </row>
    <row r="1120" spans="1:9" ht="26" customHeight="1">
      <c r="A1120" s="17" t="s">
        <v>156</v>
      </c>
      <c r="B1120" s="18" t="s">
        <v>170</v>
      </c>
      <c r="C1120" s="18" t="s">
        <v>97</v>
      </c>
      <c r="D1120" s="18">
        <v>15</v>
      </c>
      <c r="E1120" s="17" t="s">
        <v>112</v>
      </c>
      <c r="F1120" s="19">
        <v>892</v>
      </c>
      <c r="G1120" s="20">
        <f>F1120+(VLOOKUP(D1120,'(Semelles.Monument.€HT)'!C:G,3,FALSE()))</f>
        <v>1075</v>
      </c>
      <c r="H1120" s="21">
        <f>F1120+(VLOOKUP(D1120,'(Semelles.Monument.€HT)'!C:G,4,FALSE()))</f>
        <v>1128</v>
      </c>
      <c r="I1120" s="22">
        <f>F1120+(VLOOKUP(D1120,'(Semelles.Monument.€HT)'!C:G,5,FALSE()))</f>
        <v>1184</v>
      </c>
    </row>
    <row r="1121" spans="1:9" ht="26" customHeight="1">
      <c r="A1121" s="2" t="s">
        <v>156</v>
      </c>
      <c r="B1121" s="13" t="s">
        <v>170</v>
      </c>
      <c r="C1121" s="13" t="s">
        <v>97</v>
      </c>
      <c r="D1121" s="13">
        <v>16</v>
      </c>
      <c r="E1121" s="2" t="s">
        <v>113</v>
      </c>
      <c r="F1121" s="7">
        <v>892</v>
      </c>
      <c r="G1121" s="3">
        <f>F1121+(VLOOKUP(D1121,'(Semelles.Monument.€HT)'!C:G,3,FALSE()))</f>
        <v>1075</v>
      </c>
      <c r="H1121" s="4">
        <f>F1121+(VLOOKUP(D1121,'(Semelles.Monument.€HT)'!C:G,4,FALSE()))</f>
        <v>1128</v>
      </c>
      <c r="I1121" s="5">
        <f>F1121+(VLOOKUP(D1121,'(Semelles.Monument.€HT)'!C:G,5,FALSE()))</f>
        <v>1184</v>
      </c>
    </row>
    <row r="1122" spans="1:9" ht="26" customHeight="1">
      <c r="A1122" s="17" t="s">
        <v>156</v>
      </c>
      <c r="B1122" s="18" t="s">
        <v>170</v>
      </c>
      <c r="C1122" s="18" t="s">
        <v>97</v>
      </c>
      <c r="D1122" s="18">
        <v>17</v>
      </c>
      <c r="E1122" s="17" t="s">
        <v>114</v>
      </c>
      <c r="F1122" s="19">
        <v>907</v>
      </c>
      <c r="G1122" s="20">
        <f>F1122+(VLOOKUP(D1122,'(Semelles.Monument.€HT)'!C:G,3,FALSE()))</f>
        <v>1093</v>
      </c>
      <c r="H1122" s="21">
        <f>F1122+(VLOOKUP(D1122,'(Semelles.Monument.€HT)'!C:G,4,FALSE()))</f>
        <v>1147</v>
      </c>
      <c r="I1122" s="22">
        <f>F1122+(VLOOKUP(D1122,'(Semelles.Monument.€HT)'!C:G,5,FALSE()))</f>
        <v>1204</v>
      </c>
    </row>
    <row r="1123" spans="1:9" ht="26" customHeight="1">
      <c r="A1123" s="2" t="s">
        <v>156</v>
      </c>
      <c r="B1123" s="13" t="s">
        <v>170</v>
      </c>
      <c r="C1123" s="13" t="s">
        <v>97</v>
      </c>
      <c r="D1123" s="13">
        <v>18</v>
      </c>
      <c r="E1123" s="2" t="s">
        <v>115</v>
      </c>
      <c r="F1123" s="7">
        <v>907</v>
      </c>
      <c r="G1123" s="3">
        <f>F1123+(VLOOKUP(D1123,'(Semelles.Monument.€HT)'!C:G,3,FALSE()))</f>
        <v>1093</v>
      </c>
      <c r="H1123" s="4">
        <f>F1123+(VLOOKUP(D1123,'(Semelles.Monument.€HT)'!C:G,4,FALSE()))</f>
        <v>1147</v>
      </c>
      <c r="I1123" s="5">
        <f>F1123+(VLOOKUP(D1123,'(Semelles.Monument.€HT)'!C:G,5,FALSE()))</f>
        <v>1204</v>
      </c>
    </row>
    <row r="1124" spans="1:9" ht="26" customHeight="1">
      <c r="A1124" s="17" t="s">
        <v>156</v>
      </c>
      <c r="B1124" s="18" t="s">
        <v>170</v>
      </c>
      <c r="C1124" s="18" t="s">
        <v>97</v>
      </c>
      <c r="D1124" s="18">
        <v>19</v>
      </c>
      <c r="E1124" s="17" t="s">
        <v>116</v>
      </c>
      <c r="F1124" s="19">
        <v>907</v>
      </c>
      <c r="G1124" s="20">
        <f>F1124+(VLOOKUP(D1124,'(Semelles.Monument.€HT)'!C:G,3,FALSE()))</f>
        <v>1093</v>
      </c>
      <c r="H1124" s="21">
        <f>F1124+(VLOOKUP(D1124,'(Semelles.Monument.€HT)'!C:G,4,FALSE()))</f>
        <v>1147</v>
      </c>
      <c r="I1124" s="22">
        <f>F1124+(VLOOKUP(D1124,'(Semelles.Monument.€HT)'!C:G,5,FALSE()))</f>
        <v>1204</v>
      </c>
    </row>
    <row r="1125" spans="1:9" ht="26" customHeight="1">
      <c r="A1125" s="2" t="s">
        <v>156</v>
      </c>
      <c r="B1125" s="13" t="s">
        <v>170</v>
      </c>
      <c r="C1125" s="13" t="s">
        <v>97</v>
      </c>
      <c r="D1125" s="13">
        <v>20</v>
      </c>
      <c r="E1125" s="2" t="s">
        <v>117</v>
      </c>
      <c r="F1125" s="7">
        <v>914</v>
      </c>
      <c r="G1125" s="3">
        <f>F1125+(VLOOKUP(D1125,'(Semelles.Monument.€HT)'!C:G,3,FALSE()))</f>
        <v>1102</v>
      </c>
      <c r="H1125" s="4">
        <f>F1125+(VLOOKUP(D1125,'(Semelles.Monument.€HT)'!C:G,4,FALSE()))</f>
        <v>1156</v>
      </c>
      <c r="I1125" s="5">
        <f>F1125+(VLOOKUP(D1125,'(Semelles.Monument.€HT)'!C:G,5,FALSE()))</f>
        <v>1213</v>
      </c>
    </row>
    <row r="1126" spans="1:9" ht="26" customHeight="1">
      <c r="A1126" s="17" t="s">
        <v>156</v>
      </c>
      <c r="B1126" s="18" t="s">
        <v>170</v>
      </c>
      <c r="C1126" s="18" t="s">
        <v>97</v>
      </c>
      <c r="D1126" s="18">
        <v>21</v>
      </c>
      <c r="E1126" s="17" t="s">
        <v>118</v>
      </c>
      <c r="F1126" s="19">
        <v>920</v>
      </c>
      <c r="G1126" s="20">
        <f>F1126+(VLOOKUP(D1126,'(Semelles.Monument.€HT)'!C:G,3,FALSE()))</f>
        <v>1109</v>
      </c>
      <c r="H1126" s="21">
        <f>F1126+(VLOOKUP(D1126,'(Semelles.Monument.€HT)'!C:G,4,FALSE()))</f>
        <v>1163</v>
      </c>
      <c r="I1126" s="22">
        <f>F1126+(VLOOKUP(D1126,'(Semelles.Monument.€HT)'!C:G,5,FALSE()))</f>
        <v>1221</v>
      </c>
    </row>
    <row r="1127" spans="1:9" ht="26" customHeight="1">
      <c r="A1127" s="2" t="s">
        <v>156</v>
      </c>
      <c r="B1127" s="13" t="s">
        <v>170</v>
      </c>
      <c r="C1127" s="13" t="s">
        <v>97</v>
      </c>
      <c r="D1127" s="13">
        <v>22</v>
      </c>
      <c r="E1127" s="2" t="s">
        <v>119</v>
      </c>
      <c r="F1127" s="7">
        <v>920</v>
      </c>
      <c r="G1127" s="3">
        <f>F1127+(VLOOKUP(D1127,'(Semelles.Monument.€HT)'!C:G,3,FALSE()))</f>
        <v>1109</v>
      </c>
      <c r="H1127" s="4">
        <f>F1127+(VLOOKUP(D1127,'(Semelles.Monument.€HT)'!C:G,4,FALSE()))</f>
        <v>1163</v>
      </c>
      <c r="I1127" s="5">
        <f>F1127+(VLOOKUP(D1127,'(Semelles.Monument.€HT)'!C:G,5,FALSE()))</f>
        <v>1221</v>
      </c>
    </row>
    <row r="1128" spans="1:9" ht="26" customHeight="1">
      <c r="A1128" s="17" t="s">
        <v>156</v>
      </c>
      <c r="B1128" s="18" t="s">
        <v>170</v>
      </c>
      <c r="C1128" s="18" t="s">
        <v>97</v>
      </c>
      <c r="D1128" s="18">
        <v>23</v>
      </c>
      <c r="E1128" s="17" t="s">
        <v>120</v>
      </c>
      <c r="F1128" s="19">
        <v>934</v>
      </c>
      <c r="G1128" s="20">
        <f>F1128+(VLOOKUP(D1128,'(Semelles.Monument.€HT)'!C:G,3,FALSE()))</f>
        <v>1126</v>
      </c>
      <c r="H1128" s="21">
        <f>F1128+(VLOOKUP(D1128,'(Semelles.Monument.€HT)'!C:G,4,FALSE()))</f>
        <v>1181</v>
      </c>
      <c r="I1128" s="22">
        <f>F1128+(VLOOKUP(D1128,'(Semelles.Monument.€HT)'!C:G,5,FALSE()))</f>
        <v>1239</v>
      </c>
    </row>
    <row r="1129" spans="1:9" ht="26" customHeight="1">
      <c r="A1129" s="2" t="s">
        <v>156</v>
      </c>
      <c r="B1129" s="13" t="s">
        <v>170</v>
      </c>
      <c r="C1129" s="13" t="s">
        <v>97</v>
      </c>
      <c r="D1129" s="13">
        <v>24</v>
      </c>
      <c r="E1129" s="2" t="s">
        <v>121</v>
      </c>
      <c r="F1129" s="7">
        <v>934</v>
      </c>
      <c r="G1129" s="3">
        <f>F1129+(VLOOKUP(D1129,'(Semelles.Monument.€HT)'!C:G,3,FALSE()))</f>
        <v>1126</v>
      </c>
      <c r="H1129" s="4">
        <f>F1129+(VLOOKUP(D1129,'(Semelles.Monument.€HT)'!C:G,4,FALSE()))</f>
        <v>1181</v>
      </c>
      <c r="I1129" s="5">
        <f>F1129+(VLOOKUP(D1129,'(Semelles.Monument.€HT)'!C:G,5,FALSE()))</f>
        <v>1239</v>
      </c>
    </row>
    <row r="1130" spans="1:9" ht="26" customHeight="1">
      <c r="A1130" s="17" t="s">
        <v>156</v>
      </c>
      <c r="B1130" s="18" t="s">
        <v>170</v>
      </c>
      <c r="C1130" s="18" t="s">
        <v>97</v>
      </c>
      <c r="D1130" s="18">
        <v>25</v>
      </c>
      <c r="E1130" s="17" t="s">
        <v>122</v>
      </c>
      <c r="F1130" s="19">
        <v>934</v>
      </c>
      <c r="G1130" s="20">
        <f>F1130+(VLOOKUP(D1130,'(Semelles.Monument.€HT)'!C:G,3,FALSE()))</f>
        <v>1126</v>
      </c>
      <c r="H1130" s="21">
        <f>F1130+(VLOOKUP(D1130,'(Semelles.Monument.€HT)'!C:G,4,FALSE()))</f>
        <v>1181</v>
      </c>
      <c r="I1130" s="22">
        <f>F1130+(VLOOKUP(D1130,'(Semelles.Monument.€HT)'!C:G,5,FALSE()))</f>
        <v>1239</v>
      </c>
    </row>
    <row r="1131" spans="1:9" ht="26" customHeight="1">
      <c r="A1131" s="2" t="s">
        <v>156</v>
      </c>
      <c r="B1131" s="13" t="s">
        <v>170</v>
      </c>
      <c r="C1131" s="13" t="s">
        <v>97</v>
      </c>
      <c r="D1131" s="13">
        <v>26</v>
      </c>
      <c r="E1131" s="2" t="s">
        <v>123</v>
      </c>
      <c r="F1131" s="7">
        <v>950</v>
      </c>
      <c r="G1131" s="3">
        <f>F1131+(VLOOKUP(D1131,'(Semelles.Monument.€HT)'!C:G,3,FALSE()))</f>
        <v>1145</v>
      </c>
      <c r="H1131" s="4">
        <f>F1131+(VLOOKUP(D1131,'(Semelles.Monument.€HT)'!C:G,4,FALSE()))</f>
        <v>1201</v>
      </c>
      <c r="I1131" s="5">
        <f>F1131+(VLOOKUP(D1131,'(Semelles.Monument.€HT)'!C:G,5,FALSE()))</f>
        <v>1260</v>
      </c>
    </row>
    <row r="1132" spans="1:9" ht="26" customHeight="1">
      <c r="A1132" s="17" t="s">
        <v>156</v>
      </c>
      <c r="B1132" s="18" t="s">
        <v>170</v>
      </c>
      <c r="C1132" s="18" t="s">
        <v>97</v>
      </c>
      <c r="D1132" s="18">
        <v>27</v>
      </c>
      <c r="E1132" s="17" t="s">
        <v>124</v>
      </c>
      <c r="F1132" s="19">
        <v>1012</v>
      </c>
      <c r="G1132" s="20">
        <f>F1132+(VLOOKUP(D1132,'(Semelles.Monument.€HT)'!C:G,3,FALSE()))</f>
        <v>1220</v>
      </c>
      <c r="H1132" s="21">
        <f>F1132+(VLOOKUP(D1132,'(Semelles.Monument.€HT)'!C:G,4,FALSE()))</f>
        <v>1280</v>
      </c>
      <c r="I1132" s="22">
        <f>F1132+(VLOOKUP(D1132,'(Semelles.Monument.€HT)'!C:G,5,FALSE()))</f>
        <v>1379</v>
      </c>
    </row>
    <row r="1133" spans="1:9" ht="26" customHeight="1">
      <c r="A1133" s="2" t="s">
        <v>156</v>
      </c>
      <c r="B1133" s="13" t="s">
        <v>170</v>
      </c>
      <c r="C1133" s="13" t="s">
        <v>97</v>
      </c>
      <c r="D1133" s="13">
        <v>28</v>
      </c>
      <c r="E1133" s="2" t="s">
        <v>125</v>
      </c>
      <c r="F1133" s="7">
        <v>1121</v>
      </c>
      <c r="G1133" s="3">
        <f>F1133+(VLOOKUP(D1133,'(Semelles.Monument.€HT)'!C:G,3,FALSE()))</f>
        <v>1351</v>
      </c>
      <c r="H1133" s="4">
        <f>F1133+(VLOOKUP(D1133,'(Semelles.Monument.€HT)'!C:G,4,FALSE()))</f>
        <v>1418</v>
      </c>
      <c r="I1133" s="5">
        <f>F1133+(VLOOKUP(D1133,'(Semelles.Monument.€HT)'!C:G,5,FALSE()))</f>
        <v>1488</v>
      </c>
    </row>
    <row r="1134" spans="1:9" ht="26" customHeight="1">
      <c r="A1134" s="17" t="s">
        <v>156</v>
      </c>
      <c r="B1134" s="18" t="s">
        <v>170</v>
      </c>
      <c r="C1134" s="18" t="s">
        <v>97</v>
      </c>
      <c r="D1134" s="18">
        <v>29</v>
      </c>
      <c r="E1134" s="17" t="s">
        <v>126</v>
      </c>
      <c r="F1134" s="19">
        <v>1168</v>
      </c>
      <c r="G1134" s="20">
        <f>F1134+(VLOOKUP(D1134,'(Semelles.Monument.€HT)'!C:G,3,FALSE()))</f>
        <v>1408</v>
      </c>
      <c r="H1134" s="21">
        <f>F1134+(VLOOKUP(D1134,'(Semelles.Monument.€HT)'!C:G,4,FALSE()))</f>
        <v>1477</v>
      </c>
      <c r="I1134" s="22">
        <f>F1134+(VLOOKUP(D1134,'(Semelles.Monument.€HT)'!C:G,5,FALSE()))</f>
        <v>1550</v>
      </c>
    </row>
    <row r="1135" spans="1:9" ht="26" customHeight="1">
      <c r="A1135" s="2" t="s">
        <v>156</v>
      </c>
      <c r="B1135" s="13" t="s">
        <v>170</v>
      </c>
      <c r="C1135" s="13" t="s">
        <v>97</v>
      </c>
      <c r="D1135" s="13">
        <v>30</v>
      </c>
      <c r="E1135" s="2" t="s">
        <v>127</v>
      </c>
      <c r="F1135" s="7">
        <v>1168</v>
      </c>
      <c r="G1135" s="3">
        <f>F1135+(VLOOKUP(D1135,'(Semelles.Monument.€HT)'!C:G,3,FALSE()))</f>
        <v>1408</v>
      </c>
      <c r="H1135" s="4">
        <f>F1135+(VLOOKUP(D1135,'(Semelles.Monument.€HT)'!C:G,4,FALSE()))</f>
        <v>1477</v>
      </c>
      <c r="I1135" s="5">
        <f>F1135+(VLOOKUP(D1135,'(Semelles.Monument.€HT)'!C:G,5,FALSE()))</f>
        <v>1550</v>
      </c>
    </row>
    <row r="1136" spans="1:9" ht="26" customHeight="1">
      <c r="A1136" s="17" t="s">
        <v>156</v>
      </c>
      <c r="B1136" s="18" t="s">
        <v>170</v>
      </c>
      <c r="C1136" s="18" t="s">
        <v>128</v>
      </c>
      <c r="D1136" s="18">
        <v>31</v>
      </c>
      <c r="E1136" s="17" t="s">
        <v>129</v>
      </c>
      <c r="F1136" s="19">
        <v>673</v>
      </c>
      <c r="G1136" s="20">
        <f>F1136+(VLOOKUP(D1136,'(Semelles.Monument.€HT)'!C:G,3,FALSE()))</f>
        <v>805</v>
      </c>
      <c r="H1136" s="21">
        <f>F1136+(VLOOKUP(D1136,'(Semelles.Monument.€HT)'!C:G,4,FALSE()))</f>
        <v>843</v>
      </c>
      <c r="I1136" s="22">
        <f>F1136+(VLOOKUP(D1136,'(Semelles.Monument.€HT)'!C:G,5,FALSE()))</f>
        <v>883</v>
      </c>
    </row>
    <row r="1137" spans="1:9" ht="26" customHeight="1">
      <c r="A1137" s="2" t="s">
        <v>156</v>
      </c>
      <c r="B1137" s="13" t="s">
        <v>170</v>
      </c>
      <c r="C1137" s="13" t="s">
        <v>128</v>
      </c>
      <c r="D1137" s="13">
        <v>32</v>
      </c>
      <c r="E1137" s="2" t="s">
        <v>130</v>
      </c>
      <c r="F1137" s="7">
        <v>682</v>
      </c>
      <c r="G1137" s="3">
        <f>F1137+(VLOOKUP(D1137,'(Semelles.Monument.€HT)'!C:G,3,FALSE()))</f>
        <v>816</v>
      </c>
      <c r="H1137" s="4">
        <f>F1137+(VLOOKUP(D1137,'(Semelles.Monument.€HT)'!C:G,4,FALSE()))</f>
        <v>855</v>
      </c>
      <c r="I1137" s="5">
        <f>F1137+(VLOOKUP(D1137,'(Semelles.Monument.€HT)'!C:G,5,FALSE()))</f>
        <v>895</v>
      </c>
    </row>
    <row r="1138" spans="1:9" ht="26" customHeight="1">
      <c r="A1138" s="17" t="s">
        <v>156</v>
      </c>
      <c r="B1138" s="18" t="s">
        <v>170</v>
      </c>
      <c r="C1138" s="18" t="s">
        <v>128</v>
      </c>
      <c r="D1138" s="18">
        <v>33</v>
      </c>
      <c r="E1138" s="17" t="s">
        <v>131</v>
      </c>
      <c r="F1138" s="19">
        <v>682</v>
      </c>
      <c r="G1138" s="20">
        <f>F1138+(VLOOKUP(D1138,'(Semelles.Monument.€HT)'!C:G,3,FALSE()))</f>
        <v>816</v>
      </c>
      <c r="H1138" s="21">
        <f>F1138+(VLOOKUP(D1138,'(Semelles.Monument.€HT)'!C:G,4,FALSE()))</f>
        <v>855</v>
      </c>
      <c r="I1138" s="22">
        <f>F1138+(VLOOKUP(D1138,'(Semelles.Monument.€HT)'!C:G,5,FALSE()))</f>
        <v>895</v>
      </c>
    </row>
    <row r="1139" spans="1:9" ht="26" customHeight="1">
      <c r="A1139" s="2" t="s">
        <v>156</v>
      </c>
      <c r="B1139" s="13" t="s">
        <v>170</v>
      </c>
      <c r="C1139" s="13" t="s">
        <v>128</v>
      </c>
      <c r="D1139" s="13">
        <v>34</v>
      </c>
      <c r="E1139" s="2" t="s">
        <v>132</v>
      </c>
      <c r="F1139" s="7">
        <v>689</v>
      </c>
      <c r="G1139" s="3">
        <f>F1139+(VLOOKUP(D1139,'(Semelles.Monument.€HT)'!C:G,3,FALSE()))</f>
        <v>824</v>
      </c>
      <c r="H1139" s="4">
        <f>F1139+(VLOOKUP(D1139,'(Semelles.Monument.€HT)'!C:G,4,FALSE()))</f>
        <v>863</v>
      </c>
      <c r="I1139" s="5">
        <f>F1139+(VLOOKUP(D1139,'(Semelles.Monument.€HT)'!C:G,5,FALSE()))</f>
        <v>904</v>
      </c>
    </row>
    <row r="1140" spans="1:9" ht="26" customHeight="1">
      <c r="A1140" s="17" t="s">
        <v>156</v>
      </c>
      <c r="B1140" s="18" t="s">
        <v>170</v>
      </c>
      <c r="C1140" s="18" t="s">
        <v>128</v>
      </c>
      <c r="D1140" s="18">
        <v>35</v>
      </c>
      <c r="E1140" s="17" t="s">
        <v>133</v>
      </c>
      <c r="F1140" s="19">
        <v>823</v>
      </c>
      <c r="G1140" s="20">
        <f>F1140+(VLOOKUP(D1140,'(Semelles.Monument.€HT)'!C:G,3,FALSE()))</f>
        <v>986</v>
      </c>
      <c r="H1140" s="21">
        <f>F1140+(VLOOKUP(D1140,'(Semelles.Monument.€HT)'!C:G,4,FALSE()))</f>
        <v>1033</v>
      </c>
      <c r="I1140" s="22">
        <f>F1140+(VLOOKUP(D1140,'(Semelles.Monument.€HT)'!C:G,5,FALSE()))</f>
        <v>1082</v>
      </c>
    </row>
    <row r="1141" spans="1:9" ht="26" customHeight="1">
      <c r="A1141" s="2" t="s">
        <v>156</v>
      </c>
      <c r="B1141" s="13" t="s">
        <v>170</v>
      </c>
      <c r="C1141" s="13" t="s">
        <v>128</v>
      </c>
      <c r="D1141" s="13">
        <v>36</v>
      </c>
      <c r="E1141" s="2" t="s">
        <v>134</v>
      </c>
      <c r="F1141" s="7">
        <v>851</v>
      </c>
      <c r="G1141" s="3">
        <f>F1141+(VLOOKUP(D1141,'(Semelles.Monument.€HT)'!C:G,3,FALSE()))</f>
        <v>1019</v>
      </c>
      <c r="H1141" s="4">
        <f>F1141+(VLOOKUP(D1141,'(Semelles.Monument.€HT)'!C:G,4,FALSE()))</f>
        <v>1068</v>
      </c>
      <c r="I1141" s="5">
        <f>F1141+(VLOOKUP(D1141,'(Semelles.Monument.€HT)'!C:G,5,FALSE()))</f>
        <v>1119</v>
      </c>
    </row>
    <row r="1142" spans="1:9" ht="26" customHeight="1">
      <c r="A1142" s="17" t="s">
        <v>156</v>
      </c>
      <c r="B1142" s="18" t="s">
        <v>170</v>
      </c>
      <c r="C1142" s="18" t="s">
        <v>128</v>
      </c>
      <c r="D1142" s="18">
        <v>37</v>
      </c>
      <c r="E1142" s="17" t="s">
        <v>135</v>
      </c>
      <c r="F1142" s="19">
        <v>1044</v>
      </c>
      <c r="G1142" s="20">
        <f>F1142+(VLOOKUP(D1142,'(Semelles.Monument.€HT)'!C:G,3,FALSE()))</f>
        <v>1252</v>
      </c>
      <c r="H1142" s="21">
        <f>F1142+(VLOOKUP(D1142,'(Semelles.Monument.€HT)'!C:G,4,FALSE()))</f>
        <v>1312</v>
      </c>
      <c r="I1142" s="22">
        <f>F1142+(VLOOKUP(D1142,'(Semelles.Monument.€HT)'!C:G,5,FALSE()))</f>
        <v>1376</v>
      </c>
    </row>
    <row r="1143" spans="1:9" ht="26" customHeight="1">
      <c r="A1143" s="2" t="s">
        <v>156</v>
      </c>
      <c r="B1143" s="13" t="s">
        <v>170</v>
      </c>
      <c r="C1143" s="13" t="s">
        <v>128</v>
      </c>
      <c r="D1143" s="13">
        <v>38</v>
      </c>
      <c r="E1143" s="2" t="s">
        <v>136</v>
      </c>
      <c r="F1143" s="7">
        <v>1104</v>
      </c>
      <c r="G1143" s="3">
        <f>F1143+(VLOOKUP(D1143,'(Semelles.Monument.€HT)'!C:G,3,FALSE()))</f>
        <v>1324</v>
      </c>
      <c r="H1143" s="4">
        <f>F1143+(VLOOKUP(D1143,'(Semelles.Monument.€HT)'!C:G,4,FALSE()))</f>
        <v>1388</v>
      </c>
      <c r="I1143" s="5">
        <f>F1143+(VLOOKUP(D1143,'(Semelles.Monument.€HT)'!C:G,5,FALSE()))</f>
        <v>1455</v>
      </c>
    </row>
    <row r="1144" spans="1:9" ht="26" customHeight="1">
      <c r="A1144" s="17" t="s">
        <v>156</v>
      </c>
      <c r="B1144" s="18" t="s">
        <v>170</v>
      </c>
      <c r="C1144" s="18" t="s">
        <v>128</v>
      </c>
      <c r="D1144" s="18">
        <v>39</v>
      </c>
      <c r="E1144" s="17" t="s">
        <v>137</v>
      </c>
      <c r="F1144" s="19">
        <v>1132</v>
      </c>
      <c r="G1144" s="20">
        <f>F1144+(VLOOKUP(D1144,'(Semelles.Monument.€HT)'!C:G,3,FALSE()))</f>
        <v>1358</v>
      </c>
      <c r="H1144" s="21">
        <f>F1144+(VLOOKUP(D1144,'(Semelles.Monument.€HT)'!C:G,4,FALSE()))</f>
        <v>1423</v>
      </c>
      <c r="I1144" s="22">
        <f>F1144+(VLOOKUP(D1144,'(Semelles.Monument.€HT)'!C:G,5,FALSE()))</f>
        <v>1492</v>
      </c>
    </row>
    <row r="1145" spans="1:9" ht="26" customHeight="1">
      <c r="A1145" s="2" t="s">
        <v>156</v>
      </c>
      <c r="B1145" s="13" t="s">
        <v>170</v>
      </c>
      <c r="C1145" s="13" t="s">
        <v>128</v>
      </c>
      <c r="D1145" s="13">
        <v>40</v>
      </c>
      <c r="E1145" s="2" t="s">
        <v>138</v>
      </c>
      <c r="F1145" s="7">
        <v>1163</v>
      </c>
      <c r="G1145" s="3">
        <f>F1145+(VLOOKUP(D1145,'(Semelles.Monument.€HT)'!C:G,3,FALSE()))</f>
        <v>1395</v>
      </c>
      <c r="H1145" s="4">
        <f>F1145+(VLOOKUP(D1145,'(Semelles.Monument.€HT)'!C:G,4,FALSE()))</f>
        <v>1463</v>
      </c>
      <c r="I1145" s="5">
        <f>F1145+(VLOOKUP(D1145,'(Semelles.Monument.€HT)'!C:G,5,FALSE()))</f>
        <v>1533</v>
      </c>
    </row>
    <row r="1146" spans="1:9" ht="26" customHeight="1">
      <c r="A1146" s="17" t="s">
        <v>156</v>
      </c>
      <c r="B1146" s="18" t="s">
        <v>170</v>
      </c>
      <c r="C1146" s="18" t="s">
        <v>128</v>
      </c>
      <c r="D1146" s="18">
        <v>41</v>
      </c>
      <c r="E1146" s="17" t="s">
        <v>139</v>
      </c>
      <c r="F1146" s="19">
        <v>1235</v>
      </c>
      <c r="G1146" s="20">
        <f>F1146+(VLOOKUP(D1146,'(Semelles.Monument.€HT)'!C:G,3,FALSE()))</f>
        <v>1482</v>
      </c>
      <c r="H1146" s="21">
        <f>F1146+(VLOOKUP(D1146,'(Semelles.Monument.€HT)'!C:G,4,FALSE()))</f>
        <v>1554</v>
      </c>
      <c r="I1146" s="22">
        <f>F1146+(VLOOKUP(D1146,'(Semelles.Monument.€HT)'!C:G,5,FALSE()))</f>
        <v>1629</v>
      </c>
    </row>
    <row r="1147" spans="1:9" ht="26" customHeight="1">
      <c r="A1147" s="2" t="s">
        <v>156</v>
      </c>
      <c r="B1147" s="13" t="s">
        <v>170</v>
      </c>
      <c r="C1147" s="13" t="s">
        <v>128</v>
      </c>
      <c r="D1147" s="13">
        <v>42</v>
      </c>
      <c r="E1147" s="2" t="s">
        <v>140</v>
      </c>
      <c r="F1147" s="7">
        <v>1353</v>
      </c>
      <c r="G1147" s="3">
        <f>F1147+(VLOOKUP(D1147,'(Semelles.Monument.€HT)'!C:G,3,FALSE()))</f>
        <v>1624</v>
      </c>
      <c r="H1147" s="4">
        <f>F1147+(VLOOKUP(D1147,'(Semelles.Monument.€HT)'!C:G,4,FALSE()))</f>
        <v>1703</v>
      </c>
      <c r="I1147" s="5">
        <f>F1147+(VLOOKUP(D1147,'(Semelles.Monument.€HT)'!C:G,5,FALSE()))</f>
        <v>1786</v>
      </c>
    </row>
    <row r="1148" spans="1:9" ht="26" customHeight="1">
      <c r="A1148" s="17" t="s">
        <v>156</v>
      </c>
      <c r="B1148" s="18" t="s">
        <v>170</v>
      </c>
      <c r="C1148" s="18" t="s">
        <v>128</v>
      </c>
      <c r="D1148" s="18">
        <v>43</v>
      </c>
      <c r="E1148" s="17" t="s">
        <v>141</v>
      </c>
      <c r="F1148" s="19">
        <v>1353</v>
      </c>
      <c r="G1148" s="20">
        <f>F1148+(VLOOKUP(D1148,'(Semelles.Monument.€HT)'!C:G,3,FALSE()))</f>
        <v>1624</v>
      </c>
      <c r="H1148" s="21">
        <f>F1148+(VLOOKUP(D1148,'(Semelles.Monument.€HT)'!C:G,4,FALSE()))</f>
        <v>1703</v>
      </c>
      <c r="I1148" s="22">
        <f>F1148+(VLOOKUP(D1148,'(Semelles.Monument.€HT)'!C:G,5,FALSE()))</f>
        <v>1786</v>
      </c>
    </row>
    <row r="1149" spans="1:9" ht="26" customHeight="1">
      <c r="A1149" s="2" t="s">
        <v>156</v>
      </c>
      <c r="B1149" s="13" t="s">
        <v>170</v>
      </c>
      <c r="C1149" s="13" t="s">
        <v>128</v>
      </c>
      <c r="D1149" s="13">
        <v>44</v>
      </c>
      <c r="E1149" s="2" t="s">
        <v>142</v>
      </c>
      <c r="F1149" s="7">
        <v>1369</v>
      </c>
      <c r="G1149" s="3">
        <f>F1149+(VLOOKUP(D1149,'(Semelles.Monument.€HT)'!C:G,3,FALSE()))</f>
        <v>1644</v>
      </c>
      <c r="H1149" s="4">
        <f>F1149+(VLOOKUP(D1149,'(Semelles.Monument.€HT)'!C:G,4,FALSE()))</f>
        <v>1723</v>
      </c>
      <c r="I1149" s="5">
        <f>F1149+(VLOOKUP(D1149,'(Semelles.Monument.€HT)'!C:G,5,FALSE()))</f>
        <v>1807</v>
      </c>
    </row>
    <row r="1150" spans="1:9" ht="26" customHeight="1">
      <c r="A1150" s="17" t="s">
        <v>156</v>
      </c>
      <c r="B1150" s="18" t="s">
        <v>170</v>
      </c>
      <c r="C1150" s="18" t="s">
        <v>128</v>
      </c>
      <c r="D1150" s="18">
        <v>45</v>
      </c>
      <c r="E1150" s="17" t="s">
        <v>143</v>
      </c>
      <c r="F1150" s="19">
        <v>1384</v>
      </c>
      <c r="G1150" s="20">
        <f>F1150+(VLOOKUP(D1150,'(Semelles.Monument.€HT)'!C:G,3,FALSE()))</f>
        <v>1662</v>
      </c>
      <c r="H1150" s="21">
        <f>F1150+(VLOOKUP(D1150,'(Semelles.Monument.€HT)'!C:G,4,FALSE()))</f>
        <v>1742</v>
      </c>
      <c r="I1150" s="22">
        <f>F1150+(VLOOKUP(D1150,'(Semelles.Monument.€HT)'!C:G,5,FALSE()))</f>
        <v>1827</v>
      </c>
    </row>
    <row r="1151" spans="1:9" ht="26" customHeight="1">
      <c r="A1151" s="2" t="s">
        <v>156</v>
      </c>
      <c r="B1151" s="13" t="s">
        <v>170</v>
      </c>
      <c r="C1151" s="13" t="s">
        <v>128</v>
      </c>
      <c r="D1151" s="13">
        <v>46</v>
      </c>
      <c r="E1151" s="2" t="s">
        <v>144</v>
      </c>
      <c r="F1151" s="7">
        <v>1384</v>
      </c>
      <c r="G1151" s="3">
        <f>F1151+(VLOOKUP(D1151,'(Semelles.Monument.€HT)'!C:G,3,FALSE()))</f>
        <v>1662</v>
      </c>
      <c r="H1151" s="4">
        <f>F1151+(VLOOKUP(D1151,'(Semelles.Monument.€HT)'!C:G,4,FALSE()))</f>
        <v>1742</v>
      </c>
      <c r="I1151" s="5">
        <f>F1151+(VLOOKUP(D1151,'(Semelles.Monument.€HT)'!C:G,5,FALSE()))</f>
        <v>1827</v>
      </c>
    </row>
    <row r="1152" spans="1:9" ht="26" customHeight="1">
      <c r="A1152" s="17" t="s">
        <v>156</v>
      </c>
      <c r="B1152" s="18" t="s">
        <v>170</v>
      </c>
      <c r="C1152" s="18" t="s">
        <v>128</v>
      </c>
      <c r="D1152" s="18">
        <v>47</v>
      </c>
      <c r="E1152" s="17" t="s">
        <v>145</v>
      </c>
      <c r="F1152" s="19">
        <v>1412</v>
      </c>
      <c r="G1152" s="20">
        <f>F1152+(VLOOKUP(D1152,'(Semelles.Monument.€HT)'!C:G,3,FALSE()))</f>
        <v>1696</v>
      </c>
      <c r="H1152" s="21">
        <f>F1152+(VLOOKUP(D1152,'(Semelles.Monument.€HT)'!C:G,4,FALSE()))</f>
        <v>1778</v>
      </c>
      <c r="I1152" s="22">
        <f>F1152+(VLOOKUP(D1152,'(Semelles.Monument.€HT)'!C:G,5,FALSE()))</f>
        <v>1864</v>
      </c>
    </row>
    <row r="1153" spans="1:9" ht="26" customHeight="1">
      <c r="A1153" s="2" t="s">
        <v>156</v>
      </c>
      <c r="B1153" s="13" t="s">
        <v>170</v>
      </c>
      <c r="C1153" s="13" t="s">
        <v>128</v>
      </c>
      <c r="D1153" s="13">
        <v>48</v>
      </c>
      <c r="E1153" s="2" t="s">
        <v>146</v>
      </c>
      <c r="F1153" s="7">
        <v>1428</v>
      </c>
      <c r="G1153" s="3">
        <f>F1153+(VLOOKUP(D1153,'(Semelles.Monument.€HT)'!C:G,3,FALSE()))</f>
        <v>1715</v>
      </c>
      <c r="H1153" s="4">
        <f>F1153+(VLOOKUP(D1153,'(Semelles.Monument.€HT)'!C:G,4,FALSE()))</f>
        <v>1798</v>
      </c>
      <c r="I1153" s="5">
        <f>F1153+(VLOOKUP(D1153,'(Semelles.Monument.€HT)'!C:G,5,FALSE()))</f>
        <v>1885</v>
      </c>
    </row>
    <row r="1154" spans="1:9" ht="26" customHeight="1">
      <c r="A1154" s="17" t="s">
        <v>156</v>
      </c>
      <c r="B1154" s="18" t="s">
        <v>171</v>
      </c>
      <c r="C1154" s="18" t="s">
        <v>97</v>
      </c>
      <c r="D1154" s="18">
        <v>1</v>
      </c>
      <c r="E1154" s="17" t="s">
        <v>98</v>
      </c>
      <c r="F1154" s="19">
        <v>705</v>
      </c>
      <c r="G1154" s="20">
        <f>F1154+(VLOOKUP(D1154,'(Semelles.Monument.€HT)'!C:G,3,FALSE()))</f>
        <v>863</v>
      </c>
      <c r="H1154" s="21">
        <f>F1154+(VLOOKUP(D1154,'(Semelles.Monument.€HT)'!C:G,4,FALSE()))</f>
        <v>909</v>
      </c>
      <c r="I1154" s="22">
        <f>F1154+(VLOOKUP(D1154,'(Semelles.Monument.€HT)'!C:G,5,FALSE()))</f>
        <v>957</v>
      </c>
    </row>
    <row r="1155" spans="1:9" ht="26" customHeight="1">
      <c r="A1155" s="2" t="s">
        <v>156</v>
      </c>
      <c r="B1155" s="13" t="s">
        <v>171</v>
      </c>
      <c r="C1155" s="13" t="s">
        <v>97</v>
      </c>
      <c r="D1155" s="13">
        <v>2</v>
      </c>
      <c r="E1155" s="2" t="s">
        <v>99</v>
      </c>
      <c r="F1155" s="7">
        <v>704</v>
      </c>
      <c r="G1155" s="3">
        <f>F1155+(VLOOKUP(D1155,'(Semelles.Monument.€HT)'!C:G,3,FALSE()))</f>
        <v>862</v>
      </c>
      <c r="H1155" s="4">
        <f>F1155+(VLOOKUP(D1155,'(Semelles.Monument.€HT)'!C:G,4,FALSE()))</f>
        <v>908</v>
      </c>
      <c r="I1155" s="5">
        <f>F1155+(VLOOKUP(D1155,'(Semelles.Monument.€HT)'!C:G,5,FALSE()))</f>
        <v>956</v>
      </c>
    </row>
    <row r="1156" spans="1:9" ht="26" customHeight="1">
      <c r="A1156" s="17" t="s">
        <v>156</v>
      </c>
      <c r="B1156" s="18" t="s">
        <v>171</v>
      </c>
      <c r="C1156" s="18" t="s">
        <v>97</v>
      </c>
      <c r="D1156" s="18">
        <v>3</v>
      </c>
      <c r="E1156" s="17" t="s">
        <v>100</v>
      </c>
      <c r="F1156" s="19">
        <v>783</v>
      </c>
      <c r="G1156" s="20">
        <f>F1156+(VLOOKUP(D1156,'(Semelles.Monument.€HT)'!C:G,3,FALSE()))</f>
        <v>959</v>
      </c>
      <c r="H1156" s="21">
        <f>F1156+(VLOOKUP(D1156,'(Semelles.Monument.€HT)'!C:G,4,FALSE()))</f>
        <v>1010</v>
      </c>
      <c r="I1156" s="22">
        <f>F1156+(VLOOKUP(D1156,'(Semelles.Monument.€HT)'!C:G,5,FALSE()))</f>
        <v>1063</v>
      </c>
    </row>
    <row r="1157" spans="1:9" ht="26" customHeight="1">
      <c r="A1157" s="2" t="s">
        <v>156</v>
      </c>
      <c r="B1157" s="13" t="s">
        <v>171</v>
      </c>
      <c r="C1157" s="13" t="s">
        <v>97</v>
      </c>
      <c r="D1157" s="13">
        <v>4</v>
      </c>
      <c r="E1157" s="2" t="s">
        <v>101</v>
      </c>
      <c r="F1157" s="7">
        <v>796</v>
      </c>
      <c r="G1157" s="3">
        <f>F1157+(VLOOKUP(D1157,'(Semelles.Monument.€HT)'!C:G,3,FALSE()))</f>
        <v>975</v>
      </c>
      <c r="H1157" s="4">
        <f>F1157+(VLOOKUP(D1157,'(Semelles.Monument.€HT)'!C:G,4,FALSE()))</f>
        <v>1027</v>
      </c>
      <c r="I1157" s="5">
        <f>F1157+(VLOOKUP(D1157,'(Semelles.Monument.€HT)'!C:G,5,FALSE()))</f>
        <v>1081</v>
      </c>
    </row>
    <row r="1158" spans="1:9" ht="26" customHeight="1">
      <c r="A1158" s="17" t="s">
        <v>156</v>
      </c>
      <c r="B1158" s="18" t="s">
        <v>171</v>
      </c>
      <c r="C1158" s="18" t="s">
        <v>97</v>
      </c>
      <c r="D1158" s="18">
        <v>5</v>
      </c>
      <c r="E1158" s="17" t="s">
        <v>102</v>
      </c>
      <c r="F1158" s="19">
        <v>796</v>
      </c>
      <c r="G1158" s="20">
        <f>F1158+(VLOOKUP(D1158,'(Semelles.Monument.€HT)'!C:G,3,FALSE()))</f>
        <v>975</v>
      </c>
      <c r="H1158" s="21">
        <f>F1158+(VLOOKUP(D1158,'(Semelles.Monument.€HT)'!C:G,4,FALSE()))</f>
        <v>1027</v>
      </c>
      <c r="I1158" s="22">
        <f>F1158+(VLOOKUP(D1158,'(Semelles.Monument.€HT)'!C:G,5,FALSE()))</f>
        <v>1081</v>
      </c>
    </row>
    <row r="1159" spans="1:9" ht="26" customHeight="1">
      <c r="A1159" s="2" t="s">
        <v>156</v>
      </c>
      <c r="B1159" s="13" t="s">
        <v>171</v>
      </c>
      <c r="C1159" s="13" t="s">
        <v>97</v>
      </c>
      <c r="D1159" s="13">
        <v>6</v>
      </c>
      <c r="E1159" s="2" t="s">
        <v>103</v>
      </c>
      <c r="F1159" s="7">
        <v>801</v>
      </c>
      <c r="G1159" s="3">
        <f>F1159+(VLOOKUP(D1159,'(Semelles.Monument.€HT)'!C:G,3,FALSE()))</f>
        <v>981</v>
      </c>
      <c r="H1159" s="4">
        <f>F1159+(VLOOKUP(D1159,'(Semelles.Monument.€HT)'!C:G,4,FALSE()))</f>
        <v>1033</v>
      </c>
      <c r="I1159" s="5">
        <f>F1159+(VLOOKUP(D1159,'(Semelles.Monument.€HT)'!C:G,5,FALSE()))</f>
        <v>1088</v>
      </c>
    </row>
    <row r="1160" spans="1:9" ht="26" customHeight="1">
      <c r="A1160" s="17" t="s">
        <v>156</v>
      </c>
      <c r="B1160" s="18" t="s">
        <v>171</v>
      </c>
      <c r="C1160" s="18" t="s">
        <v>97</v>
      </c>
      <c r="D1160" s="18">
        <v>7</v>
      </c>
      <c r="E1160" s="17" t="s">
        <v>104</v>
      </c>
      <c r="F1160" s="19">
        <v>801</v>
      </c>
      <c r="G1160" s="20">
        <f>F1160+(VLOOKUP(D1160,'(Semelles.Monument.€HT)'!C:G,3,FALSE()))</f>
        <v>981</v>
      </c>
      <c r="H1160" s="21">
        <f>F1160+(VLOOKUP(D1160,'(Semelles.Monument.€HT)'!C:G,4,FALSE()))</f>
        <v>1033</v>
      </c>
      <c r="I1160" s="22">
        <f>F1160+(VLOOKUP(D1160,'(Semelles.Monument.€HT)'!C:G,5,FALSE()))</f>
        <v>1088</v>
      </c>
    </row>
    <row r="1161" spans="1:9" ht="26" customHeight="1">
      <c r="A1161" s="2" t="s">
        <v>156</v>
      </c>
      <c r="B1161" s="13" t="s">
        <v>171</v>
      </c>
      <c r="C1161" s="13" t="s">
        <v>97</v>
      </c>
      <c r="D1161" s="13">
        <v>8</v>
      </c>
      <c r="E1161" s="2" t="s">
        <v>105</v>
      </c>
      <c r="F1161" s="7">
        <v>801</v>
      </c>
      <c r="G1161" s="3">
        <f>F1161+(VLOOKUP(D1161,'(Semelles.Monument.€HT)'!C:G,3,FALSE()))</f>
        <v>981</v>
      </c>
      <c r="H1161" s="4">
        <f>F1161+(VLOOKUP(D1161,'(Semelles.Monument.€HT)'!C:G,4,FALSE()))</f>
        <v>1033</v>
      </c>
      <c r="I1161" s="5">
        <f>F1161+(VLOOKUP(D1161,'(Semelles.Monument.€HT)'!C:G,5,FALSE()))</f>
        <v>1088</v>
      </c>
    </row>
    <row r="1162" spans="1:9" ht="26" customHeight="1">
      <c r="A1162" s="17" t="s">
        <v>156</v>
      </c>
      <c r="B1162" s="18" t="s">
        <v>171</v>
      </c>
      <c r="C1162" s="18" t="s">
        <v>97</v>
      </c>
      <c r="D1162" s="18">
        <v>9</v>
      </c>
      <c r="E1162" s="17" t="s">
        <v>106</v>
      </c>
      <c r="F1162" s="19">
        <v>801</v>
      </c>
      <c r="G1162" s="20">
        <f>F1162+(VLOOKUP(D1162,'(Semelles.Monument.€HT)'!C:G,3,FALSE()))</f>
        <v>981</v>
      </c>
      <c r="H1162" s="21">
        <f>F1162+(VLOOKUP(D1162,'(Semelles.Monument.€HT)'!C:G,4,FALSE()))</f>
        <v>1033</v>
      </c>
      <c r="I1162" s="22">
        <f>F1162+(VLOOKUP(D1162,'(Semelles.Monument.€HT)'!C:G,5,FALSE()))</f>
        <v>1088</v>
      </c>
    </row>
    <row r="1163" spans="1:9" ht="26" customHeight="1">
      <c r="A1163" s="2" t="s">
        <v>156</v>
      </c>
      <c r="B1163" s="13" t="s">
        <v>171</v>
      </c>
      <c r="C1163" s="13" t="s">
        <v>97</v>
      </c>
      <c r="D1163" s="13">
        <v>10</v>
      </c>
      <c r="E1163" s="2" t="s">
        <v>107</v>
      </c>
      <c r="F1163" s="7">
        <v>801</v>
      </c>
      <c r="G1163" s="3">
        <f>F1163+(VLOOKUP(D1163,'(Semelles.Monument.€HT)'!C:G,3,FALSE()))</f>
        <v>981</v>
      </c>
      <c r="H1163" s="4">
        <f>F1163+(VLOOKUP(D1163,'(Semelles.Monument.€HT)'!C:G,4,FALSE()))</f>
        <v>1033</v>
      </c>
      <c r="I1163" s="5">
        <f>F1163+(VLOOKUP(D1163,'(Semelles.Monument.€HT)'!C:G,5,FALSE()))</f>
        <v>1088</v>
      </c>
    </row>
    <row r="1164" spans="1:9" ht="26" customHeight="1">
      <c r="A1164" s="17" t="s">
        <v>156</v>
      </c>
      <c r="B1164" s="18" t="s">
        <v>171</v>
      </c>
      <c r="C1164" s="18" t="s">
        <v>97</v>
      </c>
      <c r="D1164" s="18">
        <v>11</v>
      </c>
      <c r="E1164" s="17" t="s">
        <v>108</v>
      </c>
      <c r="F1164" s="19">
        <v>801</v>
      </c>
      <c r="G1164" s="20">
        <f>F1164+(VLOOKUP(D1164,'(Semelles.Monument.€HT)'!C:G,3,FALSE()))</f>
        <v>981</v>
      </c>
      <c r="H1164" s="21">
        <f>F1164+(VLOOKUP(D1164,'(Semelles.Monument.€HT)'!C:G,4,FALSE()))</f>
        <v>1033</v>
      </c>
      <c r="I1164" s="22">
        <f>F1164+(VLOOKUP(D1164,'(Semelles.Monument.€HT)'!C:G,5,FALSE()))</f>
        <v>1088</v>
      </c>
    </row>
    <row r="1165" spans="1:9" ht="26" customHeight="1">
      <c r="A1165" s="2" t="s">
        <v>156</v>
      </c>
      <c r="B1165" s="13" t="s">
        <v>171</v>
      </c>
      <c r="C1165" s="13" t="s">
        <v>97</v>
      </c>
      <c r="D1165" s="13">
        <v>12</v>
      </c>
      <c r="E1165" s="2" t="s">
        <v>109</v>
      </c>
      <c r="F1165" s="7">
        <v>812</v>
      </c>
      <c r="G1165" s="3">
        <f>F1165+(VLOOKUP(D1165,'(Semelles.Monument.€HT)'!C:G,3,FALSE()))</f>
        <v>994</v>
      </c>
      <c r="H1165" s="4">
        <f>F1165+(VLOOKUP(D1165,'(Semelles.Monument.€HT)'!C:G,4,FALSE()))</f>
        <v>1047</v>
      </c>
      <c r="I1165" s="5">
        <f>F1165+(VLOOKUP(D1165,'(Semelles.Monument.€HT)'!C:G,5,FALSE()))</f>
        <v>1103</v>
      </c>
    </row>
    <row r="1166" spans="1:9" ht="26" customHeight="1">
      <c r="A1166" s="17" t="s">
        <v>156</v>
      </c>
      <c r="B1166" s="18" t="s">
        <v>171</v>
      </c>
      <c r="C1166" s="18" t="s">
        <v>97</v>
      </c>
      <c r="D1166" s="18">
        <v>13</v>
      </c>
      <c r="E1166" s="17" t="s">
        <v>110</v>
      </c>
      <c r="F1166" s="19">
        <v>812</v>
      </c>
      <c r="G1166" s="20">
        <f>F1166+(VLOOKUP(D1166,'(Semelles.Monument.€HT)'!C:G,3,FALSE()))</f>
        <v>994</v>
      </c>
      <c r="H1166" s="21">
        <f>F1166+(VLOOKUP(D1166,'(Semelles.Monument.€HT)'!C:G,4,FALSE()))</f>
        <v>1047</v>
      </c>
      <c r="I1166" s="22">
        <f>F1166+(VLOOKUP(D1166,'(Semelles.Monument.€HT)'!C:G,5,FALSE()))</f>
        <v>1103</v>
      </c>
    </row>
    <row r="1167" spans="1:9" ht="26" customHeight="1">
      <c r="A1167" s="2" t="s">
        <v>156</v>
      </c>
      <c r="B1167" s="13" t="s">
        <v>171</v>
      </c>
      <c r="C1167" s="13" t="s">
        <v>97</v>
      </c>
      <c r="D1167" s="13">
        <v>14</v>
      </c>
      <c r="E1167" s="2" t="s">
        <v>111</v>
      </c>
      <c r="F1167" s="7">
        <v>815</v>
      </c>
      <c r="G1167" s="3">
        <f>F1167+(VLOOKUP(D1167,'(Semelles.Monument.€HT)'!C:G,3,FALSE()))</f>
        <v>998</v>
      </c>
      <c r="H1167" s="4">
        <f>F1167+(VLOOKUP(D1167,'(Semelles.Monument.€HT)'!C:G,4,FALSE()))</f>
        <v>1051</v>
      </c>
      <c r="I1167" s="5">
        <f>F1167+(VLOOKUP(D1167,'(Semelles.Monument.€HT)'!C:G,5,FALSE()))</f>
        <v>1107</v>
      </c>
    </row>
    <row r="1168" spans="1:9" ht="26" customHeight="1">
      <c r="A1168" s="17" t="s">
        <v>156</v>
      </c>
      <c r="B1168" s="18" t="s">
        <v>171</v>
      </c>
      <c r="C1168" s="18" t="s">
        <v>97</v>
      </c>
      <c r="D1168" s="18">
        <v>15</v>
      </c>
      <c r="E1168" s="17" t="s">
        <v>112</v>
      </c>
      <c r="F1168" s="19">
        <v>815</v>
      </c>
      <c r="G1168" s="20">
        <f>F1168+(VLOOKUP(D1168,'(Semelles.Monument.€HT)'!C:G,3,FALSE()))</f>
        <v>998</v>
      </c>
      <c r="H1168" s="21">
        <f>F1168+(VLOOKUP(D1168,'(Semelles.Monument.€HT)'!C:G,4,FALSE()))</f>
        <v>1051</v>
      </c>
      <c r="I1168" s="22">
        <f>F1168+(VLOOKUP(D1168,'(Semelles.Monument.€HT)'!C:G,5,FALSE()))</f>
        <v>1107</v>
      </c>
    </row>
    <row r="1169" spans="1:9" ht="26" customHeight="1">
      <c r="A1169" s="2" t="s">
        <v>156</v>
      </c>
      <c r="B1169" s="13" t="s">
        <v>171</v>
      </c>
      <c r="C1169" s="13" t="s">
        <v>97</v>
      </c>
      <c r="D1169" s="13">
        <v>16</v>
      </c>
      <c r="E1169" s="2" t="s">
        <v>113</v>
      </c>
      <c r="F1169" s="7">
        <v>815</v>
      </c>
      <c r="G1169" s="3">
        <f>F1169+(VLOOKUP(D1169,'(Semelles.Monument.€HT)'!C:G,3,FALSE()))</f>
        <v>998</v>
      </c>
      <c r="H1169" s="4">
        <f>F1169+(VLOOKUP(D1169,'(Semelles.Monument.€HT)'!C:G,4,FALSE()))</f>
        <v>1051</v>
      </c>
      <c r="I1169" s="5">
        <f>F1169+(VLOOKUP(D1169,'(Semelles.Monument.€HT)'!C:G,5,FALSE()))</f>
        <v>1107</v>
      </c>
    </row>
    <row r="1170" spans="1:9" ht="26" customHeight="1">
      <c r="A1170" s="17" t="s">
        <v>156</v>
      </c>
      <c r="B1170" s="18" t="s">
        <v>171</v>
      </c>
      <c r="C1170" s="18" t="s">
        <v>97</v>
      </c>
      <c r="D1170" s="18">
        <v>17</v>
      </c>
      <c r="E1170" s="17" t="s">
        <v>114</v>
      </c>
      <c r="F1170" s="19">
        <v>829</v>
      </c>
      <c r="G1170" s="20">
        <f>F1170+(VLOOKUP(D1170,'(Semelles.Monument.€HT)'!C:G,3,FALSE()))</f>
        <v>1015</v>
      </c>
      <c r="H1170" s="21">
        <f>F1170+(VLOOKUP(D1170,'(Semelles.Monument.€HT)'!C:G,4,FALSE()))</f>
        <v>1069</v>
      </c>
      <c r="I1170" s="22">
        <f>F1170+(VLOOKUP(D1170,'(Semelles.Monument.€HT)'!C:G,5,FALSE()))</f>
        <v>1126</v>
      </c>
    </row>
    <row r="1171" spans="1:9" ht="26" customHeight="1">
      <c r="A1171" s="2" t="s">
        <v>156</v>
      </c>
      <c r="B1171" s="13" t="s">
        <v>171</v>
      </c>
      <c r="C1171" s="13" t="s">
        <v>97</v>
      </c>
      <c r="D1171" s="13">
        <v>18</v>
      </c>
      <c r="E1171" s="2" t="s">
        <v>115</v>
      </c>
      <c r="F1171" s="7">
        <v>829</v>
      </c>
      <c r="G1171" s="3">
        <f>F1171+(VLOOKUP(D1171,'(Semelles.Monument.€HT)'!C:G,3,FALSE()))</f>
        <v>1015</v>
      </c>
      <c r="H1171" s="4">
        <f>F1171+(VLOOKUP(D1171,'(Semelles.Monument.€HT)'!C:G,4,FALSE()))</f>
        <v>1069</v>
      </c>
      <c r="I1171" s="5">
        <f>F1171+(VLOOKUP(D1171,'(Semelles.Monument.€HT)'!C:G,5,FALSE()))</f>
        <v>1126</v>
      </c>
    </row>
    <row r="1172" spans="1:9" ht="26" customHeight="1">
      <c r="A1172" s="17" t="s">
        <v>156</v>
      </c>
      <c r="B1172" s="18" t="s">
        <v>171</v>
      </c>
      <c r="C1172" s="18" t="s">
        <v>97</v>
      </c>
      <c r="D1172" s="18">
        <v>19</v>
      </c>
      <c r="E1172" s="17" t="s">
        <v>116</v>
      </c>
      <c r="F1172" s="19">
        <v>829</v>
      </c>
      <c r="G1172" s="20">
        <f>F1172+(VLOOKUP(D1172,'(Semelles.Monument.€HT)'!C:G,3,FALSE()))</f>
        <v>1015</v>
      </c>
      <c r="H1172" s="21">
        <f>F1172+(VLOOKUP(D1172,'(Semelles.Monument.€HT)'!C:G,4,FALSE()))</f>
        <v>1069</v>
      </c>
      <c r="I1172" s="22">
        <f>F1172+(VLOOKUP(D1172,'(Semelles.Monument.€HT)'!C:G,5,FALSE()))</f>
        <v>1126</v>
      </c>
    </row>
    <row r="1173" spans="1:9" ht="26" customHeight="1">
      <c r="A1173" s="2" t="s">
        <v>156</v>
      </c>
      <c r="B1173" s="13" t="s">
        <v>171</v>
      </c>
      <c r="C1173" s="13" t="s">
        <v>97</v>
      </c>
      <c r="D1173" s="13">
        <v>20</v>
      </c>
      <c r="E1173" s="2" t="s">
        <v>117</v>
      </c>
      <c r="F1173" s="7">
        <v>835</v>
      </c>
      <c r="G1173" s="3">
        <f>F1173+(VLOOKUP(D1173,'(Semelles.Monument.€HT)'!C:G,3,FALSE()))</f>
        <v>1023</v>
      </c>
      <c r="H1173" s="4">
        <f>F1173+(VLOOKUP(D1173,'(Semelles.Monument.€HT)'!C:G,4,FALSE()))</f>
        <v>1077</v>
      </c>
      <c r="I1173" s="5">
        <f>F1173+(VLOOKUP(D1173,'(Semelles.Monument.€HT)'!C:G,5,FALSE()))</f>
        <v>1134</v>
      </c>
    </row>
    <row r="1174" spans="1:9" ht="26" customHeight="1">
      <c r="A1174" s="17" t="s">
        <v>156</v>
      </c>
      <c r="B1174" s="18" t="s">
        <v>171</v>
      </c>
      <c r="C1174" s="18" t="s">
        <v>97</v>
      </c>
      <c r="D1174" s="18">
        <v>21</v>
      </c>
      <c r="E1174" s="17" t="s">
        <v>118</v>
      </c>
      <c r="F1174" s="19">
        <v>840</v>
      </c>
      <c r="G1174" s="20">
        <f>F1174+(VLOOKUP(D1174,'(Semelles.Monument.€HT)'!C:G,3,FALSE()))</f>
        <v>1029</v>
      </c>
      <c r="H1174" s="21">
        <f>F1174+(VLOOKUP(D1174,'(Semelles.Monument.€HT)'!C:G,4,FALSE()))</f>
        <v>1083</v>
      </c>
      <c r="I1174" s="22">
        <f>F1174+(VLOOKUP(D1174,'(Semelles.Monument.€HT)'!C:G,5,FALSE()))</f>
        <v>1141</v>
      </c>
    </row>
    <row r="1175" spans="1:9" ht="26" customHeight="1">
      <c r="A1175" s="2" t="s">
        <v>156</v>
      </c>
      <c r="B1175" s="13" t="s">
        <v>171</v>
      </c>
      <c r="C1175" s="13" t="s">
        <v>97</v>
      </c>
      <c r="D1175" s="13">
        <v>22</v>
      </c>
      <c r="E1175" s="2" t="s">
        <v>119</v>
      </c>
      <c r="F1175" s="7">
        <v>840</v>
      </c>
      <c r="G1175" s="3">
        <f>F1175+(VLOOKUP(D1175,'(Semelles.Monument.€HT)'!C:G,3,FALSE()))</f>
        <v>1029</v>
      </c>
      <c r="H1175" s="4">
        <f>F1175+(VLOOKUP(D1175,'(Semelles.Monument.€HT)'!C:G,4,FALSE()))</f>
        <v>1083</v>
      </c>
      <c r="I1175" s="5">
        <f>F1175+(VLOOKUP(D1175,'(Semelles.Monument.€HT)'!C:G,5,FALSE()))</f>
        <v>1141</v>
      </c>
    </row>
    <row r="1176" spans="1:9" ht="26" customHeight="1">
      <c r="A1176" s="17" t="s">
        <v>156</v>
      </c>
      <c r="B1176" s="18" t="s">
        <v>171</v>
      </c>
      <c r="C1176" s="18" t="s">
        <v>97</v>
      </c>
      <c r="D1176" s="18">
        <v>23</v>
      </c>
      <c r="E1176" s="17" t="s">
        <v>120</v>
      </c>
      <c r="F1176" s="19">
        <v>853</v>
      </c>
      <c r="G1176" s="20">
        <f>F1176+(VLOOKUP(D1176,'(Semelles.Monument.€HT)'!C:G,3,FALSE()))</f>
        <v>1045</v>
      </c>
      <c r="H1176" s="21">
        <f>F1176+(VLOOKUP(D1176,'(Semelles.Monument.€HT)'!C:G,4,FALSE()))</f>
        <v>1100</v>
      </c>
      <c r="I1176" s="22">
        <f>F1176+(VLOOKUP(D1176,'(Semelles.Monument.€HT)'!C:G,5,FALSE()))</f>
        <v>1158</v>
      </c>
    </row>
    <row r="1177" spans="1:9" ht="26" customHeight="1">
      <c r="A1177" s="2" t="s">
        <v>156</v>
      </c>
      <c r="B1177" s="13" t="s">
        <v>171</v>
      </c>
      <c r="C1177" s="13" t="s">
        <v>97</v>
      </c>
      <c r="D1177" s="13">
        <v>24</v>
      </c>
      <c r="E1177" s="2" t="s">
        <v>121</v>
      </c>
      <c r="F1177" s="7">
        <v>853</v>
      </c>
      <c r="G1177" s="3">
        <f>F1177+(VLOOKUP(D1177,'(Semelles.Monument.€HT)'!C:G,3,FALSE()))</f>
        <v>1045</v>
      </c>
      <c r="H1177" s="4">
        <f>F1177+(VLOOKUP(D1177,'(Semelles.Monument.€HT)'!C:G,4,FALSE()))</f>
        <v>1100</v>
      </c>
      <c r="I1177" s="5">
        <f>F1177+(VLOOKUP(D1177,'(Semelles.Monument.€HT)'!C:G,5,FALSE()))</f>
        <v>1158</v>
      </c>
    </row>
    <row r="1178" spans="1:9" ht="26" customHeight="1">
      <c r="A1178" s="17" t="s">
        <v>156</v>
      </c>
      <c r="B1178" s="18" t="s">
        <v>171</v>
      </c>
      <c r="C1178" s="18" t="s">
        <v>97</v>
      </c>
      <c r="D1178" s="18">
        <v>25</v>
      </c>
      <c r="E1178" s="17" t="s">
        <v>122</v>
      </c>
      <c r="F1178" s="19">
        <v>853</v>
      </c>
      <c r="G1178" s="20">
        <f>F1178+(VLOOKUP(D1178,'(Semelles.Monument.€HT)'!C:G,3,FALSE()))</f>
        <v>1045</v>
      </c>
      <c r="H1178" s="21">
        <f>F1178+(VLOOKUP(D1178,'(Semelles.Monument.€HT)'!C:G,4,FALSE()))</f>
        <v>1100</v>
      </c>
      <c r="I1178" s="22">
        <f>F1178+(VLOOKUP(D1178,'(Semelles.Monument.€HT)'!C:G,5,FALSE()))</f>
        <v>1158</v>
      </c>
    </row>
    <row r="1179" spans="1:9" ht="26" customHeight="1">
      <c r="A1179" s="2" t="s">
        <v>156</v>
      </c>
      <c r="B1179" s="13" t="s">
        <v>171</v>
      </c>
      <c r="C1179" s="13" t="s">
        <v>97</v>
      </c>
      <c r="D1179" s="13">
        <v>26</v>
      </c>
      <c r="E1179" s="2" t="s">
        <v>123</v>
      </c>
      <c r="F1179" s="7">
        <v>868</v>
      </c>
      <c r="G1179" s="3">
        <f>F1179+(VLOOKUP(D1179,'(Semelles.Monument.€HT)'!C:G,3,FALSE()))</f>
        <v>1063</v>
      </c>
      <c r="H1179" s="4">
        <f>F1179+(VLOOKUP(D1179,'(Semelles.Monument.€HT)'!C:G,4,FALSE()))</f>
        <v>1119</v>
      </c>
      <c r="I1179" s="5">
        <f>F1179+(VLOOKUP(D1179,'(Semelles.Monument.€HT)'!C:G,5,FALSE()))</f>
        <v>1178</v>
      </c>
    </row>
    <row r="1180" spans="1:9" ht="26" customHeight="1">
      <c r="A1180" s="17" t="s">
        <v>156</v>
      </c>
      <c r="B1180" s="18" t="s">
        <v>171</v>
      </c>
      <c r="C1180" s="18" t="s">
        <v>97</v>
      </c>
      <c r="D1180" s="18">
        <v>27</v>
      </c>
      <c r="E1180" s="17" t="s">
        <v>124</v>
      </c>
      <c r="F1180" s="19">
        <v>925</v>
      </c>
      <c r="G1180" s="20">
        <f>F1180+(VLOOKUP(D1180,'(Semelles.Monument.€HT)'!C:G,3,FALSE()))</f>
        <v>1133</v>
      </c>
      <c r="H1180" s="21">
        <f>F1180+(VLOOKUP(D1180,'(Semelles.Monument.€HT)'!C:G,4,FALSE()))</f>
        <v>1193</v>
      </c>
      <c r="I1180" s="22">
        <f>F1180+(VLOOKUP(D1180,'(Semelles.Monument.€HT)'!C:G,5,FALSE()))</f>
        <v>1292</v>
      </c>
    </row>
    <row r="1181" spans="1:9" ht="26" customHeight="1">
      <c r="A1181" s="2" t="s">
        <v>156</v>
      </c>
      <c r="B1181" s="13" t="s">
        <v>171</v>
      </c>
      <c r="C1181" s="13" t="s">
        <v>97</v>
      </c>
      <c r="D1181" s="13">
        <v>28</v>
      </c>
      <c r="E1181" s="2" t="s">
        <v>125</v>
      </c>
      <c r="F1181" s="7">
        <v>1024</v>
      </c>
      <c r="G1181" s="3">
        <f>F1181+(VLOOKUP(D1181,'(Semelles.Monument.€HT)'!C:G,3,FALSE()))</f>
        <v>1254</v>
      </c>
      <c r="H1181" s="4">
        <f>F1181+(VLOOKUP(D1181,'(Semelles.Monument.€HT)'!C:G,4,FALSE()))</f>
        <v>1321</v>
      </c>
      <c r="I1181" s="5">
        <f>F1181+(VLOOKUP(D1181,'(Semelles.Monument.€HT)'!C:G,5,FALSE()))</f>
        <v>1391</v>
      </c>
    </row>
    <row r="1182" spans="1:9" ht="26" customHeight="1">
      <c r="A1182" s="17" t="s">
        <v>156</v>
      </c>
      <c r="B1182" s="18" t="s">
        <v>171</v>
      </c>
      <c r="C1182" s="18" t="s">
        <v>97</v>
      </c>
      <c r="D1182" s="18">
        <v>29</v>
      </c>
      <c r="E1182" s="17" t="s">
        <v>126</v>
      </c>
      <c r="F1182" s="19">
        <v>1067</v>
      </c>
      <c r="G1182" s="20">
        <f>F1182+(VLOOKUP(D1182,'(Semelles.Monument.€HT)'!C:G,3,FALSE()))</f>
        <v>1307</v>
      </c>
      <c r="H1182" s="21">
        <f>F1182+(VLOOKUP(D1182,'(Semelles.Monument.€HT)'!C:G,4,FALSE()))</f>
        <v>1376</v>
      </c>
      <c r="I1182" s="22">
        <f>F1182+(VLOOKUP(D1182,'(Semelles.Monument.€HT)'!C:G,5,FALSE()))</f>
        <v>1449</v>
      </c>
    </row>
    <row r="1183" spans="1:9" ht="26" customHeight="1">
      <c r="A1183" s="2" t="s">
        <v>156</v>
      </c>
      <c r="B1183" s="13" t="s">
        <v>171</v>
      </c>
      <c r="C1183" s="13" t="s">
        <v>97</v>
      </c>
      <c r="D1183" s="13">
        <v>30</v>
      </c>
      <c r="E1183" s="2" t="s">
        <v>127</v>
      </c>
      <c r="F1183" s="7">
        <v>1067</v>
      </c>
      <c r="G1183" s="3">
        <f>F1183+(VLOOKUP(D1183,'(Semelles.Monument.€HT)'!C:G,3,FALSE()))</f>
        <v>1307</v>
      </c>
      <c r="H1183" s="4">
        <f>F1183+(VLOOKUP(D1183,'(Semelles.Monument.€HT)'!C:G,4,FALSE()))</f>
        <v>1376</v>
      </c>
      <c r="I1183" s="5">
        <f>F1183+(VLOOKUP(D1183,'(Semelles.Monument.€HT)'!C:G,5,FALSE()))</f>
        <v>1449</v>
      </c>
    </row>
    <row r="1184" spans="1:9" ht="26" customHeight="1">
      <c r="A1184" s="17" t="s">
        <v>156</v>
      </c>
      <c r="B1184" s="18" t="s">
        <v>171</v>
      </c>
      <c r="C1184" s="18" t="s">
        <v>128</v>
      </c>
      <c r="D1184" s="18">
        <v>31</v>
      </c>
      <c r="E1184" s="17" t="s">
        <v>129</v>
      </c>
      <c r="F1184" s="19">
        <v>607</v>
      </c>
      <c r="G1184" s="20">
        <f>F1184+(VLOOKUP(D1184,'(Semelles.Monument.€HT)'!C:G,3,FALSE()))</f>
        <v>739</v>
      </c>
      <c r="H1184" s="21">
        <f>F1184+(VLOOKUP(D1184,'(Semelles.Monument.€HT)'!C:G,4,FALSE()))</f>
        <v>777</v>
      </c>
      <c r="I1184" s="22">
        <f>F1184+(VLOOKUP(D1184,'(Semelles.Monument.€HT)'!C:G,5,FALSE()))</f>
        <v>817</v>
      </c>
    </row>
    <row r="1185" spans="1:9" ht="26" customHeight="1">
      <c r="A1185" s="2" t="s">
        <v>156</v>
      </c>
      <c r="B1185" s="13" t="s">
        <v>171</v>
      </c>
      <c r="C1185" s="13" t="s">
        <v>128</v>
      </c>
      <c r="D1185" s="13">
        <v>32</v>
      </c>
      <c r="E1185" s="2" t="s">
        <v>130</v>
      </c>
      <c r="F1185" s="7">
        <v>616</v>
      </c>
      <c r="G1185" s="3">
        <f>F1185+(VLOOKUP(D1185,'(Semelles.Monument.€HT)'!C:G,3,FALSE()))</f>
        <v>750</v>
      </c>
      <c r="H1185" s="4">
        <f>F1185+(VLOOKUP(D1185,'(Semelles.Monument.€HT)'!C:G,4,FALSE()))</f>
        <v>789</v>
      </c>
      <c r="I1185" s="5">
        <f>F1185+(VLOOKUP(D1185,'(Semelles.Monument.€HT)'!C:G,5,FALSE()))</f>
        <v>829</v>
      </c>
    </row>
    <row r="1186" spans="1:9" ht="26" customHeight="1">
      <c r="A1186" s="17" t="s">
        <v>156</v>
      </c>
      <c r="B1186" s="18" t="s">
        <v>171</v>
      </c>
      <c r="C1186" s="18" t="s">
        <v>128</v>
      </c>
      <c r="D1186" s="18">
        <v>33</v>
      </c>
      <c r="E1186" s="17" t="s">
        <v>131</v>
      </c>
      <c r="F1186" s="19">
        <v>616</v>
      </c>
      <c r="G1186" s="20">
        <f>F1186+(VLOOKUP(D1186,'(Semelles.Monument.€HT)'!C:G,3,FALSE()))</f>
        <v>750</v>
      </c>
      <c r="H1186" s="21">
        <f>F1186+(VLOOKUP(D1186,'(Semelles.Monument.€HT)'!C:G,4,FALSE()))</f>
        <v>789</v>
      </c>
      <c r="I1186" s="22">
        <f>F1186+(VLOOKUP(D1186,'(Semelles.Monument.€HT)'!C:G,5,FALSE()))</f>
        <v>829</v>
      </c>
    </row>
    <row r="1187" spans="1:9" ht="26" customHeight="1">
      <c r="A1187" s="2" t="s">
        <v>156</v>
      </c>
      <c r="B1187" s="13" t="s">
        <v>171</v>
      </c>
      <c r="C1187" s="13" t="s">
        <v>128</v>
      </c>
      <c r="D1187" s="13">
        <v>34</v>
      </c>
      <c r="E1187" s="2" t="s">
        <v>132</v>
      </c>
      <c r="F1187" s="7">
        <v>622</v>
      </c>
      <c r="G1187" s="3">
        <f>F1187+(VLOOKUP(D1187,'(Semelles.Monument.€HT)'!C:G,3,FALSE()))</f>
        <v>757</v>
      </c>
      <c r="H1187" s="4">
        <f>F1187+(VLOOKUP(D1187,'(Semelles.Monument.€HT)'!C:G,4,FALSE()))</f>
        <v>796</v>
      </c>
      <c r="I1187" s="5">
        <f>F1187+(VLOOKUP(D1187,'(Semelles.Monument.€HT)'!C:G,5,FALSE()))</f>
        <v>837</v>
      </c>
    </row>
    <row r="1188" spans="1:9" ht="26" customHeight="1">
      <c r="A1188" s="17" t="s">
        <v>156</v>
      </c>
      <c r="B1188" s="18" t="s">
        <v>171</v>
      </c>
      <c r="C1188" s="18" t="s">
        <v>128</v>
      </c>
      <c r="D1188" s="18">
        <v>35</v>
      </c>
      <c r="E1188" s="17" t="s">
        <v>133</v>
      </c>
      <c r="F1188" s="19">
        <v>744</v>
      </c>
      <c r="G1188" s="20">
        <f>F1188+(VLOOKUP(D1188,'(Semelles.Monument.€HT)'!C:G,3,FALSE()))</f>
        <v>907</v>
      </c>
      <c r="H1188" s="21">
        <f>F1188+(VLOOKUP(D1188,'(Semelles.Monument.€HT)'!C:G,4,FALSE()))</f>
        <v>954</v>
      </c>
      <c r="I1188" s="22">
        <f>F1188+(VLOOKUP(D1188,'(Semelles.Monument.€HT)'!C:G,5,FALSE()))</f>
        <v>1003</v>
      </c>
    </row>
    <row r="1189" spans="1:9" ht="26" customHeight="1">
      <c r="A1189" s="2" t="s">
        <v>156</v>
      </c>
      <c r="B1189" s="13" t="s">
        <v>171</v>
      </c>
      <c r="C1189" s="13" t="s">
        <v>128</v>
      </c>
      <c r="D1189" s="13">
        <v>36</v>
      </c>
      <c r="E1189" s="2" t="s">
        <v>134</v>
      </c>
      <c r="F1189" s="7">
        <v>770</v>
      </c>
      <c r="G1189" s="3">
        <f>F1189+(VLOOKUP(D1189,'(Semelles.Monument.€HT)'!C:G,3,FALSE()))</f>
        <v>938</v>
      </c>
      <c r="H1189" s="4">
        <f>F1189+(VLOOKUP(D1189,'(Semelles.Monument.€HT)'!C:G,4,FALSE()))</f>
        <v>987</v>
      </c>
      <c r="I1189" s="5">
        <f>F1189+(VLOOKUP(D1189,'(Semelles.Monument.€HT)'!C:G,5,FALSE()))</f>
        <v>1038</v>
      </c>
    </row>
    <row r="1190" spans="1:9" ht="26" customHeight="1">
      <c r="A1190" s="17" t="s">
        <v>156</v>
      </c>
      <c r="B1190" s="18" t="s">
        <v>171</v>
      </c>
      <c r="C1190" s="18" t="s">
        <v>128</v>
      </c>
      <c r="D1190" s="18">
        <v>37</v>
      </c>
      <c r="E1190" s="17" t="s">
        <v>135</v>
      </c>
      <c r="F1190" s="19">
        <v>947</v>
      </c>
      <c r="G1190" s="20">
        <f>F1190+(VLOOKUP(D1190,'(Semelles.Monument.€HT)'!C:G,3,FALSE()))</f>
        <v>1155</v>
      </c>
      <c r="H1190" s="21">
        <f>F1190+(VLOOKUP(D1190,'(Semelles.Monument.€HT)'!C:G,4,FALSE()))</f>
        <v>1215</v>
      </c>
      <c r="I1190" s="22">
        <f>F1190+(VLOOKUP(D1190,'(Semelles.Monument.€HT)'!C:G,5,FALSE()))</f>
        <v>1279</v>
      </c>
    </row>
    <row r="1191" spans="1:9" ht="26" customHeight="1">
      <c r="A1191" s="2" t="s">
        <v>156</v>
      </c>
      <c r="B1191" s="13" t="s">
        <v>171</v>
      </c>
      <c r="C1191" s="13" t="s">
        <v>128</v>
      </c>
      <c r="D1191" s="13">
        <v>38</v>
      </c>
      <c r="E1191" s="2" t="s">
        <v>136</v>
      </c>
      <c r="F1191" s="7">
        <v>1001</v>
      </c>
      <c r="G1191" s="3">
        <f>F1191+(VLOOKUP(D1191,'(Semelles.Monument.€HT)'!C:G,3,FALSE()))</f>
        <v>1221</v>
      </c>
      <c r="H1191" s="4">
        <f>F1191+(VLOOKUP(D1191,'(Semelles.Monument.€HT)'!C:G,4,FALSE()))</f>
        <v>1285</v>
      </c>
      <c r="I1191" s="5">
        <f>F1191+(VLOOKUP(D1191,'(Semelles.Monument.€HT)'!C:G,5,FALSE()))</f>
        <v>1352</v>
      </c>
    </row>
    <row r="1192" spans="1:9" ht="26" customHeight="1">
      <c r="A1192" s="17" t="s">
        <v>156</v>
      </c>
      <c r="B1192" s="18" t="s">
        <v>171</v>
      </c>
      <c r="C1192" s="18" t="s">
        <v>128</v>
      </c>
      <c r="D1192" s="18">
        <v>39</v>
      </c>
      <c r="E1192" s="17" t="s">
        <v>137</v>
      </c>
      <c r="F1192" s="19">
        <v>1026</v>
      </c>
      <c r="G1192" s="20">
        <f>F1192+(VLOOKUP(D1192,'(Semelles.Monument.€HT)'!C:G,3,FALSE()))</f>
        <v>1252</v>
      </c>
      <c r="H1192" s="21">
        <f>F1192+(VLOOKUP(D1192,'(Semelles.Monument.€HT)'!C:G,4,FALSE()))</f>
        <v>1317</v>
      </c>
      <c r="I1192" s="22">
        <f>F1192+(VLOOKUP(D1192,'(Semelles.Monument.€HT)'!C:G,5,FALSE()))</f>
        <v>1386</v>
      </c>
    </row>
    <row r="1193" spans="1:9" ht="26" customHeight="1">
      <c r="A1193" s="2" t="s">
        <v>156</v>
      </c>
      <c r="B1193" s="13" t="s">
        <v>171</v>
      </c>
      <c r="C1193" s="13" t="s">
        <v>128</v>
      </c>
      <c r="D1193" s="13">
        <v>40</v>
      </c>
      <c r="E1193" s="2" t="s">
        <v>138</v>
      </c>
      <c r="F1193" s="7">
        <v>1055</v>
      </c>
      <c r="G1193" s="3">
        <f>F1193+(VLOOKUP(D1193,'(Semelles.Monument.€HT)'!C:G,3,FALSE()))</f>
        <v>1287</v>
      </c>
      <c r="H1193" s="4">
        <f>F1193+(VLOOKUP(D1193,'(Semelles.Monument.€HT)'!C:G,4,FALSE()))</f>
        <v>1355</v>
      </c>
      <c r="I1193" s="5">
        <f>F1193+(VLOOKUP(D1193,'(Semelles.Monument.€HT)'!C:G,5,FALSE()))</f>
        <v>1425</v>
      </c>
    </row>
    <row r="1194" spans="1:9" ht="26" customHeight="1">
      <c r="A1194" s="17" t="s">
        <v>156</v>
      </c>
      <c r="B1194" s="18" t="s">
        <v>171</v>
      </c>
      <c r="C1194" s="18" t="s">
        <v>128</v>
      </c>
      <c r="D1194" s="18">
        <v>41</v>
      </c>
      <c r="E1194" s="17" t="s">
        <v>139</v>
      </c>
      <c r="F1194" s="19">
        <v>1120</v>
      </c>
      <c r="G1194" s="20">
        <f>F1194+(VLOOKUP(D1194,'(Semelles.Monument.€HT)'!C:G,3,FALSE()))</f>
        <v>1367</v>
      </c>
      <c r="H1194" s="21">
        <f>F1194+(VLOOKUP(D1194,'(Semelles.Monument.€HT)'!C:G,4,FALSE()))</f>
        <v>1439</v>
      </c>
      <c r="I1194" s="22">
        <f>F1194+(VLOOKUP(D1194,'(Semelles.Monument.€HT)'!C:G,5,FALSE()))</f>
        <v>1514</v>
      </c>
    </row>
    <row r="1195" spans="1:9" ht="26" customHeight="1">
      <c r="A1195" s="2" t="s">
        <v>156</v>
      </c>
      <c r="B1195" s="13" t="s">
        <v>171</v>
      </c>
      <c r="C1195" s="13" t="s">
        <v>128</v>
      </c>
      <c r="D1195" s="13">
        <v>42</v>
      </c>
      <c r="E1195" s="2" t="s">
        <v>140</v>
      </c>
      <c r="F1195" s="7">
        <v>1229</v>
      </c>
      <c r="G1195" s="3">
        <f>F1195+(VLOOKUP(D1195,'(Semelles.Monument.€HT)'!C:G,3,FALSE()))</f>
        <v>1500</v>
      </c>
      <c r="H1195" s="4">
        <f>F1195+(VLOOKUP(D1195,'(Semelles.Monument.€HT)'!C:G,4,FALSE()))</f>
        <v>1579</v>
      </c>
      <c r="I1195" s="5">
        <f>F1195+(VLOOKUP(D1195,'(Semelles.Monument.€HT)'!C:G,5,FALSE()))</f>
        <v>1662</v>
      </c>
    </row>
    <row r="1196" spans="1:9" ht="26" customHeight="1">
      <c r="A1196" s="17" t="s">
        <v>156</v>
      </c>
      <c r="B1196" s="18" t="s">
        <v>171</v>
      </c>
      <c r="C1196" s="18" t="s">
        <v>128</v>
      </c>
      <c r="D1196" s="18">
        <v>43</v>
      </c>
      <c r="E1196" s="17" t="s">
        <v>141</v>
      </c>
      <c r="F1196" s="19">
        <v>1229</v>
      </c>
      <c r="G1196" s="20">
        <f>F1196+(VLOOKUP(D1196,'(Semelles.Monument.€HT)'!C:G,3,FALSE()))</f>
        <v>1500</v>
      </c>
      <c r="H1196" s="21">
        <f>F1196+(VLOOKUP(D1196,'(Semelles.Monument.€HT)'!C:G,4,FALSE()))</f>
        <v>1579</v>
      </c>
      <c r="I1196" s="22">
        <f>F1196+(VLOOKUP(D1196,'(Semelles.Monument.€HT)'!C:G,5,FALSE()))</f>
        <v>1662</v>
      </c>
    </row>
    <row r="1197" spans="1:9" ht="26" customHeight="1">
      <c r="A1197" s="2" t="s">
        <v>156</v>
      </c>
      <c r="B1197" s="13" t="s">
        <v>171</v>
      </c>
      <c r="C1197" s="13" t="s">
        <v>128</v>
      </c>
      <c r="D1197" s="13">
        <v>44</v>
      </c>
      <c r="E1197" s="2" t="s">
        <v>142</v>
      </c>
      <c r="F1197" s="7">
        <v>1243</v>
      </c>
      <c r="G1197" s="3">
        <f>F1197+(VLOOKUP(D1197,'(Semelles.Monument.€HT)'!C:G,3,FALSE()))</f>
        <v>1518</v>
      </c>
      <c r="H1197" s="4">
        <f>F1197+(VLOOKUP(D1197,'(Semelles.Monument.€HT)'!C:G,4,FALSE()))</f>
        <v>1597</v>
      </c>
      <c r="I1197" s="5">
        <f>F1197+(VLOOKUP(D1197,'(Semelles.Monument.€HT)'!C:G,5,FALSE()))</f>
        <v>1681</v>
      </c>
    </row>
    <row r="1198" spans="1:9" ht="26" customHeight="1">
      <c r="A1198" s="17" t="s">
        <v>156</v>
      </c>
      <c r="B1198" s="18" t="s">
        <v>171</v>
      </c>
      <c r="C1198" s="18" t="s">
        <v>128</v>
      </c>
      <c r="D1198" s="18">
        <v>45</v>
      </c>
      <c r="E1198" s="17" t="s">
        <v>143</v>
      </c>
      <c r="F1198" s="19">
        <v>1257</v>
      </c>
      <c r="G1198" s="20">
        <f>F1198+(VLOOKUP(D1198,'(Semelles.Monument.€HT)'!C:G,3,FALSE()))</f>
        <v>1535</v>
      </c>
      <c r="H1198" s="21">
        <f>F1198+(VLOOKUP(D1198,'(Semelles.Monument.€HT)'!C:G,4,FALSE()))</f>
        <v>1615</v>
      </c>
      <c r="I1198" s="22">
        <f>F1198+(VLOOKUP(D1198,'(Semelles.Monument.€HT)'!C:G,5,FALSE()))</f>
        <v>1700</v>
      </c>
    </row>
    <row r="1199" spans="1:9" ht="26" customHeight="1">
      <c r="A1199" s="2" t="s">
        <v>156</v>
      </c>
      <c r="B1199" s="13" t="s">
        <v>171</v>
      </c>
      <c r="C1199" s="13" t="s">
        <v>128</v>
      </c>
      <c r="D1199" s="13">
        <v>46</v>
      </c>
      <c r="E1199" s="2" t="s">
        <v>144</v>
      </c>
      <c r="F1199" s="7">
        <v>1257</v>
      </c>
      <c r="G1199" s="3">
        <f>F1199+(VLOOKUP(D1199,'(Semelles.Monument.€HT)'!C:G,3,FALSE()))</f>
        <v>1535</v>
      </c>
      <c r="H1199" s="4">
        <f>F1199+(VLOOKUP(D1199,'(Semelles.Monument.€HT)'!C:G,4,FALSE()))</f>
        <v>1615</v>
      </c>
      <c r="I1199" s="5">
        <f>F1199+(VLOOKUP(D1199,'(Semelles.Monument.€HT)'!C:G,5,FALSE()))</f>
        <v>1700</v>
      </c>
    </row>
    <row r="1200" spans="1:9" ht="26" customHeight="1">
      <c r="A1200" s="17" t="s">
        <v>156</v>
      </c>
      <c r="B1200" s="18" t="s">
        <v>171</v>
      </c>
      <c r="C1200" s="18" t="s">
        <v>128</v>
      </c>
      <c r="D1200" s="18">
        <v>47</v>
      </c>
      <c r="E1200" s="17" t="s">
        <v>145</v>
      </c>
      <c r="F1200" s="19">
        <v>1283</v>
      </c>
      <c r="G1200" s="20">
        <f>F1200+(VLOOKUP(D1200,'(Semelles.Monument.€HT)'!C:G,3,FALSE()))</f>
        <v>1567</v>
      </c>
      <c r="H1200" s="21">
        <f>F1200+(VLOOKUP(D1200,'(Semelles.Monument.€HT)'!C:G,4,FALSE()))</f>
        <v>1649</v>
      </c>
      <c r="I1200" s="22">
        <f>F1200+(VLOOKUP(D1200,'(Semelles.Monument.€HT)'!C:G,5,FALSE()))</f>
        <v>1735</v>
      </c>
    </row>
    <row r="1201" spans="1:9" ht="26" customHeight="1">
      <c r="A1201" s="2" t="s">
        <v>156</v>
      </c>
      <c r="B1201" s="13" t="s">
        <v>171</v>
      </c>
      <c r="C1201" s="13" t="s">
        <v>128</v>
      </c>
      <c r="D1201" s="13">
        <v>48</v>
      </c>
      <c r="E1201" s="2" t="s">
        <v>146</v>
      </c>
      <c r="F1201" s="7">
        <v>1297</v>
      </c>
      <c r="G1201" s="3">
        <f>F1201+(VLOOKUP(D1201,'(Semelles.Monument.€HT)'!C:G,3,FALSE()))</f>
        <v>1584</v>
      </c>
      <c r="H1201" s="4">
        <f>F1201+(VLOOKUP(D1201,'(Semelles.Monument.€HT)'!C:G,4,FALSE()))</f>
        <v>1667</v>
      </c>
      <c r="I1201" s="5">
        <f>F1201+(VLOOKUP(D1201,'(Semelles.Monument.€HT)'!C:G,5,FALSE()))</f>
        <v>1754</v>
      </c>
    </row>
    <row r="1202" spans="1:9" ht="26" customHeight="1">
      <c r="A1202" s="17" t="s">
        <v>156</v>
      </c>
      <c r="B1202" s="18" t="s">
        <v>172</v>
      </c>
      <c r="C1202" s="18" t="s">
        <v>97</v>
      </c>
      <c r="D1202" s="18">
        <v>1</v>
      </c>
      <c r="E1202" s="17" t="s">
        <v>98</v>
      </c>
      <c r="F1202" s="19">
        <v>797</v>
      </c>
      <c r="G1202" s="20">
        <f>F1202+(VLOOKUP(D1202,'(Semelles.Monument.€HT)'!C:G,3,FALSE()))</f>
        <v>955</v>
      </c>
      <c r="H1202" s="21">
        <f>F1202+(VLOOKUP(D1202,'(Semelles.Monument.€HT)'!C:G,4,FALSE()))</f>
        <v>1001</v>
      </c>
      <c r="I1202" s="22">
        <f>F1202+(VLOOKUP(D1202,'(Semelles.Monument.€HT)'!C:G,5,FALSE()))</f>
        <v>1049</v>
      </c>
    </row>
    <row r="1203" spans="1:9" ht="26" customHeight="1">
      <c r="A1203" s="2" t="s">
        <v>156</v>
      </c>
      <c r="B1203" s="13" t="s">
        <v>172</v>
      </c>
      <c r="C1203" s="13" t="s">
        <v>97</v>
      </c>
      <c r="D1203" s="13">
        <v>2</v>
      </c>
      <c r="E1203" s="2" t="s">
        <v>99</v>
      </c>
      <c r="F1203" s="7">
        <v>796</v>
      </c>
      <c r="G1203" s="3">
        <f>F1203+(VLOOKUP(D1203,'(Semelles.Monument.€HT)'!C:G,3,FALSE()))</f>
        <v>954</v>
      </c>
      <c r="H1203" s="4">
        <f>F1203+(VLOOKUP(D1203,'(Semelles.Monument.€HT)'!C:G,4,FALSE()))</f>
        <v>1000</v>
      </c>
      <c r="I1203" s="5">
        <f>F1203+(VLOOKUP(D1203,'(Semelles.Monument.€HT)'!C:G,5,FALSE()))</f>
        <v>1048</v>
      </c>
    </row>
    <row r="1204" spans="1:9" ht="26" customHeight="1">
      <c r="A1204" s="17" t="s">
        <v>156</v>
      </c>
      <c r="B1204" s="18" t="s">
        <v>172</v>
      </c>
      <c r="C1204" s="18" t="s">
        <v>97</v>
      </c>
      <c r="D1204" s="18">
        <v>3</v>
      </c>
      <c r="E1204" s="17" t="s">
        <v>100</v>
      </c>
      <c r="F1204" s="19">
        <v>885</v>
      </c>
      <c r="G1204" s="20">
        <f>F1204+(VLOOKUP(D1204,'(Semelles.Monument.€HT)'!C:G,3,FALSE()))</f>
        <v>1061</v>
      </c>
      <c r="H1204" s="21">
        <f>F1204+(VLOOKUP(D1204,'(Semelles.Monument.€HT)'!C:G,4,FALSE()))</f>
        <v>1112</v>
      </c>
      <c r="I1204" s="22">
        <f>F1204+(VLOOKUP(D1204,'(Semelles.Monument.€HT)'!C:G,5,FALSE()))</f>
        <v>1165</v>
      </c>
    </row>
    <row r="1205" spans="1:9" ht="26" customHeight="1">
      <c r="A1205" s="2" t="s">
        <v>156</v>
      </c>
      <c r="B1205" s="13" t="s">
        <v>172</v>
      </c>
      <c r="C1205" s="13" t="s">
        <v>97</v>
      </c>
      <c r="D1205" s="13">
        <v>4</v>
      </c>
      <c r="E1205" s="2" t="s">
        <v>101</v>
      </c>
      <c r="F1205" s="7">
        <v>900</v>
      </c>
      <c r="G1205" s="3">
        <f>F1205+(VLOOKUP(D1205,'(Semelles.Monument.€HT)'!C:G,3,FALSE()))</f>
        <v>1079</v>
      </c>
      <c r="H1205" s="4">
        <f>F1205+(VLOOKUP(D1205,'(Semelles.Monument.€HT)'!C:G,4,FALSE()))</f>
        <v>1131</v>
      </c>
      <c r="I1205" s="5">
        <f>F1205+(VLOOKUP(D1205,'(Semelles.Monument.€HT)'!C:G,5,FALSE()))</f>
        <v>1185</v>
      </c>
    </row>
    <row r="1206" spans="1:9" ht="26" customHeight="1">
      <c r="A1206" s="17" t="s">
        <v>156</v>
      </c>
      <c r="B1206" s="18" t="s">
        <v>172</v>
      </c>
      <c r="C1206" s="18" t="s">
        <v>97</v>
      </c>
      <c r="D1206" s="18">
        <v>5</v>
      </c>
      <c r="E1206" s="17" t="s">
        <v>102</v>
      </c>
      <c r="F1206" s="19">
        <v>900</v>
      </c>
      <c r="G1206" s="20">
        <f>F1206+(VLOOKUP(D1206,'(Semelles.Monument.€HT)'!C:G,3,FALSE()))</f>
        <v>1079</v>
      </c>
      <c r="H1206" s="21">
        <f>F1206+(VLOOKUP(D1206,'(Semelles.Monument.€HT)'!C:G,4,FALSE()))</f>
        <v>1131</v>
      </c>
      <c r="I1206" s="22">
        <f>F1206+(VLOOKUP(D1206,'(Semelles.Monument.€HT)'!C:G,5,FALSE()))</f>
        <v>1185</v>
      </c>
    </row>
    <row r="1207" spans="1:9" ht="26" customHeight="1">
      <c r="A1207" s="2" t="s">
        <v>156</v>
      </c>
      <c r="B1207" s="13" t="s">
        <v>172</v>
      </c>
      <c r="C1207" s="13" t="s">
        <v>97</v>
      </c>
      <c r="D1207" s="13">
        <v>6</v>
      </c>
      <c r="E1207" s="2" t="s">
        <v>103</v>
      </c>
      <c r="F1207" s="7">
        <v>905</v>
      </c>
      <c r="G1207" s="3">
        <f>F1207+(VLOOKUP(D1207,'(Semelles.Monument.€HT)'!C:G,3,FALSE()))</f>
        <v>1085</v>
      </c>
      <c r="H1207" s="4">
        <f>F1207+(VLOOKUP(D1207,'(Semelles.Monument.€HT)'!C:G,4,FALSE()))</f>
        <v>1137</v>
      </c>
      <c r="I1207" s="5">
        <f>F1207+(VLOOKUP(D1207,'(Semelles.Monument.€HT)'!C:G,5,FALSE()))</f>
        <v>1192</v>
      </c>
    </row>
    <row r="1208" spans="1:9" ht="26" customHeight="1">
      <c r="A1208" s="17" t="s">
        <v>156</v>
      </c>
      <c r="B1208" s="18" t="s">
        <v>172</v>
      </c>
      <c r="C1208" s="18" t="s">
        <v>97</v>
      </c>
      <c r="D1208" s="18">
        <v>7</v>
      </c>
      <c r="E1208" s="17" t="s">
        <v>104</v>
      </c>
      <c r="F1208" s="19">
        <v>905</v>
      </c>
      <c r="G1208" s="20">
        <f>F1208+(VLOOKUP(D1208,'(Semelles.Monument.€HT)'!C:G,3,FALSE()))</f>
        <v>1085</v>
      </c>
      <c r="H1208" s="21">
        <f>F1208+(VLOOKUP(D1208,'(Semelles.Monument.€HT)'!C:G,4,FALSE()))</f>
        <v>1137</v>
      </c>
      <c r="I1208" s="22">
        <f>F1208+(VLOOKUP(D1208,'(Semelles.Monument.€HT)'!C:G,5,FALSE()))</f>
        <v>1192</v>
      </c>
    </row>
    <row r="1209" spans="1:9" ht="26" customHeight="1">
      <c r="A1209" s="2" t="s">
        <v>156</v>
      </c>
      <c r="B1209" s="13" t="s">
        <v>172</v>
      </c>
      <c r="C1209" s="13" t="s">
        <v>97</v>
      </c>
      <c r="D1209" s="13">
        <v>8</v>
      </c>
      <c r="E1209" s="2" t="s">
        <v>105</v>
      </c>
      <c r="F1209" s="7">
        <v>905</v>
      </c>
      <c r="G1209" s="3">
        <f>F1209+(VLOOKUP(D1209,'(Semelles.Monument.€HT)'!C:G,3,FALSE()))</f>
        <v>1085</v>
      </c>
      <c r="H1209" s="4">
        <f>F1209+(VLOOKUP(D1209,'(Semelles.Monument.€HT)'!C:G,4,FALSE()))</f>
        <v>1137</v>
      </c>
      <c r="I1209" s="5">
        <f>F1209+(VLOOKUP(D1209,'(Semelles.Monument.€HT)'!C:G,5,FALSE()))</f>
        <v>1192</v>
      </c>
    </row>
    <row r="1210" spans="1:9" ht="26" customHeight="1">
      <c r="A1210" s="17" t="s">
        <v>156</v>
      </c>
      <c r="B1210" s="18" t="s">
        <v>172</v>
      </c>
      <c r="C1210" s="18" t="s">
        <v>97</v>
      </c>
      <c r="D1210" s="18">
        <v>9</v>
      </c>
      <c r="E1210" s="17" t="s">
        <v>106</v>
      </c>
      <c r="F1210" s="19">
        <v>905</v>
      </c>
      <c r="G1210" s="20">
        <f>F1210+(VLOOKUP(D1210,'(Semelles.Monument.€HT)'!C:G,3,FALSE()))</f>
        <v>1085</v>
      </c>
      <c r="H1210" s="21">
        <f>F1210+(VLOOKUP(D1210,'(Semelles.Monument.€HT)'!C:G,4,FALSE()))</f>
        <v>1137</v>
      </c>
      <c r="I1210" s="22">
        <f>F1210+(VLOOKUP(D1210,'(Semelles.Monument.€HT)'!C:G,5,FALSE()))</f>
        <v>1192</v>
      </c>
    </row>
    <row r="1211" spans="1:9" ht="26" customHeight="1">
      <c r="A1211" s="2" t="s">
        <v>156</v>
      </c>
      <c r="B1211" s="13" t="s">
        <v>172</v>
      </c>
      <c r="C1211" s="13" t="s">
        <v>97</v>
      </c>
      <c r="D1211" s="13">
        <v>10</v>
      </c>
      <c r="E1211" s="2" t="s">
        <v>107</v>
      </c>
      <c r="F1211" s="7">
        <v>905</v>
      </c>
      <c r="G1211" s="3">
        <f>F1211+(VLOOKUP(D1211,'(Semelles.Monument.€HT)'!C:G,3,FALSE()))</f>
        <v>1085</v>
      </c>
      <c r="H1211" s="4">
        <f>F1211+(VLOOKUP(D1211,'(Semelles.Monument.€HT)'!C:G,4,FALSE()))</f>
        <v>1137</v>
      </c>
      <c r="I1211" s="5">
        <f>F1211+(VLOOKUP(D1211,'(Semelles.Monument.€HT)'!C:G,5,FALSE()))</f>
        <v>1192</v>
      </c>
    </row>
    <row r="1212" spans="1:9" ht="26" customHeight="1">
      <c r="A1212" s="17" t="s">
        <v>156</v>
      </c>
      <c r="B1212" s="18" t="s">
        <v>172</v>
      </c>
      <c r="C1212" s="18" t="s">
        <v>97</v>
      </c>
      <c r="D1212" s="18">
        <v>11</v>
      </c>
      <c r="E1212" s="17" t="s">
        <v>108</v>
      </c>
      <c r="F1212" s="19">
        <v>905</v>
      </c>
      <c r="G1212" s="20">
        <f>F1212+(VLOOKUP(D1212,'(Semelles.Monument.€HT)'!C:G,3,FALSE()))</f>
        <v>1085</v>
      </c>
      <c r="H1212" s="21">
        <f>F1212+(VLOOKUP(D1212,'(Semelles.Monument.€HT)'!C:G,4,FALSE()))</f>
        <v>1137</v>
      </c>
      <c r="I1212" s="22">
        <f>F1212+(VLOOKUP(D1212,'(Semelles.Monument.€HT)'!C:G,5,FALSE()))</f>
        <v>1192</v>
      </c>
    </row>
    <row r="1213" spans="1:9" ht="26" customHeight="1">
      <c r="A1213" s="2" t="s">
        <v>156</v>
      </c>
      <c r="B1213" s="13" t="s">
        <v>172</v>
      </c>
      <c r="C1213" s="13" t="s">
        <v>97</v>
      </c>
      <c r="D1213" s="13">
        <v>12</v>
      </c>
      <c r="E1213" s="2" t="s">
        <v>109</v>
      </c>
      <c r="F1213" s="7">
        <v>918</v>
      </c>
      <c r="G1213" s="3">
        <f>F1213+(VLOOKUP(D1213,'(Semelles.Monument.€HT)'!C:G,3,FALSE()))</f>
        <v>1100</v>
      </c>
      <c r="H1213" s="4">
        <f>F1213+(VLOOKUP(D1213,'(Semelles.Monument.€HT)'!C:G,4,FALSE()))</f>
        <v>1153</v>
      </c>
      <c r="I1213" s="5">
        <f>F1213+(VLOOKUP(D1213,'(Semelles.Monument.€HT)'!C:G,5,FALSE()))</f>
        <v>1209</v>
      </c>
    </row>
    <row r="1214" spans="1:9" ht="26" customHeight="1">
      <c r="A1214" s="17" t="s">
        <v>156</v>
      </c>
      <c r="B1214" s="18" t="s">
        <v>172</v>
      </c>
      <c r="C1214" s="18" t="s">
        <v>97</v>
      </c>
      <c r="D1214" s="18">
        <v>13</v>
      </c>
      <c r="E1214" s="17" t="s">
        <v>110</v>
      </c>
      <c r="F1214" s="19">
        <v>918</v>
      </c>
      <c r="G1214" s="20">
        <f>F1214+(VLOOKUP(D1214,'(Semelles.Monument.€HT)'!C:G,3,FALSE()))</f>
        <v>1100</v>
      </c>
      <c r="H1214" s="21">
        <f>F1214+(VLOOKUP(D1214,'(Semelles.Monument.€HT)'!C:G,4,FALSE()))</f>
        <v>1153</v>
      </c>
      <c r="I1214" s="22">
        <f>F1214+(VLOOKUP(D1214,'(Semelles.Monument.€HT)'!C:G,5,FALSE()))</f>
        <v>1209</v>
      </c>
    </row>
    <row r="1215" spans="1:9" ht="26" customHeight="1">
      <c r="A1215" s="2" t="s">
        <v>156</v>
      </c>
      <c r="B1215" s="13" t="s">
        <v>172</v>
      </c>
      <c r="C1215" s="13" t="s">
        <v>97</v>
      </c>
      <c r="D1215" s="13">
        <v>14</v>
      </c>
      <c r="E1215" s="2" t="s">
        <v>111</v>
      </c>
      <c r="F1215" s="7">
        <v>921</v>
      </c>
      <c r="G1215" s="3">
        <f>F1215+(VLOOKUP(D1215,'(Semelles.Monument.€HT)'!C:G,3,FALSE()))</f>
        <v>1104</v>
      </c>
      <c r="H1215" s="4">
        <f>F1215+(VLOOKUP(D1215,'(Semelles.Monument.€HT)'!C:G,4,FALSE()))</f>
        <v>1157</v>
      </c>
      <c r="I1215" s="5">
        <f>F1215+(VLOOKUP(D1215,'(Semelles.Monument.€HT)'!C:G,5,FALSE()))</f>
        <v>1213</v>
      </c>
    </row>
    <row r="1216" spans="1:9" ht="26" customHeight="1">
      <c r="A1216" s="17" t="s">
        <v>156</v>
      </c>
      <c r="B1216" s="18" t="s">
        <v>172</v>
      </c>
      <c r="C1216" s="18" t="s">
        <v>97</v>
      </c>
      <c r="D1216" s="18">
        <v>15</v>
      </c>
      <c r="E1216" s="17" t="s">
        <v>112</v>
      </c>
      <c r="F1216" s="19">
        <v>921</v>
      </c>
      <c r="G1216" s="20">
        <f>F1216+(VLOOKUP(D1216,'(Semelles.Monument.€HT)'!C:G,3,FALSE()))</f>
        <v>1104</v>
      </c>
      <c r="H1216" s="21">
        <f>F1216+(VLOOKUP(D1216,'(Semelles.Monument.€HT)'!C:G,4,FALSE()))</f>
        <v>1157</v>
      </c>
      <c r="I1216" s="22">
        <f>F1216+(VLOOKUP(D1216,'(Semelles.Monument.€HT)'!C:G,5,FALSE()))</f>
        <v>1213</v>
      </c>
    </row>
    <row r="1217" spans="1:9" ht="26" customHeight="1">
      <c r="A1217" s="2" t="s">
        <v>156</v>
      </c>
      <c r="B1217" s="13" t="s">
        <v>172</v>
      </c>
      <c r="C1217" s="13" t="s">
        <v>97</v>
      </c>
      <c r="D1217" s="13">
        <v>16</v>
      </c>
      <c r="E1217" s="2" t="s">
        <v>113</v>
      </c>
      <c r="F1217" s="7">
        <v>921</v>
      </c>
      <c r="G1217" s="3">
        <f>F1217+(VLOOKUP(D1217,'(Semelles.Monument.€HT)'!C:G,3,FALSE()))</f>
        <v>1104</v>
      </c>
      <c r="H1217" s="4">
        <f>F1217+(VLOOKUP(D1217,'(Semelles.Monument.€HT)'!C:G,4,FALSE()))</f>
        <v>1157</v>
      </c>
      <c r="I1217" s="5">
        <f>F1217+(VLOOKUP(D1217,'(Semelles.Monument.€HT)'!C:G,5,FALSE()))</f>
        <v>1213</v>
      </c>
    </row>
    <row r="1218" spans="1:9" ht="26" customHeight="1">
      <c r="A1218" s="17" t="s">
        <v>156</v>
      </c>
      <c r="B1218" s="18" t="s">
        <v>172</v>
      </c>
      <c r="C1218" s="18" t="s">
        <v>97</v>
      </c>
      <c r="D1218" s="18">
        <v>17</v>
      </c>
      <c r="E1218" s="17" t="s">
        <v>114</v>
      </c>
      <c r="F1218" s="19">
        <v>937</v>
      </c>
      <c r="G1218" s="20">
        <f>F1218+(VLOOKUP(D1218,'(Semelles.Monument.€HT)'!C:G,3,FALSE()))</f>
        <v>1123</v>
      </c>
      <c r="H1218" s="21">
        <f>F1218+(VLOOKUP(D1218,'(Semelles.Monument.€HT)'!C:G,4,FALSE()))</f>
        <v>1177</v>
      </c>
      <c r="I1218" s="22">
        <f>F1218+(VLOOKUP(D1218,'(Semelles.Monument.€HT)'!C:G,5,FALSE()))</f>
        <v>1234</v>
      </c>
    </row>
    <row r="1219" spans="1:9" ht="26" customHeight="1">
      <c r="A1219" s="2" t="s">
        <v>156</v>
      </c>
      <c r="B1219" s="13" t="s">
        <v>172</v>
      </c>
      <c r="C1219" s="13" t="s">
        <v>97</v>
      </c>
      <c r="D1219" s="13">
        <v>18</v>
      </c>
      <c r="E1219" s="2" t="s">
        <v>115</v>
      </c>
      <c r="F1219" s="7">
        <v>937</v>
      </c>
      <c r="G1219" s="3">
        <f>F1219+(VLOOKUP(D1219,'(Semelles.Monument.€HT)'!C:G,3,FALSE()))</f>
        <v>1123</v>
      </c>
      <c r="H1219" s="4">
        <f>F1219+(VLOOKUP(D1219,'(Semelles.Monument.€HT)'!C:G,4,FALSE()))</f>
        <v>1177</v>
      </c>
      <c r="I1219" s="5">
        <f>F1219+(VLOOKUP(D1219,'(Semelles.Monument.€HT)'!C:G,5,FALSE()))</f>
        <v>1234</v>
      </c>
    </row>
    <row r="1220" spans="1:9" ht="26" customHeight="1">
      <c r="A1220" s="17" t="s">
        <v>156</v>
      </c>
      <c r="B1220" s="18" t="s">
        <v>172</v>
      </c>
      <c r="C1220" s="18" t="s">
        <v>97</v>
      </c>
      <c r="D1220" s="18">
        <v>19</v>
      </c>
      <c r="E1220" s="17" t="s">
        <v>116</v>
      </c>
      <c r="F1220" s="19">
        <v>937</v>
      </c>
      <c r="G1220" s="20">
        <f>F1220+(VLOOKUP(D1220,'(Semelles.Monument.€HT)'!C:G,3,FALSE()))</f>
        <v>1123</v>
      </c>
      <c r="H1220" s="21">
        <f>F1220+(VLOOKUP(D1220,'(Semelles.Monument.€HT)'!C:G,4,FALSE()))</f>
        <v>1177</v>
      </c>
      <c r="I1220" s="22">
        <f>F1220+(VLOOKUP(D1220,'(Semelles.Monument.€HT)'!C:G,5,FALSE()))</f>
        <v>1234</v>
      </c>
    </row>
    <row r="1221" spans="1:9" ht="26" customHeight="1">
      <c r="A1221" s="2" t="s">
        <v>156</v>
      </c>
      <c r="B1221" s="13" t="s">
        <v>172</v>
      </c>
      <c r="C1221" s="13" t="s">
        <v>97</v>
      </c>
      <c r="D1221" s="13">
        <v>20</v>
      </c>
      <c r="E1221" s="2" t="s">
        <v>117</v>
      </c>
      <c r="F1221" s="7">
        <v>944</v>
      </c>
      <c r="G1221" s="3">
        <f>F1221+(VLOOKUP(D1221,'(Semelles.Monument.€HT)'!C:G,3,FALSE()))</f>
        <v>1132</v>
      </c>
      <c r="H1221" s="4">
        <f>F1221+(VLOOKUP(D1221,'(Semelles.Monument.€HT)'!C:G,4,FALSE()))</f>
        <v>1186</v>
      </c>
      <c r="I1221" s="5">
        <f>F1221+(VLOOKUP(D1221,'(Semelles.Monument.€HT)'!C:G,5,FALSE()))</f>
        <v>1243</v>
      </c>
    </row>
    <row r="1222" spans="1:9" ht="26" customHeight="1">
      <c r="A1222" s="17" t="s">
        <v>156</v>
      </c>
      <c r="B1222" s="18" t="s">
        <v>172</v>
      </c>
      <c r="C1222" s="18" t="s">
        <v>97</v>
      </c>
      <c r="D1222" s="18">
        <v>21</v>
      </c>
      <c r="E1222" s="17" t="s">
        <v>118</v>
      </c>
      <c r="F1222" s="19">
        <v>950</v>
      </c>
      <c r="G1222" s="20">
        <f>F1222+(VLOOKUP(D1222,'(Semelles.Monument.€HT)'!C:G,3,FALSE()))</f>
        <v>1139</v>
      </c>
      <c r="H1222" s="21">
        <f>F1222+(VLOOKUP(D1222,'(Semelles.Monument.€HT)'!C:G,4,FALSE()))</f>
        <v>1193</v>
      </c>
      <c r="I1222" s="22">
        <f>F1222+(VLOOKUP(D1222,'(Semelles.Monument.€HT)'!C:G,5,FALSE()))</f>
        <v>1251</v>
      </c>
    </row>
    <row r="1223" spans="1:9" ht="26" customHeight="1">
      <c r="A1223" s="2" t="s">
        <v>156</v>
      </c>
      <c r="B1223" s="13" t="s">
        <v>172</v>
      </c>
      <c r="C1223" s="13" t="s">
        <v>97</v>
      </c>
      <c r="D1223" s="13">
        <v>22</v>
      </c>
      <c r="E1223" s="2" t="s">
        <v>119</v>
      </c>
      <c r="F1223" s="7">
        <v>950</v>
      </c>
      <c r="G1223" s="3">
        <f>F1223+(VLOOKUP(D1223,'(Semelles.Monument.€HT)'!C:G,3,FALSE()))</f>
        <v>1139</v>
      </c>
      <c r="H1223" s="4">
        <f>F1223+(VLOOKUP(D1223,'(Semelles.Monument.€HT)'!C:G,4,FALSE()))</f>
        <v>1193</v>
      </c>
      <c r="I1223" s="5">
        <f>F1223+(VLOOKUP(D1223,'(Semelles.Monument.€HT)'!C:G,5,FALSE()))</f>
        <v>1251</v>
      </c>
    </row>
    <row r="1224" spans="1:9" ht="26" customHeight="1">
      <c r="A1224" s="17" t="s">
        <v>156</v>
      </c>
      <c r="B1224" s="18" t="s">
        <v>172</v>
      </c>
      <c r="C1224" s="18" t="s">
        <v>97</v>
      </c>
      <c r="D1224" s="18">
        <v>23</v>
      </c>
      <c r="E1224" s="17" t="s">
        <v>120</v>
      </c>
      <c r="F1224" s="19">
        <v>964</v>
      </c>
      <c r="G1224" s="20">
        <f>F1224+(VLOOKUP(D1224,'(Semelles.Monument.€HT)'!C:G,3,FALSE()))</f>
        <v>1156</v>
      </c>
      <c r="H1224" s="21">
        <f>F1224+(VLOOKUP(D1224,'(Semelles.Monument.€HT)'!C:G,4,FALSE()))</f>
        <v>1211</v>
      </c>
      <c r="I1224" s="22">
        <f>F1224+(VLOOKUP(D1224,'(Semelles.Monument.€HT)'!C:G,5,FALSE()))</f>
        <v>1269</v>
      </c>
    </row>
    <row r="1225" spans="1:9" ht="26" customHeight="1">
      <c r="A1225" s="2" t="s">
        <v>156</v>
      </c>
      <c r="B1225" s="13" t="s">
        <v>172</v>
      </c>
      <c r="C1225" s="13" t="s">
        <v>97</v>
      </c>
      <c r="D1225" s="13">
        <v>24</v>
      </c>
      <c r="E1225" s="2" t="s">
        <v>121</v>
      </c>
      <c r="F1225" s="7">
        <v>964</v>
      </c>
      <c r="G1225" s="3">
        <f>F1225+(VLOOKUP(D1225,'(Semelles.Monument.€HT)'!C:G,3,FALSE()))</f>
        <v>1156</v>
      </c>
      <c r="H1225" s="4">
        <f>F1225+(VLOOKUP(D1225,'(Semelles.Monument.€HT)'!C:G,4,FALSE()))</f>
        <v>1211</v>
      </c>
      <c r="I1225" s="5">
        <f>F1225+(VLOOKUP(D1225,'(Semelles.Monument.€HT)'!C:G,5,FALSE()))</f>
        <v>1269</v>
      </c>
    </row>
    <row r="1226" spans="1:9" ht="26" customHeight="1">
      <c r="A1226" s="17" t="s">
        <v>156</v>
      </c>
      <c r="B1226" s="18" t="s">
        <v>172</v>
      </c>
      <c r="C1226" s="18" t="s">
        <v>97</v>
      </c>
      <c r="D1226" s="18">
        <v>25</v>
      </c>
      <c r="E1226" s="17" t="s">
        <v>122</v>
      </c>
      <c r="F1226" s="19">
        <v>964</v>
      </c>
      <c r="G1226" s="20">
        <f>F1226+(VLOOKUP(D1226,'(Semelles.Monument.€HT)'!C:G,3,FALSE()))</f>
        <v>1156</v>
      </c>
      <c r="H1226" s="21">
        <f>F1226+(VLOOKUP(D1226,'(Semelles.Monument.€HT)'!C:G,4,FALSE()))</f>
        <v>1211</v>
      </c>
      <c r="I1226" s="22">
        <f>F1226+(VLOOKUP(D1226,'(Semelles.Monument.€HT)'!C:G,5,FALSE()))</f>
        <v>1269</v>
      </c>
    </row>
    <row r="1227" spans="1:9" ht="26" customHeight="1">
      <c r="A1227" s="2" t="s">
        <v>156</v>
      </c>
      <c r="B1227" s="13" t="s">
        <v>172</v>
      </c>
      <c r="C1227" s="13" t="s">
        <v>97</v>
      </c>
      <c r="D1227" s="13">
        <v>26</v>
      </c>
      <c r="E1227" s="2" t="s">
        <v>123</v>
      </c>
      <c r="F1227" s="7">
        <v>980</v>
      </c>
      <c r="G1227" s="3">
        <f>F1227+(VLOOKUP(D1227,'(Semelles.Monument.€HT)'!C:G,3,FALSE()))</f>
        <v>1175</v>
      </c>
      <c r="H1227" s="4">
        <f>F1227+(VLOOKUP(D1227,'(Semelles.Monument.€HT)'!C:G,4,FALSE()))</f>
        <v>1231</v>
      </c>
      <c r="I1227" s="5">
        <f>F1227+(VLOOKUP(D1227,'(Semelles.Monument.€HT)'!C:G,5,FALSE()))</f>
        <v>1290</v>
      </c>
    </row>
    <row r="1228" spans="1:9" ht="26" customHeight="1">
      <c r="A1228" s="17" t="s">
        <v>156</v>
      </c>
      <c r="B1228" s="18" t="s">
        <v>172</v>
      </c>
      <c r="C1228" s="18" t="s">
        <v>97</v>
      </c>
      <c r="D1228" s="18">
        <v>27</v>
      </c>
      <c r="E1228" s="17" t="s">
        <v>124</v>
      </c>
      <c r="F1228" s="19">
        <v>1045</v>
      </c>
      <c r="G1228" s="20">
        <f>F1228+(VLOOKUP(D1228,'(Semelles.Monument.€HT)'!C:G,3,FALSE()))</f>
        <v>1253</v>
      </c>
      <c r="H1228" s="21">
        <f>F1228+(VLOOKUP(D1228,'(Semelles.Monument.€HT)'!C:G,4,FALSE()))</f>
        <v>1313</v>
      </c>
      <c r="I1228" s="22">
        <f>F1228+(VLOOKUP(D1228,'(Semelles.Monument.€HT)'!C:G,5,FALSE()))</f>
        <v>1412</v>
      </c>
    </row>
    <row r="1229" spans="1:9" ht="26" customHeight="1">
      <c r="A1229" s="2" t="s">
        <v>156</v>
      </c>
      <c r="B1229" s="13" t="s">
        <v>172</v>
      </c>
      <c r="C1229" s="13" t="s">
        <v>97</v>
      </c>
      <c r="D1229" s="13">
        <v>28</v>
      </c>
      <c r="E1229" s="2" t="s">
        <v>125</v>
      </c>
      <c r="F1229" s="7">
        <v>1158</v>
      </c>
      <c r="G1229" s="3">
        <f>F1229+(VLOOKUP(D1229,'(Semelles.Monument.€HT)'!C:G,3,FALSE()))</f>
        <v>1388</v>
      </c>
      <c r="H1229" s="4">
        <f>F1229+(VLOOKUP(D1229,'(Semelles.Monument.€HT)'!C:G,4,FALSE()))</f>
        <v>1455</v>
      </c>
      <c r="I1229" s="5">
        <f>F1229+(VLOOKUP(D1229,'(Semelles.Monument.€HT)'!C:G,5,FALSE()))</f>
        <v>1525</v>
      </c>
    </row>
    <row r="1230" spans="1:9" ht="26" customHeight="1">
      <c r="A1230" s="17" t="s">
        <v>156</v>
      </c>
      <c r="B1230" s="18" t="s">
        <v>172</v>
      </c>
      <c r="C1230" s="18" t="s">
        <v>97</v>
      </c>
      <c r="D1230" s="18">
        <v>29</v>
      </c>
      <c r="E1230" s="17" t="s">
        <v>126</v>
      </c>
      <c r="F1230" s="19">
        <v>1206</v>
      </c>
      <c r="G1230" s="20">
        <f>F1230+(VLOOKUP(D1230,'(Semelles.Monument.€HT)'!C:G,3,FALSE()))</f>
        <v>1446</v>
      </c>
      <c r="H1230" s="21">
        <f>F1230+(VLOOKUP(D1230,'(Semelles.Monument.€HT)'!C:G,4,FALSE()))</f>
        <v>1515</v>
      </c>
      <c r="I1230" s="22">
        <f>F1230+(VLOOKUP(D1230,'(Semelles.Monument.€HT)'!C:G,5,FALSE()))</f>
        <v>1588</v>
      </c>
    </row>
    <row r="1231" spans="1:9" ht="26" customHeight="1">
      <c r="A1231" s="2" t="s">
        <v>156</v>
      </c>
      <c r="B1231" s="13" t="s">
        <v>172</v>
      </c>
      <c r="C1231" s="13" t="s">
        <v>97</v>
      </c>
      <c r="D1231" s="13">
        <v>30</v>
      </c>
      <c r="E1231" s="2" t="s">
        <v>127</v>
      </c>
      <c r="F1231" s="7">
        <v>1206</v>
      </c>
      <c r="G1231" s="3">
        <f>F1231+(VLOOKUP(D1231,'(Semelles.Monument.€HT)'!C:G,3,FALSE()))</f>
        <v>1446</v>
      </c>
      <c r="H1231" s="4">
        <f>F1231+(VLOOKUP(D1231,'(Semelles.Monument.€HT)'!C:G,4,FALSE()))</f>
        <v>1515</v>
      </c>
      <c r="I1231" s="5">
        <f>F1231+(VLOOKUP(D1231,'(Semelles.Monument.€HT)'!C:G,5,FALSE()))</f>
        <v>1588</v>
      </c>
    </row>
    <row r="1232" spans="1:9" ht="26" customHeight="1">
      <c r="A1232" s="17" t="s">
        <v>156</v>
      </c>
      <c r="B1232" s="18" t="s">
        <v>172</v>
      </c>
      <c r="C1232" s="18" t="s">
        <v>128</v>
      </c>
      <c r="D1232" s="18">
        <v>31</v>
      </c>
      <c r="E1232" s="17" t="s">
        <v>129</v>
      </c>
      <c r="F1232" s="19">
        <v>694</v>
      </c>
      <c r="G1232" s="20">
        <f>F1232+(VLOOKUP(D1232,'(Semelles.Monument.€HT)'!C:G,3,FALSE()))</f>
        <v>826</v>
      </c>
      <c r="H1232" s="21">
        <f>F1232+(VLOOKUP(D1232,'(Semelles.Monument.€HT)'!C:G,4,FALSE()))</f>
        <v>864</v>
      </c>
      <c r="I1232" s="22">
        <f>F1232+(VLOOKUP(D1232,'(Semelles.Monument.€HT)'!C:G,5,FALSE()))</f>
        <v>904</v>
      </c>
    </row>
    <row r="1233" spans="1:9" ht="26" customHeight="1">
      <c r="A1233" s="2" t="s">
        <v>156</v>
      </c>
      <c r="B1233" s="13" t="s">
        <v>172</v>
      </c>
      <c r="C1233" s="13" t="s">
        <v>128</v>
      </c>
      <c r="D1233" s="13">
        <v>32</v>
      </c>
      <c r="E1233" s="2" t="s">
        <v>130</v>
      </c>
      <c r="F1233" s="7">
        <v>704</v>
      </c>
      <c r="G1233" s="3">
        <f>F1233+(VLOOKUP(D1233,'(Semelles.Monument.€HT)'!C:G,3,FALSE()))</f>
        <v>838</v>
      </c>
      <c r="H1233" s="4">
        <f>F1233+(VLOOKUP(D1233,'(Semelles.Monument.€HT)'!C:G,4,FALSE()))</f>
        <v>877</v>
      </c>
      <c r="I1233" s="5">
        <f>F1233+(VLOOKUP(D1233,'(Semelles.Monument.€HT)'!C:G,5,FALSE()))</f>
        <v>917</v>
      </c>
    </row>
    <row r="1234" spans="1:9" ht="26" customHeight="1">
      <c r="A1234" s="17" t="s">
        <v>156</v>
      </c>
      <c r="B1234" s="18" t="s">
        <v>172</v>
      </c>
      <c r="C1234" s="18" t="s">
        <v>128</v>
      </c>
      <c r="D1234" s="18">
        <v>33</v>
      </c>
      <c r="E1234" s="17" t="s">
        <v>131</v>
      </c>
      <c r="F1234" s="19">
        <v>704</v>
      </c>
      <c r="G1234" s="20">
        <f>F1234+(VLOOKUP(D1234,'(Semelles.Monument.€HT)'!C:G,3,FALSE()))</f>
        <v>838</v>
      </c>
      <c r="H1234" s="21">
        <f>F1234+(VLOOKUP(D1234,'(Semelles.Monument.€HT)'!C:G,4,FALSE()))</f>
        <v>877</v>
      </c>
      <c r="I1234" s="22">
        <f>F1234+(VLOOKUP(D1234,'(Semelles.Monument.€HT)'!C:G,5,FALSE()))</f>
        <v>917</v>
      </c>
    </row>
    <row r="1235" spans="1:9" ht="26" customHeight="1">
      <c r="A1235" s="2" t="s">
        <v>156</v>
      </c>
      <c r="B1235" s="13" t="s">
        <v>172</v>
      </c>
      <c r="C1235" s="13" t="s">
        <v>128</v>
      </c>
      <c r="D1235" s="13">
        <v>34</v>
      </c>
      <c r="E1235" s="2" t="s">
        <v>132</v>
      </c>
      <c r="F1235" s="7">
        <v>710</v>
      </c>
      <c r="G1235" s="3">
        <f>F1235+(VLOOKUP(D1235,'(Semelles.Monument.€HT)'!C:G,3,FALSE()))</f>
        <v>845</v>
      </c>
      <c r="H1235" s="4">
        <f>F1235+(VLOOKUP(D1235,'(Semelles.Monument.€HT)'!C:G,4,FALSE()))</f>
        <v>884</v>
      </c>
      <c r="I1235" s="5">
        <f>F1235+(VLOOKUP(D1235,'(Semelles.Monument.€HT)'!C:G,5,FALSE()))</f>
        <v>925</v>
      </c>
    </row>
    <row r="1236" spans="1:9" ht="26" customHeight="1">
      <c r="A1236" s="17" t="s">
        <v>156</v>
      </c>
      <c r="B1236" s="18" t="s">
        <v>172</v>
      </c>
      <c r="C1236" s="18" t="s">
        <v>128</v>
      </c>
      <c r="D1236" s="18">
        <v>35</v>
      </c>
      <c r="E1236" s="17" t="s">
        <v>133</v>
      </c>
      <c r="F1236" s="19">
        <v>848</v>
      </c>
      <c r="G1236" s="20">
        <f>F1236+(VLOOKUP(D1236,'(Semelles.Monument.€HT)'!C:G,3,FALSE()))</f>
        <v>1011</v>
      </c>
      <c r="H1236" s="21">
        <f>F1236+(VLOOKUP(D1236,'(Semelles.Monument.€HT)'!C:G,4,FALSE()))</f>
        <v>1058</v>
      </c>
      <c r="I1236" s="22">
        <f>F1236+(VLOOKUP(D1236,'(Semelles.Monument.€HT)'!C:G,5,FALSE()))</f>
        <v>1107</v>
      </c>
    </row>
    <row r="1237" spans="1:9" ht="26" customHeight="1">
      <c r="A1237" s="2" t="s">
        <v>156</v>
      </c>
      <c r="B1237" s="13" t="s">
        <v>172</v>
      </c>
      <c r="C1237" s="13" t="s">
        <v>128</v>
      </c>
      <c r="D1237" s="13">
        <v>36</v>
      </c>
      <c r="E1237" s="2" t="s">
        <v>134</v>
      </c>
      <c r="F1237" s="7">
        <v>877</v>
      </c>
      <c r="G1237" s="3">
        <f>F1237+(VLOOKUP(D1237,'(Semelles.Monument.€HT)'!C:G,3,FALSE()))</f>
        <v>1045</v>
      </c>
      <c r="H1237" s="4">
        <f>F1237+(VLOOKUP(D1237,'(Semelles.Monument.€HT)'!C:G,4,FALSE()))</f>
        <v>1094</v>
      </c>
      <c r="I1237" s="5">
        <f>F1237+(VLOOKUP(D1237,'(Semelles.Monument.€HT)'!C:G,5,FALSE()))</f>
        <v>1145</v>
      </c>
    </row>
    <row r="1238" spans="1:9" ht="26" customHeight="1">
      <c r="A1238" s="17" t="s">
        <v>156</v>
      </c>
      <c r="B1238" s="18" t="s">
        <v>172</v>
      </c>
      <c r="C1238" s="18" t="s">
        <v>128</v>
      </c>
      <c r="D1238" s="18">
        <v>37</v>
      </c>
      <c r="E1238" s="17" t="s">
        <v>135</v>
      </c>
      <c r="F1238" s="19">
        <v>1077</v>
      </c>
      <c r="G1238" s="20">
        <f>F1238+(VLOOKUP(D1238,'(Semelles.Monument.€HT)'!C:G,3,FALSE()))</f>
        <v>1285</v>
      </c>
      <c r="H1238" s="21">
        <f>F1238+(VLOOKUP(D1238,'(Semelles.Monument.€HT)'!C:G,4,FALSE()))</f>
        <v>1345</v>
      </c>
      <c r="I1238" s="22">
        <f>F1238+(VLOOKUP(D1238,'(Semelles.Monument.€HT)'!C:G,5,FALSE()))</f>
        <v>1409</v>
      </c>
    </row>
    <row r="1239" spans="1:9" ht="26" customHeight="1">
      <c r="A1239" s="2" t="s">
        <v>156</v>
      </c>
      <c r="B1239" s="13" t="s">
        <v>172</v>
      </c>
      <c r="C1239" s="13" t="s">
        <v>128</v>
      </c>
      <c r="D1239" s="13">
        <v>38</v>
      </c>
      <c r="E1239" s="2" t="s">
        <v>136</v>
      </c>
      <c r="F1239" s="7">
        <v>1138</v>
      </c>
      <c r="G1239" s="3">
        <f>F1239+(VLOOKUP(D1239,'(Semelles.Monument.€HT)'!C:G,3,FALSE()))</f>
        <v>1358</v>
      </c>
      <c r="H1239" s="4">
        <f>F1239+(VLOOKUP(D1239,'(Semelles.Monument.€HT)'!C:G,4,FALSE()))</f>
        <v>1422</v>
      </c>
      <c r="I1239" s="5">
        <f>F1239+(VLOOKUP(D1239,'(Semelles.Monument.€HT)'!C:G,5,FALSE()))</f>
        <v>1489</v>
      </c>
    </row>
    <row r="1240" spans="1:9" ht="26" customHeight="1">
      <c r="A1240" s="17" t="s">
        <v>156</v>
      </c>
      <c r="B1240" s="18" t="s">
        <v>172</v>
      </c>
      <c r="C1240" s="18" t="s">
        <v>128</v>
      </c>
      <c r="D1240" s="18">
        <v>39</v>
      </c>
      <c r="E1240" s="17" t="s">
        <v>137</v>
      </c>
      <c r="F1240" s="19">
        <v>1167</v>
      </c>
      <c r="G1240" s="20">
        <f>F1240+(VLOOKUP(D1240,'(Semelles.Monument.€HT)'!C:G,3,FALSE()))</f>
        <v>1393</v>
      </c>
      <c r="H1240" s="21">
        <f>F1240+(VLOOKUP(D1240,'(Semelles.Monument.€HT)'!C:G,4,FALSE()))</f>
        <v>1458</v>
      </c>
      <c r="I1240" s="22">
        <f>F1240+(VLOOKUP(D1240,'(Semelles.Monument.€HT)'!C:G,5,FALSE()))</f>
        <v>1527</v>
      </c>
    </row>
    <row r="1241" spans="1:9" ht="26" customHeight="1">
      <c r="A1241" s="2" t="s">
        <v>156</v>
      </c>
      <c r="B1241" s="13" t="s">
        <v>172</v>
      </c>
      <c r="C1241" s="13" t="s">
        <v>128</v>
      </c>
      <c r="D1241" s="13">
        <v>40</v>
      </c>
      <c r="E1241" s="2" t="s">
        <v>138</v>
      </c>
      <c r="F1241" s="7">
        <v>1200</v>
      </c>
      <c r="G1241" s="3">
        <f>F1241+(VLOOKUP(D1241,'(Semelles.Monument.€HT)'!C:G,3,FALSE()))</f>
        <v>1432</v>
      </c>
      <c r="H1241" s="4">
        <f>F1241+(VLOOKUP(D1241,'(Semelles.Monument.€HT)'!C:G,4,FALSE()))</f>
        <v>1500</v>
      </c>
      <c r="I1241" s="5">
        <f>F1241+(VLOOKUP(D1241,'(Semelles.Monument.€HT)'!C:G,5,FALSE()))</f>
        <v>1570</v>
      </c>
    </row>
    <row r="1242" spans="1:9" ht="26" customHeight="1">
      <c r="A1242" s="17" t="s">
        <v>156</v>
      </c>
      <c r="B1242" s="18" t="s">
        <v>172</v>
      </c>
      <c r="C1242" s="18" t="s">
        <v>128</v>
      </c>
      <c r="D1242" s="18">
        <v>41</v>
      </c>
      <c r="E1242" s="17" t="s">
        <v>139</v>
      </c>
      <c r="F1242" s="19">
        <v>1274</v>
      </c>
      <c r="G1242" s="20">
        <f>F1242+(VLOOKUP(D1242,'(Semelles.Monument.€HT)'!C:G,3,FALSE()))</f>
        <v>1521</v>
      </c>
      <c r="H1242" s="21">
        <f>F1242+(VLOOKUP(D1242,'(Semelles.Monument.€HT)'!C:G,4,FALSE()))</f>
        <v>1593</v>
      </c>
      <c r="I1242" s="22">
        <f>F1242+(VLOOKUP(D1242,'(Semelles.Monument.€HT)'!C:G,5,FALSE()))</f>
        <v>1668</v>
      </c>
    </row>
    <row r="1243" spans="1:9" ht="26" customHeight="1">
      <c r="A1243" s="2" t="s">
        <v>156</v>
      </c>
      <c r="B1243" s="13" t="s">
        <v>172</v>
      </c>
      <c r="C1243" s="13" t="s">
        <v>128</v>
      </c>
      <c r="D1243" s="13">
        <v>42</v>
      </c>
      <c r="E1243" s="2" t="s">
        <v>140</v>
      </c>
      <c r="F1243" s="7">
        <v>1396</v>
      </c>
      <c r="G1243" s="3">
        <f>F1243+(VLOOKUP(D1243,'(Semelles.Monument.€HT)'!C:G,3,FALSE()))</f>
        <v>1667</v>
      </c>
      <c r="H1243" s="4">
        <f>F1243+(VLOOKUP(D1243,'(Semelles.Monument.€HT)'!C:G,4,FALSE()))</f>
        <v>1746</v>
      </c>
      <c r="I1243" s="5">
        <f>F1243+(VLOOKUP(D1243,'(Semelles.Monument.€HT)'!C:G,5,FALSE()))</f>
        <v>1829</v>
      </c>
    </row>
    <row r="1244" spans="1:9" ht="26" customHeight="1">
      <c r="A1244" s="17" t="s">
        <v>156</v>
      </c>
      <c r="B1244" s="18" t="s">
        <v>172</v>
      </c>
      <c r="C1244" s="18" t="s">
        <v>128</v>
      </c>
      <c r="D1244" s="18">
        <v>43</v>
      </c>
      <c r="E1244" s="17" t="s">
        <v>141</v>
      </c>
      <c r="F1244" s="19">
        <v>1396</v>
      </c>
      <c r="G1244" s="20">
        <f>F1244+(VLOOKUP(D1244,'(Semelles.Monument.€HT)'!C:G,3,FALSE()))</f>
        <v>1667</v>
      </c>
      <c r="H1244" s="21">
        <f>F1244+(VLOOKUP(D1244,'(Semelles.Monument.€HT)'!C:G,4,FALSE()))</f>
        <v>1746</v>
      </c>
      <c r="I1244" s="22">
        <f>F1244+(VLOOKUP(D1244,'(Semelles.Monument.€HT)'!C:G,5,FALSE()))</f>
        <v>1829</v>
      </c>
    </row>
    <row r="1245" spans="1:9" ht="26" customHeight="1">
      <c r="A1245" s="2" t="s">
        <v>156</v>
      </c>
      <c r="B1245" s="13" t="s">
        <v>172</v>
      </c>
      <c r="C1245" s="13" t="s">
        <v>128</v>
      </c>
      <c r="D1245" s="13">
        <v>44</v>
      </c>
      <c r="E1245" s="2" t="s">
        <v>142</v>
      </c>
      <c r="F1245" s="7">
        <v>1412</v>
      </c>
      <c r="G1245" s="3">
        <f>F1245+(VLOOKUP(D1245,'(Semelles.Monument.€HT)'!C:G,3,FALSE()))</f>
        <v>1687</v>
      </c>
      <c r="H1245" s="4">
        <f>F1245+(VLOOKUP(D1245,'(Semelles.Monument.€HT)'!C:G,4,FALSE()))</f>
        <v>1766</v>
      </c>
      <c r="I1245" s="5">
        <f>F1245+(VLOOKUP(D1245,'(Semelles.Monument.€HT)'!C:G,5,FALSE()))</f>
        <v>1850</v>
      </c>
    </row>
    <row r="1246" spans="1:9" ht="26" customHeight="1">
      <c r="A1246" s="17" t="s">
        <v>156</v>
      </c>
      <c r="B1246" s="18" t="s">
        <v>172</v>
      </c>
      <c r="C1246" s="18" t="s">
        <v>128</v>
      </c>
      <c r="D1246" s="18">
        <v>45</v>
      </c>
      <c r="E1246" s="17" t="s">
        <v>143</v>
      </c>
      <c r="F1246" s="19">
        <v>1428</v>
      </c>
      <c r="G1246" s="20">
        <f>F1246+(VLOOKUP(D1246,'(Semelles.Monument.€HT)'!C:G,3,FALSE()))</f>
        <v>1706</v>
      </c>
      <c r="H1246" s="21">
        <f>F1246+(VLOOKUP(D1246,'(Semelles.Monument.€HT)'!C:G,4,FALSE()))</f>
        <v>1786</v>
      </c>
      <c r="I1246" s="22">
        <f>F1246+(VLOOKUP(D1246,'(Semelles.Monument.€HT)'!C:G,5,FALSE()))</f>
        <v>1871</v>
      </c>
    </row>
    <row r="1247" spans="1:9" ht="26" customHeight="1">
      <c r="A1247" s="2" t="s">
        <v>156</v>
      </c>
      <c r="B1247" s="13" t="s">
        <v>172</v>
      </c>
      <c r="C1247" s="13" t="s">
        <v>128</v>
      </c>
      <c r="D1247" s="13">
        <v>46</v>
      </c>
      <c r="E1247" s="2" t="s">
        <v>144</v>
      </c>
      <c r="F1247" s="7">
        <v>1428</v>
      </c>
      <c r="G1247" s="3">
        <f>F1247+(VLOOKUP(D1247,'(Semelles.Monument.€HT)'!C:G,3,FALSE()))</f>
        <v>1706</v>
      </c>
      <c r="H1247" s="4">
        <f>F1247+(VLOOKUP(D1247,'(Semelles.Monument.€HT)'!C:G,4,FALSE()))</f>
        <v>1786</v>
      </c>
      <c r="I1247" s="5">
        <f>F1247+(VLOOKUP(D1247,'(Semelles.Monument.€HT)'!C:G,5,FALSE()))</f>
        <v>1871</v>
      </c>
    </row>
    <row r="1248" spans="1:9" ht="26" customHeight="1">
      <c r="A1248" s="17" t="s">
        <v>156</v>
      </c>
      <c r="B1248" s="18" t="s">
        <v>172</v>
      </c>
      <c r="C1248" s="18" t="s">
        <v>128</v>
      </c>
      <c r="D1248" s="18">
        <v>47</v>
      </c>
      <c r="E1248" s="17" t="s">
        <v>145</v>
      </c>
      <c r="F1248" s="19">
        <v>1457</v>
      </c>
      <c r="G1248" s="20">
        <f>F1248+(VLOOKUP(D1248,'(Semelles.Monument.€HT)'!C:G,3,FALSE()))</f>
        <v>1741</v>
      </c>
      <c r="H1248" s="21">
        <f>F1248+(VLOOKUP(D1248,'(Semelles.Monument.€HT)'!C:G,4,FALSE()))</f>
        <v>1823</v>
      </c>
      <c r="I1248" s="22">
        <f>F1248+(VLOOKUP(D1248,'(Semelles.Monument.€HT)'!C:G,5,FALSE()))</f>
        <v>1909</v>
      </c>
    </row>
    <row r="1249" spans="1:9" ht="26" customHeight="1">
      <c r="A1249" s="2" t="s">
        <v>156</v>
      </c>
      <c r="B1249" s="13" t="s">
        <v>172</v>
      </c>
      <c r="C1249" s="13" t="s">
        <v>128</v>
      </c>
      <c r="D1249" s="13">
        <v>48</v>
      </c>
      <c r="E1249" s="2" t="s">
        <v>146</v>
      </c>
      <c r="F1249" s="7">
        <v>1473</v>
      </c>
      <c r="G1249" s="3">
        <f>F1249+(VLOOKUP(D1249,'(Semelles.Monument.€HT)'!C:G,3,FALSE()))</f>
        <v>1760</v>
      </c>
      <c r="H1249" s="4">
        <f>F1249+(VLOOKUP(D1249,'(Semelles.Monument.€HT)'!C:G,4,FALSE()))</f>
        <v>1843</v>
      </c>
      <c r="I1249" s="5">
        <f>F1249+(VLOOKUP(D1249,'(Semelles.Monument.€HT)'!C:G,5,FALSE()))</f>
        <v>1930</v>
      </c>
    </row>
    <row r="1250" spans="1:9" ht="26" customHeight="1">
      <c r="A1250" s="17" t="s">
        <v>156</v>
      </c>
      <c r="B1250" s="18" t="s">
        <v>173</v>
      </c>
      <c r="C1250" s="18" t="s">
        <v>97</v>
      </c>
      <c r="D1250" s="18">
        <v>1</v>
      </c>
      <c r="E1250" s="17" t="s">
        <v>98</v>
      </c>
      <c r="F1250" s="19">
        <v>856</v>
      </c>
      <c r="G1250" s="20">
        <f>F1250+(VLOOKUP(D1250,'(Semelles.Monument.€HT)'!C:G,3,FALSE()))</f>
        <v>1014</v>
      </c>
      <c r="H1250" s="21">
        <f>F1250+(VLOOKUP(D1250,'(Semelles.Monument.€HT)'!C:G,4,FALSE()))</f>
        <v>1060</v>
      </c>
      <c r="I1250" s="22">
        <f>F1250+(VLOOKUP(D1250,'(Semelles.Monument.€HT)'!C:G,5,FALSE()))</f>
        <v>1108</v>
      </c>
    </row>
    <row r="1251" spans="1:9" ht="26" customHeight="1">
      <c r="A1251" s="2" t="s">
        <v>156</v>
      </c>
      <c r="B1251" s="13" t="s">
        <v>173</v>
      </c>
      <c r="C1251" s="13" t="s">
        <v>97</v>
      </c>
      <c r="D1251" s="13">
        <v>2</v>
      </c>
      <c r="E1251" s="2" t="s">
        <v>99</v>
      </c>
      <c r="F1251" s="7">
        <v>855</v>
      </c>
      <c r="G1251" s="3">
        <f>F1251+(VLOOKUP(D1251,'(Semelles.Monument.€HT)'!C:G,3,FALSE()))</f>
        <v>1013</v>
      </c>
      <c r="H1251" s="4">
        <f>F1251+(VLOOKUP(D1251,'(Semelles.Monument.€HT)'!C:G,4,FALSE()))</f>
        <v>1059</v>
      </c>
      <c r="I1251" s="5">
        <f>F1251+(VLOOKUP(D1251,'(Semelles.Monument.€HT)'!C:G,5,FALSE()))</f>
        <v>1107</v>
      </c>
    </row>
    <row r="1252" spans="1:9" ht="26" customHeight="1">
      <c r="A1252" s="17" t="s">
        <v>156</v>
      </c>
      <c r="B1252" s="18" t="s">
        <v>173</v>
      </c>
      <c r="C1252" s="18" t="s">
        <v>97</v>
      </c>
      <c r="D1252" s="18">
        <v>3</v>
      </c>
      <c r="E1252" s="17" t="s">
        <v>100</v>
      </c>
      <c r="F1252" s="19">
        <v>951</v>
      </c>
      <c r="G1252" s="20">
        <f>F1252+(VLOOKUP(D1252,'(Semelles.Monument.€HT)'!C:G,3,FALSE()))</f>
        <v>1127</v>
      </c>
      <c r="H1252" s="21">
        <f>F1252+(VLOOKUP(D1252,'(Semelles.Monument.€HT)'!C:G,4,FALSE()))</f>
        <v>1178</v>
      </c>
      <c r="I1252" s="22">
        <f>F1252+(VLOOKUP(D1252,'(Semelles.Monument.€HT)'!C:G,5,FALSE()))</f>
        <v>1231</v>
      </c>
    </row>
    <row r="1253" spans="1:9" ht="26" customHeight="1">
      <c r="A1253" s="2" t="s">
        <v>156</v>
      </c>
      <c r="B1253" s="13" t="s">
        <v>173</v>
      </c>
      <c r="C1253" s="13" t="s">
        <v>97</v>
      </c>
      <c r="D1253" s="13">
        <v>4</v>
      </c>
      <c r="E1253" s="2" t="s">
        <v>101</v>
      </c>
      <c r="F1253" s="7">
        <v>967</v>
      </c>
      <c r="G1253" s="3">
        <f>F1253+(VLOOKUP(D1253,'(Semelles.Monument.€HT)'!C:G,3,FALSE()))</f>
        <v>1146</v>
      </c>
      <c r="H1253" s="4">
        <f>F1253+(VLOOKUP(D1253,'(Semelles.Monument.€HT)'!C:G,4,FALSE()))</f>
        <v>1198</v>
      </c>
      <c r="I1253" s="5">
        <f>F1253+(VLOOKUP(D1253,'(Semelles.Monument.€HT)'!C:G,5,FALSE()))</f>
        <v>1252</v>
      </c>
    </row>
    <row r="1254" spans="1:9" ht="26" customHeight="1">
      <c r="A1254" s="17" t="s">
        <v>156</v>
      </c>
      <c r="B1254" s="18" t="s">
        <v>173</v>
      </c>
      <c r="C1254" s="18" t="s">
        <v>97</v>
      </c>
      <c r="D1254" s="18">
        <v>5</v>
      </c>
      <c r="E1254" s="17" t="s">
        <v>102</v>
      </c>
      <c r="F1254" s="19">
        <v>967</v>
      </c>
      <c r="G1254" s="20">
        <f>F1254+(VLOOKUP(D1254,'(Semelles.Monument.€HT)'!C:G,3,FALSE()))</f>
        <v>1146</v>
      </c>
      <c r="H1254" s="21">
        <f>F1254+(VLOOKUP(D1254,'(Semelles.Monument.€HT)'!C:G,4,FALSE()))</f>
        <v>1198</v>
      </c>
      <c r="I1254" s="22">
        <f>F1254+(VLOOKUP(D1254,'(Semelles.Monument.€HT)'!C:G,5,FALSE()))</f>
        <v>1252</v>
      </c>
    </row>
    <row r="1255" spans="1:9" ht="26" customHeight="1">
      <c r="A1255" s="2" t="s">
        <v>156</v>
      </c>
      <c r="B1255" s="13" t="s">
        <v>173</v>
      </c>
      <c r="C1255" s="13" t="s">
        <v>97</v>
      </c>
      <c r="D1255" s="13">
        <v>6</v>
      </c>
      <c r="E1255" s="2" t="s">
        <v>103</v>
      </c>
      <c r="F1255" s="7">
        <v>972</v>
      </c>
      <c r="G1255" s="3">
        <f>F1255+(VLOOKUP(D1255,'(Semelles.Monument.€HT)'!C:G,3,FALSE()))</f>
        <v>1152</v>
      </c>
      <c r="H1255" s="4">
        <f>F1255+(VLOOKUP(D1255,'(Semelles.Monument.€HT)'!C:G,4,FALSE()))</f>
        <v>1204</v>
      </c>
      <c r="I1255" s="5">
        <f>F1255+(VLOOKUP(D1255,'(Semelles.Monument.€HT)'!C:G,5,FALSE()))</f>
        <v>1259</v>
      </c>
    </row>
    <row r="1256" spans="1:9" ht="26" customHeight="1">
      <c r="A1256" s="17" t="s">
        <v>156</v>
      </c>
      <c r="B1256" s="18" t="s">
        <v>173</v>
      </c>
      <c r="C1256" s="18" t="s">
        <v>97</v>
      </c>
      <c r="D1256" s="18">
        <v>7</v>
      </c>
      <c r="E1256" s="17" t="s">
        <v>104</v>
      </c>
      <c r="F1256" s="19">
        <v>972</v>
      </c>
      <c r="G1256" s="20">
        <f>F1256+(VLOOKUP(D1256,'(Semelles.Monument.€HT)'!C:G,3,FALSE()))</f>
        <v>1152</v>
      </c>
      <c r="H1256" s="21">
        <f>F1256+(VLOOKUP(D1256,'(Semelles.Monument.€HT)'!C:G,4,FALSE()))</f>
        <v>1204</v>
      </c>
      <c r="I1256" s="22">
        <f>F1256+(VLOOKUP(D1256,'(Semelles.Monument.€HT)'!C:G,5,FALSE()))</f>
        <v>1259</v>
      </c>
    </row>
    <row r="1257" spans="1:9" ht="26" customHeight="1">
      <c r="A1257" s="2" t="s">
        <v>156</v>
      </c>
      <c r="B1257" s="13" t="s">
        <v>173</v>
      </c>
      <c r="C1257" s="13" t="s">
        <v>97</v>
      </c>
      <c r="D1257" s="13">
        <v>8</v>
      </c>
      <c r="E1257" s="2" t="s">
        <v>105</v>
      </c>
      <c r="F1257" s="7">
        <v>972</v>
      </c>
      <c r="G1257" s="3">
        <f>F1257+(VLOOKUP(D1257,'(Semelles.Monument.€HT)'!C:G,3,FALSE()))</f>
        <v>1152</v>
      </c>
      <c r="H1257" s="4">
        <f>F1257+(VLOOKUP(D1257,'(Semelles.Monument.€HT)'!C:G,4,FALSE()))</f>
        <v>1204</v>
      </c>
      <c r="I1257" s="5">
        <f>F1257+(VLOOKUP(D1257,'(Semelles.Monument.€HT)'!C:G,5,FALSE()))</f>
        <v>1259</v>
      </c>
    </row>
    <row r="1258" spans="1:9" ht="26" customHeight="1">
      <c r="A1258" s="17" t="s">
        <v>156</v>
      </c>
      <c r="B1258" s="18" t="s">
        <v>173</v>
      </c>
      <c r="C1258" s="18" t="s">
        <v>97</v>
      </c>
      <c r="D1258" s="18">
        <v>9</v>
      </c>
      <c r="E1258" s="17" t="s">
        <v>106</v>
      </c>
      <c r="F1258" s="19">
        <v>972</v>
      </c>
      <c r="G1258" s="20">
        <f>F1258+(VLOOKUP(D1258,'(Semelles.Monument.€HT)'!C:G,3,FALSE()))</f>
        <v>1152</v>
      </c>
      <c r="H1258" s="21">
        <f>F1258+(VLOOKUP(D1258,'(Semelles.Monument.€HT)'!C:G,4,FALSE()))</f>
        <v>1204</v>
      </c>
      <c r="I1258" s="22">
        <f>F1258+(VLOOKUP(D1258,'(Semelles.Monument.€HT)'!C:G,5,FALSE()))</f>
        <v>1259</v>
      </c>
    </row>
    <row r="1259" spans="1:9" ht="26" customHeight="1">
      <c r="A1259" s="2" t="s">
        <v>156</v>
      </c>
      <c r="B1259" s="13" t="s">
        <v>173</v>
      </c>
      <c r="C1259" s="13" t="s">
        <v>97</v>
      </c>
      <c r="D1259" s="13">
        <v>10</v>
      </c>
      <c r="E1259" s="2" t="s">
        <v>107</v>
      </c>
      <c r="F1259" s="7">
        <v>972</v>
      </c>
      <c r="G1259" s="3">
        <f>F1259+(VLOOKUP(D1259,'(Semelles.Monument.€HT)'!C:G,3,FALSE()))</f>
        <v>1152</v>
      </c>
      <c r="H1259" s="4">
        <f>F1259+(VLOOKUP(D1259,'(Semelles.Monument.€HT)'!C:G,4,FALSE()))</f>
        <v>1204</v>
      </c>
      <c r="I1259" s="5">
        <f>F1259+(VLOOKUP(D1259,'(Semelles.Monument.€HT)'!C:G,5,FALSE()))</f>
        <v>1259</v>
      </c>
    </row>
    <row r="1260" spans="1:9" ht="26" customHeight="1">
      <c r="A1260" s="17" t="s">
        <v>156</v>
      </c>
      <c r="B1260" s="18" t="s">
        <v>173</v>
      </c>
      <c r="C1260" s="18" t="s">
        <v>97</v>
      </c>
      <c r="D1260" s="18">
        <v>11</v>
      </c>
      <c r="E1260" s="17" t="s">
        <v>108</v>
      </c>
      <c r="F1260" s="19">
        <v>972</v>
      </c>
      <c r="G1260" s="20">
        <f>F1260+(VLOOKUP(D1260,'(Semelles.Monument.€HT)'!C:G,3,FALSE()))</f>
        <v>1152</v>
      </c>
      <c r="H1260" s="21">
        <f>F1260+(VLOOKUP(D1260,'(Semelles.Monument.€HT)'!C:G,4,FALSE()))</f>
        <v>1204</v>
      </c>
      <c r="I1260" s="22">
        <f>F1260+(VLOOKUP(D1260,'(Semelles.Monument.€HT)'!C:G,5,FALSE()))</f>
        <v>1259</v>
      </c>
    </row>
    <row r="1261" spans="1:9" ht="26" customHeight="1">
      <c r="A1261" s="2" t="s">
        <v>156</v>
      </c>
      <c r="B1261" s="13" t="s">
        <v>173</v>
      </c>
      <c r="C1261" s="13" t="s">
        <v>97</v>
      </c>
      <c r="D1261" s="13">
        <v>12</v>
      </c>
      <c r="E1261" s="2" t="s">
        <v>109</v>
      </c>
      <c r="F1261" s="7">
        <v>986</v>
      </c>
      <c r="G1261" s="3">
        <f>F1261+(VLOOKUP(D1261,'(Semelles.Monument.€HT)'!C:G,3,FALSE()))</f>
        <v>1168</v>
      </c>
      <c r="H1261" s="4">
        <f>F1261+(VLOOKUP(D1261,'(Semelles.Monument.€HT)'!C:G,4,FALSE()))</f>
        <v>1221</v>
      </c>
      <c r="I1261" s="5">
        <f>F1261+(VLOOKUP(D1261,'(Semelles.Monument.€HT)'!C:G,5,FALSE()))</f>
        <v>1277</v>
      </c>
    </row>
    <row r="1262" spans="1:9" ht="26" customHeight="1">
      <c r="A1262" s="17" t="s">
        <v>156</v>
      </c>
      <c r="B1262" s="18" t="s">
        <v>173</v>
      </c>
      <c r="C1262" s="18" t="s">
        <v>97</v>
      </c>
      <c r="D1262" s="18">
        <v>13</v>
      </c>
      <c r="E1262" s="17" t="s">
        <v>110</v>
      </c>
      <c r="F1262" s="19">
        <v>986</v>
      </c>
      <c r="G1262" s="20">
        <f>F1262+(VLOOKUP(D1262,'(Semelles.Monument.€HT)'!C:G,3,FALSE()))</f>
        <v>1168</v>
      </c>
      <c r="H1262" s="21">
        <f>F1262+(VLOOKUP(D1262,'(Semelles.Monument.€HT)'!C:G,4,FALSE()))</f>
        <v>1221</v>
      </c>
      <c r="I1262" s="22">
        <f>F1262+(VLOOKUP(D1262,'(Semelles.Monument.€HT)'!C:G,5,FALSE()))</f>
        <v>1277</v>
      </c>
    </row>
    <row r="1263" spans="1:9" ht="26" customHeight="1">
      <c r="A1263" s="2" t="s">
        <v>156</v>
      </c>
      <c r="B1263" s="13" t="s">
        <v>173</v>
      </c>
      <c r="C1263" s="13" t="s">
        <v>97</v>
      </c>
      <c r="D1263" s="13">
        <v>14</v>
      </c>
      <c r="E1263" s="2" t="s">
        <v>111</v>
      </c>
      <c r="F1263" s="7">
        <v>989</v>
      </c>
      <c r="G1263" s="3">
        <f>F1263+(VLOOKUP(D1263,'(Semelles.Monument.€HT)'!C:G,3,FALSE()))</f>
        <v>1172</v>
      </c>
      <c r="H1263" s="4">
        <f>F1263+(VLOOKUP(D1263,'(Semelles.Monument.€HT)'!C:G,4,FALSE()))</f>
        <v>1225</v>
      </c>
      <c r="I1263" s="5">
        <f>F1263+(VLOOKUP(D1263,'(Semelles.Monument.€HT)'!C:G,5,FALSE()))</f>
        <v>1281</v>
      </c>
    </row>
    <row r="1264" spans="1:9" ht="26" customHeight="1">
      <c r="A1264" s="17" t="s">
        <v>156</v>
      </c>
      <c r="B1264" s="18" t="s">
        <v>173</v>
      </c>
      <c r="C1264" s="18" t="s">
        <v>97</v>
      </c>
      <c r="D1264" s="18">
        <v>15</v>
      </c>
      <c r="E1264" s="17" t="s">
        <v>112</v>
      </c>
      <c r="F1264" s="19">
        <v>989</v>
      </c>
      <c r="G1264" s="20">
        <f>F1264+(VLOOKUP(D1264,'(Semelles.Monument.€HT)'!C:G,3,FALSE()))</f>
        <v>1172</v>
      </c>
      <c r="H1264" s="21">
        <f>F1264+(VLOOKUP(D1264,'(Semelles.Monument.€HT)'!C:G,4,FALSE()))</f>
        <v>1225</v>
      </c>
      <c r="I1264" s="22">
        <f>F1264+(VLOOKUP(D1264,'(Semelles.Monument.€HT)'!C:G,5,FALSE()))</f>
        <v>1281</v>
      </c>
    </row>
    <row r="1265" spans="1:9" ht="26" customHeight="1">
      <c r="A1265" s="2" t="s">
        <v>156</v>
      </c>
      <c r="B1265" s="13" t="s">
        <v>173</v>
      </c>
      <c r="C1265" s="13" t="s">
        <v>97</v>
      </c>
      <c r="D1265" s="13">
        <v>16</v>
      </c>
      <c r="E1265" s="2" t="s">
        <v>113</v>
      </c>
      <c r="F1265" s="7">
        <v>989</v>
      </c>
      <c r="G1265" s="3">
        <f>F1265+(VLOOKUP(D1265,'(Semelles.Monument.€HT)'!C:G,3,FALSE()))</f>
        <v>1172</v>
      </c>
      <c r="H1265" s="4">
        <f>F1265+(VLOOKUP(D1265,'(Semelles.Monument.€HT)'!C:G,4,FALSE()))</f>
        <v>1225</v>
      </c>
      <c r="I1265" s="5">
        <f>F1265+(VLOOKUP(D1265,'(Semelles.Monument.€HT)'!C:G,5,FALSE()))</f>
        <v>1281</v>
      </c>
    </row>
    <row r="1266" spans="1:9" ht="26" customHeight="1">
      <c r="A1266" s="17" t="s">
        <v>156</v>
      </c>
      <c r="B1266" s="18" t="s">
        <v>173</v>
      </c>
      <c r="C1266" s="18" t="s">
        <v>97</v>
      </c>
      <c r="D1266" s="18">
        <v>17</v>
      </c>
      <c r="E1266" s="17" t="s">
        <v>114</v>
      </c>
      <c r="F1266" s="19">
        <v>1006</v>
      </c>
      <c r="G1266" s="20">
        <f>F1266+(VLOOKUP(D1266,'(Semelles.Monument.€HT)'!C:G,3,FALSE()))</f>
        <v>1192</v>
      </c>
      <c r="H1266" s="21">
        <f>F1266+(VLOOKUP(D1266,'(Semelles.Monument.€HT)'!C:G,4,FALSE()))</f>
        <v>1246</v>
      </c>
      <c r="I1266" s="22">
        <f>F1266+(VLOOKUP(D1266,'(Semelles.Monument.€HT)'!C:G,5,FALSE()))</f>
        <v>1303</v>
      </c>
    </row>
    <row r="1267" spans="1:9" ht="26" customHeight="1">
      <c r="A1267" s="2" t="s">
        <v>156</v>
      </c>
      <c r="B1267" s="13" t="s">
        <v>173</v>
      </c>
      <c r="C1267" s="13" t="s">
        <v>97</v>
      </c>
      <c r="D1267" s="13">
        <v>18</v>
      </c>
      <c r="E1267" s="2" t="s">
        <v>115</v>
      </c>
      <c r="F1267" s="7">
        <v>1006</v>
      </c>
      <c r="G1267" s="3">
        <f>F1267+(VLOOKUP(D1267,'(Semelles.Monument.€HT)'!C:G,3,FALSE()))</f>
        <v>1192</v>
      </c>
      <c r="H1267" s="4">
        <f>F1267+(VLOOKUP(D1267,'(Semelles.Monument.€HT)'!C:G,4,FALSE()))</f>
        <v>1246</v>
      </c>
      <c r="I1267" s="5">
        <f>F1267+(VLOOKUP(D1267,'(Semelles.Monument.€HT)'!C:G,5,FALSE()))</f>
        <v>1303</v>
      </c>
    </row>
    <row r="1268" spans="1:9" ht="26" customHeight="1">
      <c r="A1268" s="17" t="s">
        <v>156</v>
      </c>
      <c r="B1268" s="18" t="s">
        <v>173</v>
      </c>
      <c r="C1268" s="18" t="s">
        <v>97</v>
      </c>
      <c r="D1268" s="18">
        <v>19</v>
      </c>
      <c r="E1268" s="17" t="s">
        <v>116</v>
      </c>
      <c r="F1268" s="19">
        <v>1006</v>
      </c>
      <c r="G1268" s="20">
        <f>F1268+(VLOOKUP(D1268,'(Semelles.Monument.€HT)'!C:G,3,FALSE()))</f>
        <v>1192</v>
      </c>
      <c r="H1268" s="21">
        <f>F1268+(VLOOKUP(D1268,'(Semelles.Monument.€HT)'!C:G,4,FALSE()))</f>
        <v>1246</v>
      </c>
      <c r="I1268" s="22">
        <f>F1268+(VLOOKUP(D1268,'(Semelles.Monument.€HT)'!C:G,5,FALSE()))</f>
        <v>1303</v>
      </c>
    </row>
    <row r="1269" spans="1:9" ht="26" customHeight="1">
      <c r="A1269" s="2" t="s">
        <v>156</v>
      </c>
      <c r="B1269" s="13" t="s">
        <v>173</v>
      </c>
      <c r="C1269" s="13" t="s">
        <v>97</v>
      </c>
      <c r="D1269" s="13">
        <v>20</v>
      </c>
      <c r="E1269" s="2" t="s">
        <v>117</v>
      </c>
      <c r="F1269" s="7">
        <v>1014</v>
      </c>
      <c r="G1269" s="3">
        <f>F1269+(VLOOKUP(D1269,'(Semelles.Monument.€HT)'!C:G,3,FALSE()))</f>
        <v>1202</v>
      </c>
      <c r="H1269" s="4">
        <f>F1269+(VLOOKUP(D1269,'(Semelles.Monument.€HT)'!C:G,4,FALSE()))</f>
        <v>1256</v>
      </c>
      <c r="I1269" s="5">
        <f>F1269+(VLOOKUP(D1269,'(Semelles.Monument.€HT)'!C:G,5,FALSE()))</f>
        <v>1313</v>
      </c>
    </row>
    <row r="1270" spans="1:9" ht="26" customHeight="1">
      <c r="A1270" s="17" t="s">
        <v>156</v>
      </c>
      <c r="B1270" s="18" t="s">
        <v>173</v>
      </c>
      <c r="C1270" s="18" t="s">
        <v>97</v>
      </c>
      <c r="D1270" s="18">
        <v>21</v>
      </c>
      <c r="E1270" s="17" t="s">
        <v>118</v>
      </c>
      <c r="F1270" s="19">
        <v>1020</v>
      </c>
      <c r="G1270" s="20">
        <f>F1270+(VLOOKUP(D1270,'(Semelles.Monument.€HT)'!C:G,3,FALSE()))</f>
        <v>1209</v>
      </c>
      <c r="H1270" s="21">
        <f>F1270+(VLOOKUP(D1270,'(Semelles.Monument.€HT)'!C:G,4,FALSE()))</f>
        <v>1263</v>
      </c>
      <c r="I1270" s="22">
        <f>F1270+(VLOOKUP(D1270,'(Semelles.Monument.€HT)'!C:G,5,FALSE()))</f>
        <v>1321</v>
      </c>
    </row>
    <row r="1271" spans="1:9" ht="26" customHeight="1">
      <c r="A1271" s="2" t="s">
        <v>156</v>
      </c>
      <c r="B1271" s="13" t="s">
        <v>173</v>
      </c>
      <c r="C1271" s="13" t="s">
        <v>97</v>
      </c>
      <c r="D1271" s="13">
        <v>22</v>
      </c>
      <c r="E1271" s="2" t="s">
        <v>119</v>
      </c>
      <c r="F1271" s="7">
        <v>1020</v>
      </c>
      <c r="G1271" s="3">
        <f>F1271+(VLOOKUP(D1271,'(Semelles.Monument.€HT)'!C:G,3,FALSE()))</f>
        <v>1209</v>
      </c>
      <c r="H1271" s="4">
        <f>F1271+(VLOOKUP(D1271,'(Semelles.Monument.€HT)'!C:G,4,FALSE()))</f>
        <v>1263</v>
      </c>
      <c r="I1271" s="5">
        <f>F1271+(VLOOKUP(D1271,'(Semelles.Monument.€HT)'!C:G,5,FALSE()))</f>
        <v>1321</v>
      </c>
    </row>
    <row r="1272" spans="1:9" ht="26" customHeight="1">
      <c r="A1272" s="17" t="s">
        <v>156</v>
      </c>
      <c r="B1272" s="18" t="s">
        <v>173</v>
      </c>
      <c r="C1272" s="18" t="s">
        <v>97</v>
      </c>
      <c r="D1272" s="18">
        <v>23</v>
      </c>
      <c r="E1272" s="17" t="s">
        <v>120</v>
      </c>
      <c r="F1272" s="19">
        <v>1036</v>
      </c>
      <c r="G1272" s="20">
        <f>F1272+(VLOOKUP(D1272,'(Semelles.Monument.€HT)'!C:G,3,FALSE()))</f>
        <v>1228</v>
      </c>
      <c r="H1272" s="21">
        <f>F1272+(VLOOKUP(D1272,'(Semelles.Monument.€HT)'!C:G,4,FALSE()))</f>
        <v>1283</v>
      </c>
      <c r="I1272" s="22">
        <f>F1272+(VLOOKUP(D1272,'(Semelles.Monument.€HT)'!C:G,5,FALSE()))</f>
        <v>1341</v>
      </c>
    </row>
    <row r="1273" spans="1:9" ht="26" customHeight="1">
      <c r="A1273" s="2" t="s">
        <v>156</v>
      </c>
      <c r="B1273" s="13" t="s">
        <v>173</v>
      </c>
      <c r="C1273" s="13" t="s">
        <v>97</v>
      </c>
      <c r="D1273" s="13">
        <v>24</v>
      </c>
      <c r="E1273" s="2" t="s">
        <v>121</v>
      </c>
      <c r="F1273" s="7">
        <v>1036</v>
      </c>
      <c r="G1273" s="3">
        <f>F1273+(VLOOKUP(D1273,'(Semelles.Monument.€HT)'!C:G,3,FALSE()))</f>
        <v>1228</v>
      </c>
      <c r="H1273" s="4">
        <f>F1273+(VLOOKUP(D1273,'(Semelles.Monument.€HT)'!C:G,4,FALSE()))</f>
        <v>1283</v>
      </c>
      <c r="I1273" s="5">
        <f>F1273+(VLOOKUP(D1273,'(Semelles.Monument.€HT)'!C:G,5,FALSE()))</f>
        <v>1341</v>
      </c>
    </row>
    <row r="1274" spans="1:9" ht="26" customHeight="1">
      <c r="A1274" s="17" t="s">
        <v>156</v>
      </c>
      <c r="B1274" s="18" t="s">
        <v>173</v>
      </c>
      <c r="C1274" s="18" t="s">
        <v>97</v>
      </c>
      <c r="D1274" s="18">
        <v>25</v>
      </c>
      <c r="E1274" s="17" t="s">
        <v>122</v>
      </c>
      <c r="F1274" s="19">
        <v>1036</v>
      </c>
      <c r="G1274" s="20">
        <f>F1274+(VLOOKUP(D1274,'(Semelles.Monument.€HT)'!C:G,3,FALSE()))</f>
        <v>1228</v>
      </c>
      <c r="H1274" s="21">
        <f>F1274+(VLOOKUP(D1274,'(Semelles.Monument.€HT)'!C:G,4,FALSE()))</f>
        <v>1283</v>
      </c>
      <c r="I1274" s="22">
        <f>F1274+(VLOOKUP(D1274,'(Semelles.Monument.€HT)'!C:G,5,FALSE()))</f>
        <v>1341</v>
      </c>
    </row>
    <row r="1275" spans="1:9" ht="26" customHeight="1">
      <c r="A1275" s="2" t="s">
        <v>156</v>
      </c>
      <c r="B1275" s="13" t="s">
        <v>173</v>
      </c>
      <c r="C1275" s="13" t="s">
        <v>97</v>
      </c>
      <c r="D1275" s="13">
        <v>26</v>
      </c>
      <c r="E1275" s="2" t="s">
        <v>123</v>
      </c>
      <c r="F1275" s="7">
        <v>1053</v>
      </c>
      <c r="G1275" s="3">
        <f>F1275+(VLOOKUP(D1275,'(Semelles.Monument.€HT)'!C:G,3,FALSE()))</f>
        <v>1248</v>
      </c>
      <c r="H1275" s="4">
        <f>F1275+(VLOOKUP(D1275,'(Semelles.Monument.€HT)'!C:G,4,FALSE()))</f>
        <v>1304</v>
      </c>
      <c r="I1275" s="5">
        <f>F1275+(VLOOKUP(D1275,'(Semelles.Monument.€HT)'!C:G,5,FALSE()))</f>
        <v>1363</v>
      </c>
    </row>
    <row r="1276" spans="1:9" ht="26" customHeight="1">
      <c r="A1276" s="17" t="s">
        <v>156</v>
      </c>
      <c r="B1276" s="18" t="s">
        <v>173</v>
      </c>
      <c r="C1276" s="18" t="s">
        <v>97</v>
      </c>
      <c r="D1276" s="18">
        <v>27</v>
      </c>
      <c r="E1276" s="17" t="s">
        <v>124</v>
      </c>
      <c r="F1276" s="19">
        <v>1122</v>
      </c>
      <c r="G1276" s="20">
        <f>F1276+(VLOOKUP(D1276,'(Semelles.Monument.€HT)'!C:G,3,FALSE()))</f>
        <v>1330</v>
      </c>
      <c r="H1276" s="21">
        <f>F1276+(VLOOKUP(D1276,'(Semelles.Monument.€HT)'!C:G,4,FALSE()))</f>
        <v>1390</v>
      </c>
      <c r="I1276" s="22">
        <f>F1276+(VLOOKUP(D1276,'(Semelles.Monument.€HT)'!C:G,5,FALSE()))</f>
        <v>1489</v>
      </c>
    </row>
    <row r="1277" spans="1:9" ht="26" customHeight="1">
      <c r="A1277" s="2" t="s">
        <v>156</v>
      </c>
      <c r="B1277" s="13" t="s">
        <v>173</v>
      </c>
      <c r="C1277" s="13" t="s">
        <v>97</v>
      </c>
      <c r="D1277" s="13">
        <v>28</v>
      </c>
      <c r="E1277" s="2" t="s">
        <v>125</v>
      </c>
      <c r="F1277" s="7">
        <v>1244</v>
      </c>
      <c r="G1277" s="3">
        <f>F1277+(VLOOKUP(D1277,'(Semelles.Monument.€HT)'!C:G,3,FALSE()))</f>
        <v>1474</v>
      </c>
      <c r="H1277" s="4">
        <f>F1277+(VLOOKUP(D1277,'(Semelles.Monument.€HT)'!C:G,4,FALSE()))</f>
        <v>1541</v>
      </c>
      <c r="I1277" s="5">
        <f>F1277+(VLOOKUP(D1277,'(Semelles.Monument.€HT)'!C:G,5,FALSE()))</f>
        <v>1611</v>
      </c>
    </row>
    <row r="1278" spans="1:9" ht="26" customHeight="1">
      <c r="A1278" s="17" t="s">
        <v>156</v>
      </c>
      <c r="B1278" s="18" t="s">
        <v>173</v>
      </c>
      <c r="C1278" s="18" t="s">
        <v>97</v>
      </c>
      <c r="D1278" s="18">
        <v>29</v>
      </c>
      <c r="E1278" s="17" t="s">
        <v>126</v>
      </c>
      <c r="F1278" s="19">
        <v>1295</v>
      </c>
      <c r="G1278" s="20">
        <f>F1278+(VLOOKUP(D1278,'(Semelles.Monument.€HT)'!C:G,3,FALSE()))</f>
        <v>1535</v>
      </c>
      <c r="H1278" s="21">
        <f>F1278+(VLOOKUP(D1278,'(Semelles.Monument.€HT)'!C:G,4,FALSE()))</f>
        <v>1604</v>
      </c>
      <c r="I1278" s="22">
        <f>F1278+(VLOOKUP(D1278,'(Semelles.Monument.€HT)'!C:G,5,FALSE()))</f>
        <v>1677</v>
      </c>
    </row>
    <row r="1279" spans="1:9" ht="26" customHeight="1">
      <c r="A1279" s="2" t="s">
        <v>156</v>
      </c>
      <c r="B1279" s="13" t="s">
        <v>173</v>
      </c>
      <c r="C1279" s="13" t="s">
        <v>97</v>
      </c>
      <c r="D1279" s="13">
        <v>30</v>
      </c>
      <c r="E1279" s="2" t="s">
        <v>127</v>
      </c>
      <c r="F1279" s="7">
        <v>1295</v>
      </c>
      <c r="G1279" s="3">
        <f>F1279+(VLOOKUP(D1279,'(Semelles.Monument.€HT)'!C:G,3,FALSE()))</f>
        <v>1535</v>
      </c>
      <c r="H1279" s="4">
        <f>F1279+(VLOOKUP(D1279,'(Semelles.Monument.€HT)'!C:G,4,FALSE()))</f>
        <v>1604</v>
      </c>
      <c r="I1279" s="5">
        <f>F1279+(VLOOKUP(D1279,'(Semelles.Monument.€HT)'!C:G,5,FALSE()))</f>
        <v>1677</v>
      </c>
    </row>
    <row r="1280" spans="1:9" ht="26" customHeight="1">
      <c r="A1280" s="17" t="s">
        <v>156</v>
      </c>
      <c r="B1280" s="18" t="s">
        <v>173</v>
      </c>
      <c r="C1280" s="18" t="s">
        <v>128</v>
      </c>
      <c r="D1280" s="18">
        <v>31</v>
      </c>
      <c r="E1280" s="17" t="s">
        <v>129</v>
      </c>
      <c r="F1280" s="19">
        <v>753</v>
      </c>
      <c r="G1280" s="20">
        <f>F1280+(VLOOKUP(D1280,'(Semelles.Monument.€HT)'!C:G,3,FALSE()))</f>
        <v>885</v>
      </c>
      <c r="H1280" s="21">
        <f>F1280+(VLOOKUP(D1280,'(Semelles.Monument.€HT)'!C:G,4,FALSE()))</f>
        <v>923</v>
      </c>
      <c r="I1280" s="22">
        <f>F1280+(VLOOKUP(D1280,'(Semelles.Monument.€HT)'!C:G,5,FALSE()))</f>
        <v>963</v>
      </c>
    </row>
    <row r="1281" spans="1:9" ht="26" customHeight="1">
      <c r="A1281" s="2" t="s">
        <v>156</v>
      </c>
      <c r="B1281" s="13" t="s">
        <v>173</v>
      </c>
      <c r="C1281" s="13" t="s">
        <v>128</v>
      </c>
      <c r="D1281" s="13">
        <v>32</v>
      </c>
      <c r="E1281" s="2" t="s">
        <v>130</v>
      </c>
      <c r="F1281" s="7">
        <v>763</v>
      </c>
      <c r="G1281" s="3">
        <f>F1281+(VLOOKUP(D1281,'(Semelles.Monument.€HT)'!C:G,3,FALSE()))</f>
        <v>897</v>
      </c>
      <c r="H1281" s="4">
        <f>F1281+(VLOOKUP(D1281,'(Semelles.Monument.€HT)'!C:G,4,FALSE()))</f>
        <v>936</v>
      </c>
      <c r="I1281" s="5">
        <f>F1281+(VLOOKUP(D1281,'(Semelles.Monument.€HT)'!C:G,5,FALSE()))</f>
        <v>976</v>
      </c>
    </row>
    <row r="1282" spans="1:9" ht="26" customHeight="1">
      <c r="A1282" s="17" t="s">
        <v>156</v>
      </c>
      <c r="B1282" s="18" t="s">
        <v>173</v>
      </c>
      <c r="C1282" s="18" t="s">
        <v>128</v>
      </c>
      <c r="D1282" s="18">
        <v>33</v>
      </c>
      <c r="E1282" s="17" t="s">
        <v>131</v>
      </c>
      <c r="F1282" s="19">
        <v>763</v>
      </c>
      <c r="G1282" s="20">
        <f>F1282+(VLOOKUP(D1282,'(Semelles.Monument.€HT)'!C:G,3,FALSE()))</f>
        <v>897</v>
      </c>
      <c r="H1282" s="21">
        <f>F1282+(VLOOKUP(D1282,'(Semelles.Monument.€HT)'!C:G,4,FALSE()))</f>
        <v>936</v>
      </c>
      <c r="I1282" s="22">
        <f>F1282+(VLOOKUP(D1282,'(Semelles.Monument.€HT)'!C:G,5,FALSE()))</f>
        <v>976</v>
      </c>
    </row>
    <row r="1283" spans="1:9" ht="26" customHeight="1">
      <c r="A1283" s="2" t="s">
        <v>156</v>
      </c>
      <c r="B1283" s="13" t="s">
        <v>173</v>
      </c>
      <c r="C1283" s="13" t="s">
        <v>128</v>
      </c>
      <c r="D1283" s="13">
        <v>34</v>
      </c>
      <c r="E1283" s="2" t="s">
        <v>132</v>
      </c>
      <c r="F1283" s="7">
        <v>770</v>
      </c>
      <c r="G1283" s="3">
        <f>F1283+(VLOOKUP(D1283,'(Semelles.Monument.€HT)'!C:G,3,FALSE()))</f>
        <v>905</v>
      </c>
      <c r="H1283" s="4">
        <f>F1283+(VLOOKUP(D1283,'(Semelles.Monument.€HT)'!C:G,4,FALSE()))</f>
        <v>944</v>
      </c>
      <c r="I1283" s="5">
        <f>F1283+(VLOOKUP(D1283,'(Semelles.Monument.€HT)'!C:G,5,FALSE()))</f>
        <v>985</v>
      </c>
    </row>
    <row r="1284" spans="1:9" ht="26" customHeight="1">
      <c r="A1284" s="17" t="s">
        <v>156</v>
      </c>
      <c r="B1284" s="18" t="s">
        <v>173</v>
      </c>
      <c r="C1284" s="18" t="s">
        <v>128</v>
      </c>
      <c r="D1284" s="18">
        <v>35</v>
      </c>
      <c r="E1284" s="17" t="s">
        <v>133</v>
      </c>
      <c r="F1284" s="19">
        <v>919</v>
      </c>
      <c r="G1284" s="20">
        <f>F1284+(VLOOKUP(D1284,'(Semelles.Monument.€HT)'!C:G,3,FALSE()))</f>
        <v>1082</v>
      </c>
      <c r="H1284" s="21">
        <f>F1284+(VLOOKUP(D1284,'(Semelles.Monument.€HT)'!C:G,4,FALSE()))</f>
        <v>1129</v>
      </c>
      <c r="I1284" s="22">
        <f>F1284+(VLOOKUP(D1284,'(Semelles.Monument.€HT)'!C:G,5,FALSE()))</f>
        <v>1178</v>
      </c>
    </row>
    <row r="1285" spans="1:9" ht="26" customHeight="1">
      <c r="A1285" s="2" t="s">
        <v>156</v>
      </c>
      <c r="B1285" s="13" t="s">
        <v>173</v>
      </c>
      <c r="C1285" s="13" t="s">
        <v>128</v>
      </c>
      <c r="D1285" s="13">
        <v>36</v>
      </c>
      <c r="E1285" s="2" t="s">
        <v>134</v>
      </c>
      <c r="F1285" s="7">
        <v>950</v>
      </c>
      <c r="G1285" s="3">
        <f>F1285+(VLOOKUP(D1285,'(Semelles.Monument.€HT)'!C:G,3,FALSE()))</f>
        <v>1118</v>
      </c>
      <c r="H1285" s="4">
        <f>F1285+(VLOOKUP(D1285,'(Semelles.Monument.€HT)'!C:G,4,FALSE()))</f>
        <v>1167</v>
      </c>
      <c r="I1285" s="5">
        <f>F1285+(VLOOKUP(D1285,'(Semelles.Monument.€HT)'!C:G,5,FALSE()))</f>
        <v>1218</v>
      </c>
    </row>
    <row r="1286" spans="1:9" ht="26" customHeight="1">
      <c r="A1286" s="17" t="s">
        <v>156</v>
      </c>
      <c r="B1286" s="18" t="s">
        <v>173</v>
      </c>
      <c r="C1286" s="18" t="s">
        <v>128</v>
      </c>
      <c r="D1286" s="18">
        <v>37</v>
      </c>
      <c r="E1286" s="17" t="s">
        <v>135</v>
      </c>
      <c r="F1286" s="19">
        <v>1165</v>
      </c>
      <c r="G1286" s="20">
        <f>F1286+(VLOOKUP(D1286,'(Semelles.Monument.€HT)'!C:G,3,FALSE()))</f>
        <v>1373</v>
      </c>
      <c r="H1286" s="21">
        <f>F1286+(VLOOKUP(D1286,'(Semelles.Monument.€HT)'!C:G,4,FALSE()))</f>
        <v>1433</v>
      </c>
      <c r="I1286" s="22">
        <f>F1286+(VLOOKUP(D1286,'(Semelles.Monument.€HT)'!C:G,5,FALSE()))</f>
        <v>1497</v>
      </c>
    </row>
    <row r="1287" spans="1:9" ht="26" customHeight="1">
      <c r="A1287" s="2" t="s">
        <v>156</v>
      </c>
      <c r="B1287" s="13" t="s">
        <v>173</v>
      </c>
      <c r="C1287" s="13" t="s">
        <v>128</v>
      </c>
      <c r="D1287" s="13">
        <v>38</v>
      </c>
      <c r="E1287" s="2" t="s">
        <v>136</v>
      </c>
      <c r="F1287" s="7">
        <v>1231</v>
      </c>
      <c r="G1287" s="3">
        <f>F1287+(VLOOKUP(D1287,'(Semelles.Monument.€HT)'!C:G,3,FALSE()))</f>
        <v>1451</v>
      </c>
      <c r="H1287" s="4">
        <f>F1287+(VLOOKUP(D1287,'(Semelles.Monument.€HT)'!C:G,4,FALSE()))</f>
        <v>1515</v>
      </c>
      <c r="I1287" s="5">
        <f>F1287+(VLOOKUP(D1287,'(Semelles.Monument.€HT)'!C:G,5,FALSE()))</f>
        <v>1582</v>
      </c>
    </row>
    <row r="1288" spans="1:9" ht="26" customHeight="1">
      <c r="A1288" s="17" t="s">
        <v>156</v>
      </c>
      <c r="B1288" s="18" t="s">
        <v>173</v>
      </c>
      <c r="C1288" s="18" t="s">
        <v>128</v>
      </c>
      <c r="D1288" s="18">
        <v>39</v>
      </c>
      <c r="E1288" s="17" t="s">
        <v>137</v>
      </c>
      <c r="F1288" s="19">
        <v>1262</v>
      </c>
      <c r="G1288" s="20">
        <f>F1288+(VLOOKUP(D1288,'(Semelles.Monument.€HT)'!C:G,3,FALSE()))</f>
        <v>1488</v>
      </c>
      <c r="H1288" s="21">
        <f>F1288+(VLOOKUP(D1288,'(Semelles.Monument.€HT)'!C:G,4,FALSE()))</f>
        <v>1553</v>
      </c>
      <c r="I1288" s="22">
        <f>F1288+(VLOOKUP(D1288,'(Semelles.Monument.€HT)'!C:G,5,FALSE()))</f>
        <v>1622</v>
      </c>
    </row>
    <row r="1289" spans="1:9" ht="26" customHeight="1">
      <c r="A1289" s="2" t="s">
        <v>156</v>
      </c>
      <c r="B1289" s="13" t="s">
        <v>173</v>
      </c>
      <c r="C1289" s="13" t="s">
        <v>128</v>
      </c>
      <c r="D1289" s="13">
        <v>40</v>
      </c>
      <c r="E1289" s="2" t="s">
        <v>138</v>
      </c>
      <c r="F1289" s="7">
        <v>1296</v>
      </c>
      <c r="G1289" s="3">
        <f>F1289+(VLOOKUP(D1289,'(Semelles.Monument.€HT)'!C:G,3,FALSE()))</f>
        <v>1528</v>
      </c>
      <c r="H1289" s="4">
        <f>F1289+(VLOOKUP(D1289,'(Semelles.Monument.€HT)'!C:G,4,FALSE()))</f>
        <v>1596</v>
      </c>
      <c r="I1289" s="5">
        <f>F1289+(VLOOKUP(D1289,'(Semelles.Monument.€HT)'!C:G,5,FALSE()))</f>
        <v>1666</v>
      </c>
    </row>
    <row r="1290" spans="1:9" ht="26" customHeight="1">
      <c r="A1290" s="17" t="s">
        <v>156</v>
      </c>
      <c r="B1290" s="18" t="s">
        <v>173</v>
      </c>
      <c r="C1290" s="18" t="s">
        <v>128</v>
      </c>
      <c r="D1290" s="18">
        <v>41</v>
      </c>
      <c r="E1290" s="17" t="s">
        <v>139</v>
      </c>
      <c r="F1290" s="19">
        <v>1376</v>
      </c>
      <c r="G1290" s="20">
        <f>F1290+(VLOOKUP(D1290,'(Semelles.Monument.€HT)'!C:G,3,FALSE()))</f>
        <v>1623</v>
      </c>
      <c r="H1290" s="21">
        <f>F1290+(VLOOKUP(D1290,'(Semelles.Monument.€HT)'!C:G,4,FALSE()))</f>
        <v>1695</v>
      </c>
      <c r="I1290" s="22">
        <f>F1290+(VLOOKUP(D1290,'(Semelles.Monument.€HT)'!C:G,5,FALSE()))</f>
        <v>1770</v>
      </c>
    </row>
    <row r="1291" spans="1:9" ht="26" customHeight="1">
      <c r="A1291" s="2" t="s">
        <v>156</v>
      </c>
      <c r="B1291" s="13" t="s">
        <v>173</v>
      </c>
      <c r="C1291" s="13" t="s">
        <v>128</v>
      </c>
      <c r="D1291" s="13">
        <v>42</v>
      </c>
      <c r="E1291" s="2" t="s">
        <v>140</v>
      </c>
      <c r="F1291" s="7">
        <v>1507</v>
      </c>
      <c r="G1291" s="3">
        <f>F1291+(VLOOKUP(D1291,'(Semelles.Monument.€HT)'!C:G,3,FALSE()))</f>
        <v>1778</v>
      </c>
      <c r="H1291" s="4">
        <f>F1291+(VLOOKUP(D1291,'(Semelles.Monument.€HT)'!C:G,4,FALSE()))</f>
        <v>1857</v>
      </c>
      <c r="I1291" s="5">
        <f>F1291+(VLOOKUP(D1291,'(Semelles.Monument.€HT)'!C:G,5,FALSE()))</f>
        <v>1940</v>
      </c>
    </row>
    <row r="1292" spans="1:9" ht="26" customHeight="1">
      <c r="A1292" s="17" t="s">
        <v>156</v>
      </c>
      <c r="B1292" s="18" t="s">
        <v>173</v>
      </c>
      <c r="C1292" s="18" t="s">
        <v>128</v>
      </c>
      <c r="D1292" s="18">
        <v>43</v>
      </c>
      <c r="E1292" s="17" t="s">
        <v>141</v>
      </c>
      <c r="F1292" s="19">
        <v>1507</v>
      </c>
      <c r="G1292" s="20">
        <f>F1292+(VLOOKUP(D1292,'(Semelles.Monument.€HT)'!C:G,3,FALSE()))</f>
        <v>1778</v>
      </c>
      <c r="H1292" s="21">
        <f>F1292+(VLOOKUP(D1292,'(Semelles.Monument.€HT)'!C:G,4,FALSE()))</f>
        <v>1857</v>
      </c>
      <c r="I1292" s="22">
        <f>F1292+(VLOOKUP(D1292,'(Semelles.Monument.€HT)'!C:G,5,FALSE()))</f>
        <v>1940</v>
      </c>
    </row>
    <row r="1293" spans="1:9" ht="26" customHeight="1">
      <c r="A1293" s="2" t="s">
        <v>156</v>
      </c>
      <c r="B1293" s="13" t="s">
        <v>173</v>
      </c>
      <c r="C1293" s="13" t="s">
        <v>128</v>
      </c>
      <c r="D1293" s="13">
        <v>44</v>
      </c>
      <c r="E1293" s="2" t="s">
        <v>142</v>
      </c>
      <c r="F1293" s="7">
        <v>1525</v>
      </c>
      <c r="G1293" s="3">
        <f>F1293+(VLOOKUP(D1293,'(Semelles.Monument.€HT)'!C:G,3,FALSE()))</f>
        <v>1800</v>
      </c>
      <c r="H1293" s="4">
        <f>F1293+(VLOOKUP(D1293,'(Semelles.Monument.€HT)'!C:G,4,FALSE()))</f>
        <v>1879</v>
      </c>
      <c r="I1293" s="5">
        <f>F1293+(VLOOKUP(D1293,'(Semelles.Monument.€HT)'!C:G,5,FALSE()))</f>
        <v>1963</v>
      </c>
    </row>
    <row r="1294" spans="1:9" ht="26" customHeight="1">
      <c r="A1294" s="17" t="s">
        <v>156</v>
      </c>
      <c r="B1294" s="18" t="s">
        <v>173</v>
      </c>
      <c r="C1294" s="18" t="s">
        <v>128</v>
      </c>
      <c r="D1294" s="18">
        <v>45</v>
      </c>
      <c r="E1294" s="17" t="s">
        <v>143</v>
      </c>
      <c r="F1294" s="19">
        <v>1542</v>
      </c>
      <c r="G1294" s="20">
        <f>F1294+(VLOOKUP(D1294,'(Semelles.Monument.€HT)'!C:G,3,FALSE()))</f>
        <v>1820</v>
      </c>
      <c r="H1294" s="21">
        <f>F1294+(VLOOKUP(D1294,'(Semelles.Monument.€HT)'!C:G,4,FALSE()))</f>
        <v>1900</v>
      </c>
      <c r="I1294" s="22">
        <f>F1294+(VLOOKUP(D1294,'(Semelles.Monument.€HT)'!C:G,5,FALSE()))</f>
        <v>1985</v>
      </c>
    </row>
    <row r="1295" spans="1:9" ht="26" customHeight="1">
      <c r="A1295" s="2" t="s">
        <v>156</v>
      </c>
      <c r="B1295" s="13" t="s">
        <v>173</v>
      </c>
      <c r="C1295" s="13" t="s">
        <v>128</v>
      </c>
      <c r="D1295" s="13">
        <v>46</v>
      </c>
      <c r="E1295" s="2" t="s">
        <v>144</v>
      </c>
      <c r="F1295" s="7">
        <v>1542</v>
      </c>
      <c r="G1295" s="3">
        <f>F1295+(VLOOKUP(D1295,'(Semelles.Monument.€HT)'!C:G,3,FALSE()))</f>
        <v>1820</v>
      </c>
      <c r="H1295" s="4">
        <f>F1295+(VLOOKUP(D1295,'(Semelles.Monument.€HT)'!C:G,4,FALSE()))</f>
        <v>1900</v>
      </c>
      <c r="I1295" s="5">
        <f>F1295+(VLOOKUP(D1295,'(Semelles.Monument.€HT)'!C:G,5,FALSE()))</f>
        <v>1985</v>
      </c>
    </row>
    <row r="1296" spans="1:9" ht="26" customHeight="1">
      <c r="A1296" s="17" t="s">
        <v>156</v>
      </c>
      <c r="B1296" s="18" t="s">
        <v>173</v>
      </c>
      <c r="C1296" s="18" t="s">
        <v>128</v>
      </c>
      <c r="D1296" s="18">
        <v>47</v>
      </c>
      <c r="E1296" s="17" t="s">
        <v>145</v>
      </c>
      <c r="F1296" s="19">
        <v>1573</v>
      </c>
      <c r="G1296" s="20">
        <f>F1296+(VLOOKUP(D1296,'(Semelles.Monument.€HT)'!C:G,3,FALSE()))</f>
        <v>1857</v>
      </c>
      <c r="H1296" s="21">
        <f>F1296+(VLOOKUP(D1296,'(Semelles.Monument.€HT)'!C:G,4,FALSE()))</f>
        <v>1939</v>
      </c>
      <c r="I1296" s="22">
        <f>F1296+(VLOOKUP(D1296,'(Semelles.Monument.€HT)'!C:G,5,FALSE()))</f>
        <v>2025</v>
      </c>
    </row>
    <row r="1297" spans="1:9" ht="26" customHeight="1">
      <c r="A1297" s="2" t="s">
        <v>156</v>
      </c>
      <c r="B1297" s="13" t="s">
        <v>173</v>
      </c>
      <c r="C1297" s="13" t="s">
        <v>128</v>
      </c>
      <c r="D1297" s="13">
        <v>48</v>
      </c>
      <c r="E1297" s="2" t="s">
        <v>146</v>
      </c>
      <c r="F1297" s="7">
        <v>1590</v>
      </c>
      <c r="G1297" s="3">
        <f>F1297+(VLOOKUP(D1297,'(Semelles.Monument.€HT)'!C:G,3,FALSE()))</f>
        <v>1877</v>
      </c>
      <c r="H1297" s="4">
        <f>F1297+(VLOOKUP(D1297,'(Semelles.Monument.€HT)'!C:G,4,FALSE()))</f>
        <v>1960</v>
      </c>
      <c r="I1297" s="5">
        <f>F1297+(VLOOKUP(D1297,'(Semelles.Monument.€HT)'!C:G,5,FALSE()))</f>
        <v>2047</v>
      </c>
    </row>
    <row r="1298" spans="1:9" ht="26" customHeight="1">
      <c r="A1298" s="17" t="s">
        <v>156</v>
      </c>
      <c r="B1298" s="18" t="s">
        <v>174</v>
      </c>
      <c r="C1298" s="18" t="s">
        <v>97</v>
      </c>
      <c r="D1298" s="18">
        <v>1</v>
      </c>
      <c r="E1298" s="17" t="s">
        <v>98</v>
      </c>
      <c r="F1298" s="19">
        <v>805</v>
      </c>
      <c r="G1298" s="20">
        <f>F1298+(VLOOKUP(D1298,'(Semelles.Monument.€HT)'!C:G,3,FALSE()))</f>
        <v>963</v>
      </c>
      <c r="H1298" s="21">
        <f>F1298+(VLOOKUP(D1298,'(Semelles.Monument.€HT)'!C:G,4,FALSE()))</f>
        <v>1009</v>
      </c>
      <c r="I1298" s="22">
        <f>F1298+(VLOOKUP(D1298,'(Semelles.Monument.€HT)'!C:G,5,FALSE()))</f>
        <v>1057</v>
      </c>
    </row>
    <row r="1299" spans="1:9" ht="26" customHeight="1">
      <c r="A1299" s="2" t="s">
        <v>156</v>
      </c>
      <c r="B1299" s="13" t="s">
        <v>174</v>
      </c>
      <c r="C1299" s="13" t="s">
        <v>97</v>
      </c>
      <c r="D1299" s="13">
        <v>2</v>
      </c>
      <c r="E1299" s="2" t="s">
        <v>99</v>
      </c>
      <c r="F1299" s="7">
        <v>804</v>
      </c>
      <c r="G1299" s="3">
        <f>F1299+(VLOOKUP(D1299,'(Semelles.Monument.€HT)'!C:G,3,FALSE()))</f>
        <v>962</v>
      </c>
      <c r="H1299" s="4">
        <f>F1299+(VLOOKUP(D1299,'(Semelles.Monument.€HT)'!C:G,4,FALSE()))</f>
        <v>1008</v>
      </c>
      <c r="I1299" s="5">
        <f>F1299+(VLOOKUP(D1299,'(Semelles.Monument.€HT)'!C:G,5,FALSE()))</f>
        <v>1056</v>
      </c>
    </row>
    <row r="1300" spans="1:9" ht="26" customHeight="1">
      <c r="A1300" s="17" t="s">
        <v>156</v>
      </c>
      <c r="B1300" s="18" t="s">
        <v>174</v>
      </c>
      <c r="C1300" s="18" t="s">
        <v>97</v>
      </c>
      <c r="D1300" s="18">
        <v>3</v>
      </c>
      <c r="E1300" s="17" t="s">
        <v>100</v>
      </c>
      <c r="F1300" s="19">
        <v>895</v>
      </c>
      <c r="G1300" s="20">
        <f>F1300+(VLOOKUP(D1300,'(Semelles.Monument.€HT)'!C:G,3,FALSE()))</f>
        <v>1071</v>
      </c>
      <c r="H1300" s="21">
        <f>F1300+(VLOOKUP(D1300,'(Semelles.Monument.€HT)'!C:G,4,FALSE()))</f>
        <v>1122</v>
      </c>
      <c r="I1300" s="22">
        <f>F1300+(VLOOKUP(D1300,'(Semelles.Monument.€HT)'!C:G,5,FALSE()))</f>
        <v>1175</v>
      </c>
    </row>
    <row r="1301" spans="1:9" ht="26" customHeight="1">
      <c r="A1301" s="2" t="s">
        <v>156</v>
      </c>
      <c r="B1301" s="13" t="s">
        <v>174</v>
      </c>
      <c r="C1301" s="13" t="s">
        <v>97</v>
      </c>
      <c r="D1301" s="13">
        <v>4</v>
      </c>
      <c r="E1301" s="2" t="s">
        <v>101</v>
      </c>
      <c r="F1301" s="7">
        <v>909</v>
      </c>
      <c r="G1301" s="3">
        <f>F1301+(VLOOKUP(D1301,'(Semelles.Monument.€HT)'!C:G,3,FALSE()))</f>
        <v>1088</v>
      </c>
      <c r="H1301" s="4">
        <f>F1301+(VLOOKUP(D1301,'(Semelles.Monument.€HT)'!C:G,4,FALSE()))</f>
        <v>1140</v>
      </c>
      <c r="I1301" s="5">
        <f>F1301+(VLOOKUP(D1301,'(Semelles.Monument.€HT)'!C:G,5,FALSE()))</f>
        <v>1194</v>
      </c>
    </row>
    <row r="1302" spans="1:9" ht="26" customHeight="1">
      <c r="A1302" s="17" t="s">
        <v>156</v>
      </c>
      <c r="B1302" s="18" t="s">
        <v>174</v>
      </c>
      <c r="C1302" s="18" t="s">
        <v>97</v>
      </c>
      <c r="D1302" s="18">
        <v>5</v>
      </c>
      <c r="E1302" s="17" t="s">
        <v>102</v>
      </c>
      <c r="F1302" s="19">
        <v>909</v>
      </c>
      <c r="G1302" s="20">
        <f>F1302+(VLOOKUP(D1302,'(Semelles.Monument.€HT)'!C:G,3,FALSE()))</f>
        <v>1088</v>
      </c>
      <c r="H1302" s="21">
        <f>F1302+(VLOOKUP(D1302,'(Semelles.Monument.€HT)'!C:G,4,FALSE()))</f>
        <v>1140</v>
      </c>
      <c r="I1302" s="22">
        <f>F1302+(VLOOKUP(D1302,'(Semelles.Monument.€HT)'!C:G,5,FALSE()))</f>
        <v>1194</v>
      </c>
    </row>
    <row r="1303" spans="1:9" ht="26" customHeight="1">
      <c r="A1303" s="2" t="s">
        <v>156</v>
      </c>
      <c r="B1303" s="13" t="s">
        <v>174</v>
      </c>
      <c r="C1303" s="13" t="s">
        <v>97</v>
      </c>
      <c r="D1303" s="13">
        <v>6</v>
      </c>
      <c r="E1303" s="2" t="s">
        <v>103</v>
      </c>
      <c r="F1303" s="7">
        <v>914</v>
      </c>
      <c r="G1303" s="3">
        <f>F1303+(VLOOKUP(D1303,'(Semelles.Monument.€HT)'!C:G,3,FALSE()))</f>
        <v>1094</v>
      </c>
      <c r="H1303" s="4">
        <f>F1303+(VLOOKUP(D1303,'(Semelles.Monument.€HT)'!C:G,4,FALSE()))</f>
        <v>1146</v>
      </c>
      <c r="I1303" s="5">
        <f>F1303+(VLOOKUP(D1303,'(Semelles.Monument.€HT)'!C:G,5,FALSE()))</f>
        <v>1201</v>
      </c>
    </row>
    <row r="1304" spans="1:9" ht="26" customHeight="1">
      <c r="A1304" s="17" t="s">
        <v>156</v>
      </c>
      <c r="B1304" s="18" t="s">
        <v>174</v>
      </c>
      <c r="C1304" s="18" t="s">
        <v>97</v>
      </c>
      <c r="D1304" s="18">
        <v>7</v>
      </c>
      <c r="E1304" s="17" t="s">
        <v>104</v>
      </c>
      <c r="F1304" s="19">
        <v>914</v>
      </c>
      <c r="G1304" s="20">
        <f>F1304+(VLOOKUP(D1304,'(Semelles.Monument.€HT)'!C:G,3,FALSE()))</f>
        <v>1094</v>
      </c>
      <c r="H1304" s="21">
        <f>F1304+(VLOOKUP(D1304,'(Semelles.Monument.€HT)'!C:G,4,FALSE()))</f>
        <v>1146</v>
      </c>
      <c r="I1304" s="22">
        <f>F1304+(VLOOKUP(D1304,'(Semelles.Monument.€HT)'!C:G,5,FALSE()))</f>
        <v>1201</v>
      </c>
    </row>
    <row r="1305" spans="1:9" ht="26" customHeight="1">
      <c r="A1305" s="2" t="s">
        <v>156</v>
      </c>
      <c r="B1305" s="13" t="s">
        <v>174</v>
      </c>
      <c r="C1305" s="13" t="s">
        <v>97</v>
      </c>
      <c r="D1305" s="13">
        <v>8</v>
      </c>
      <c r="E1305" s="2" t="s">
        <v>105</v>
      </c>
      <c r="F1305" s="7">
        <v>914</v>
      </c>
      <c r="G1305" s="3">
        <f>F1305+(VLOOKUP(D1305,'(Semelles.Monument.€HT)'!C:G,3,FALSE()))</f>
        <v>1094</v>
      </c>
      <c r="H1305" s="4">
        <f>F1305+(VLOOKUP(D1305,'(Semelles.Monument.€HT)'!C:G,4,FALSE()))</f>
        <v>1146</v>
      </c>
      <c r="I1305" s="5">
        <f>F1305+(VLOOKUP(D1305,'(Semelles.Monument.€HT)'!C:G,5,FALSE()))</f>
        <v>1201</v>
      </c>
    </row>
    <row r="1306" spans="1:9" ht="26" customHeight="1">
      <c r="A1306" s="17" t="s">
        <v>156</v>
      </c>
      <c r="B1306" s="18" t="s">
        <v>174</v>
      </c>
      <c r="C1306" s="18" t="s">
        <v>97</v>
      </c>
      <c r="D1306" s="18">
        <v>9</v>
      </c>
      <c r="E1306" s="17" t="s">
        <v>106</v>
      </c>
      <c r="F1306" s="19">
        <v>914</v>
      </c>
      <c r="G1306" s="20">
        <f>F1306+(VLOOKUP(D1306,'(Semelles.Monument.€HT)'!C:G,3,FALSE()))</f>
        <v>1094</v>
      </c>
      <c r="H1306" s="21">
        <f>F1306+(VLOOKUP(D1306,'(Semelles.Monument.€HT)'!C:G,4,FALSE()))</f>
        <v>1146</v>
      </c>
      <c r="I1306" s="22">
        <f>F1306+(VLOOKUP(D1306,'(Semelles.Monument.€HT)'!C:G,5,FALSE()))</f>
        <v>1201</v>
      </c>
    </row>
    <row r="1307" spans="1:9" ht="26" customHeight="1">
      <c r="A1307" s="2" t="s">
        <v>156</v>
      </c>
      <c r="B1307" s="13" t="s">
        <v>174</v>
      </c>
      <c r="C1307" s="13" t="s">
        <v>97</v>
      </c>
      <c r="D1307" s="13">
        <v>10</v>
      </c>
      <c r="E1307" s="2" t="s">
        <v>107</v>
      </c>
      <c r="F1307" s="7">
        <v>914</v>
      </c>
      <c r="G1307" s="3">
        <f>F1307+(VLOOKUP(D1307,'(Semelles.Monument.€HT)'!C:G,3,FALSE()))</f>
        <v>1094</v>
      </c>
      <c r="H1307" s="4">
        <f>F1307+(VLOOKUP(D1307,'(Semelles.Monument.€HT)'!C:G,4,FALSE()))</f>
        <v>1146</v>
      </c>
      <c r="I1307" s="5">
        <f>F1307+(VLOOKUP(D1307,'(Semelles.Monument.€HT)'!C:G,5,FALSE()))</f>
        <v>1201</v>
      </c>
    </row>
    <row r="1308" spans="1:9" ht="26" customHeight="1">
      <c r="A1308" s="17" t="s">
        <v>156</v>
      </c>
      <c r="B1308" s="18" t="s">
        <v>174</v>
      </c>
      <c r="C1308" s="18" t="s">
        <v>97</v>
      </c>
      <c r="D1308" s="18">
        <v>11</v>
      </c>
      <c r="E1308" s="17" t="s">
        <v>108</v>
      </c>
      <c r="F1308" s="19">
        <v>914</v>
      </c>
      <c r="G1308" s="20">
        <f>F1308+(VLOOKUP(D1308,'(Semelles.Monument.€HT)'!C:G,3,FALSE()))</f>
        <v>1094</v>
      </c>
      <c r="H1308" s="21">
        <f>F1308+(VLOOKUP(D1308,'(Semelles.Monument.€HT)'!C:G,4,FALSE()))</f>
        <v>1146</v>
      </c>
      <c r="I1308" s="22">
        <f>F1308+(VLOOKUP(D1308,'(Semelles.Monument.€HT)'!C:G,5,FALSE()))</f>
        <v>1201</v>
      </c>
    </row>
    <row r="1309" spans="1:9" ht="26" customHeight="1">
      <c r="A1309" s="2" t="s">
        <v>156</v>
      </c>
      <c r="B1309" s="13" t="s">
        <v>174</v>
      </c>
      <c r="C1309" s="13" t="s">
        <v>97</v>
      </c>
      <c r="D1309" s="13">
        <v>12</v>
      </c>
      <c r="E1309" s="2" t="s">
        <v>109</v>
      </c>
      <c r="F1309" s="7">
        <v>927</v>
      </c>
      <c r="G1309" s="3">
        <f>F1309+(VLOOKUP(D1309,'(Semelles.Monument.€HT)'!C:G,3,FALSE()))</f>
        <v>1109</v>
      </c>
      <c r="H1309" s="4">
        <f>F1309+(VLOOKUP(D1309,'(Semelles.Monument.€HT)'!C:G,4,FALSE()))</f>
        <v>1162</v>
      </c>
      <c r="I1309" s="5">
        <f>F1309+(VLOOKUP(D1309,'(Semelles.Monument.€HT)'!C:G,5,FALSE()))</f>
        <v>1218</v>
      </c>
    </row>
    <row r="1310" spans="1:9" ht="26" customHeight="1">
      <c r="A1310" s="17" t="s">
        <v>156</v>
      </c>
      <c r="B1310" s="18" t="s">
        <v>174</v>
      </c>
      <c r="C1310" s="18" t="s">
        <v>97</v>
      </c>
      <c r="D1310" s="18">
        <v>13</v>
      </c>
      <c r="E1310" s="17" t="s">
        <v>110</v>
      </c>
      <c r="F1310" s="19">
        <v>927</v>
      </c>
      <c r="G1310" s="20">
        <f>F1310+(VLOOKUP(D1310,'(Semelles.Monument.€HT)'!C:G,3,FALSE()))</f>
        <v>1109</v>
      </c>
      <c r="H1310" s="21">
        <f>F1310+(VLOOKUP(D1310,'(Semelles.Monument.€HT)'!C:G,4,FALSE()))</f>
        <v>1162</v>
      </c>
      <c r="I1310" s="22">
        <f>F1310+(VLOOKUP(D1310,'(Semelles.Monument.€HT)'!C:G,5,FALSE()))</f>
        <v>1218</v>
      </c>
    </row>
    <row r="1311" spans="1:9" ht="26" customHeight="1">
      <c r="A1311" s="2" t="s">
        <v>156</v>
      </c>
      <c r="B1311" s="13" t="s">
        <v>174</v>
      </c>
      <c r="C1311" s="13" t="s">
        <v>97</v>
      </c>
      <c r="D1311" s="13">
        <v>14</v>
      </c>
      <c r="E1311" s="2" t="s">
        <v>111</v>
      </c>
      <c r="F1311" s="7">
        <v>931</v>
      </c>
      <c r="G1311" s="3">
        <f>F1311+(VLOOKUP(D1311,'(Semelles.Monument.€HT)'!C:G,3,FALSE()))</f>
        <v>1114</v>
      </c>
      <c r="H1311" s="4">
        <f>F1311+(VLOOKUP(D1311,'(Semelles.Monument.€HT)'!C:G,4,FALSE()))</f>
        <v>1167</v>
      </c>
      <c r="I1311" s="5">
        <f>F1311+(VLOOKUP(D1311,'(Semelles.Monument.€HT)'!C:G,5,FALSE()))</f>
        <v>1223</v>
      </c>
    </row>
    <row r="1312" spans="1:9" ht="26" customHeight="1">
      <c r="A1312" s="17" t="s">
        <v>156</v>
      </c>
      <c r="B1312" s="18" t="s">
        <v>174</v>
      </c>
      <c r="C1312" s="18" t="s">
        <v>97</v>
      </c>
      <c r="D1312" s="18">
        <v>15</v>
      </c>
      <c r="E1312" s="17" t="s">
        <v>112</v>
      </c>
      <c r="F1312" s="19">
        <v>931</v>
      </c>
      <c r="G1312" s="20">
        <f>F1312+(VLOOKUP(D1312,'(Semelles.Monument.€HT)'!C:G,3,FALSE()))</f>
        <v>1114</v>
      </c>
      <c r="H1312" s="21">
        <f>F1312+(VLOOKUP(D1312,'(Semelles.Monument.€HT)'!C:G,4,FALSE()))</f>
        <v>1167</v>
      </c>
      <c r="I1312" s="22">
        <f>F1312+(VLOOKUP(D1312,'(Semelles.Monument.€HT)'!C:G,5,FALSE()))</f>
        <v>1223</v>
      </c>
    </row>
    <row r="1313" spans="1:9" ht="26" customHeight="1">
      <c r="A1313" s="2" t="s">
        <v>156</v>
      </c>
      <c r="B1313" s="13" t="s">
        <v>174</v>
      </c>
      <c r="C1313" s="13" t="s">
        <v>97</v>
      </c>
      <c r="D1313" s="13">
        <v>16</v>
      </c>
      <c r="E1313" s="2" t="s">
        <v>113</v>
      </c>
      <c r="F1313" s="7">
        <v>931</v>
      </c>
      <c r="G1313" s="3">
        <f>F1313+(VLOOKUP(D1313,'(Semelles.Monument.€HT)'!C:G,3,FALSE()))</f>
        <v>1114</v>
      </c>
      <c r="H1313" s="4">
        <f>F1313+(VLOOKUP(D1313,'(Semelles.Monument.€HT)'!C:G,4,FALSE()))</f>
        <v>1167</v>
      </c>
      <c r="I1313" s="5">
        <f>F1313+(VLOOKUP(D1313,'(Semelles.Monument.€HT)'!C:G,5,FALSE()))</f>
        <v>1223</v>
      </c>
    </row>
    <row r="1314" spans="1:9" ht="26" customHeight="1">
      <c r="A1314" s="17" t="s">
        <v>156</v>
      </c>
      <c r="B1314" s="18" t="s">
        <v>174</v>
      </c>
      <c r="C1314" s="18" t="s">
        <v>97</v>
      </c>
      <c r="D1314" s="18">
        <v>17</v>
      </c>
      <c r="E1314" s="17" t="s">
        <v>114</v>
      </c>
      <c r="F1314" s="19">
        <v>947</v>
      </c>
      <c r="G1314" s="20">
        <f>F1314+(VLOOKUP(D1314,'(Semelles.Monument.€HT)'!C:G,3,FALSE()))</f>
        <v>1133</v>
      </c>
      <c r="H1314" s="21">
        <f>F1314+(VLOOKUP(D1314,'(Semelles.Monument.€HT)'!C:G,4,FALSE()))</f>
        <v>1187</v>
      </c>
      <c r="I1314" s="22">
        <f>F1314+(VLOOKUP(D1314,'(Semelles.Monument.€HT)'!C:G,5,FALSE()))</f>
        <v>1244</v>
      </c>
    </row>
    <row r="1315" spans="1:9" ht="26" customHeight="1">
      <c r="A1315" s="2" t="s">
        <v>156</v>
      </c>
      <c r="B1315" s="13" t="s">
        <v>174</v>
      </c>
      <c r="C1315" s="13" t="s">
        <v>97</v>
      </c>
      <c r="D1315" s="13">
        <v>18</v>
      </c>
      <c r="E1315" s="2" t="s">
        <v>115</v>
      </c>
      <c r="F1315" s="7">
        <v>947</v>
      </c>
      <c r="G1315" s="3">
        <f>F1315+(VLOOKUP(D1315,'(Semelles.Monument.€HT)'!C:G,3,FALSE()))</f>
        <v>1133</v>
      </c>
      <c r="H1315" s="4">
        <f>F1315+(VLOOKUP(D1315,'(Semelles.Monument.€HT)'!C:G,4,FALSE()))</f>
        <v>1187</v>
      </c>
      <c r="I1315" s="5">
        <f>F1315+(VLOOKUP(D1315,'(Semelles.Monument.€HT)'!C:G,5,FALSE()))</f>
        <v>1244</v>
      </c>
    </row>
    <row r="1316" spans="1:9" ht="26" customHeight="1">
      <c r="A1316" s="17" t="s">
        <v>156</v>
      </c>
      <c r="B1316" s="18" t="s">
        <v>174</v>
      </c>
      <c r="C1316" s="18" t="s">
        <v>97</v>
      </c>
      <c r="D1316" s="18">
        <v>19</v>
      </c>
      <c r="E1316" s="17" t="s">
        <v>116</v>
      </c>
      <c r="F1316" s="19">
        <v>947</v>
      </c>
      <c r="G1316" s="20">
        <f>F1316+(VLOOKUP(D1316,'(Semelles.Monument.€HT)'!C:G,3,FALSE()))</f>
        <v>1133</v>
      </c>
      <c r="H1316" s="21">
        <f>F1316+(VLOOKUP(D1316,'(Semelles.Monument.€HT)'!C:G,4,FALSE()))</f>
        <v>1187</v>
      </c>
      <c r="I1316" s="22">
        <f>F1316+(VLOOKUP(D1316,'(Semelles.Monument.€HT)'!C:G,5,FALSE()))</f>
        <v>1244</v>
      </c>
    </row>
    <row r="1317" spans="1:9" ht="26" customHeight="1">
      <c r="A1317" s="2" t="s">
        <v>156</v>
      </c>
      <c r="B1317" s="13" t="s">
        <v>174</v>
      </c>
      <c r="C1317" s="13" t="s">
        <v>97</v>
      </c>
      <c r="D1317" s="13">
        <v>20</v>
      </c>
      <c r="E1317" s="2" t="s">
        <v>117</v>
      </c>
      <c r="F1317" s="7">
        <v>954</v>
      </c>
      <c r="G1317" s="3">
        <f>F1317+(VLOOKUP(D1317,'(Semelles.Monument.€HT)'!C:G,3,FALSE()))</f>
        <v>1142</v>
      </c>
      <c r="H1317" s="4">
        <f>F1317+(VLOOKUP(D1317,'(Semelles.Monument.€HT)'!C:G,4,FALSE()))</f>
        <v>1196</v>
      </c>
      <c r="I1317" s="5">
        <f>F1317+(VLOOKUP(D1317,'(Semelles.Monument.€HT)'!C:G,5,FALSE()))</f>
        <v>1253</v>
      </c>
    </row>
    <row r="1318" spans="1:9" ht="26" customHeight="1">
      <c r="A1318" s="17" t="s">
        <v>156</v>
      </c>
      <c r="B1318" s="18" t="s">
        <v>174</v>
      </c>
      <c r="C1318" s="18" t="s">
        <v>97</v>
      </c>
      <c r="D1318" s="18">
        <v>21</v>
      </c>
      <c r="E1318" s="17" t="s">
        <v>118</v>
      </c>
      <c r="F1318" s="19">
        <v>960</v>
      </c>
      <c r="G1318" s="20">
        <f>F1318+(VLOOKUP(D1318,'(Semelles.Monument.€HT)'!C:G,3,FALSE()))</f>
        <v>1149</v>
      </c>
      <c r="H1318" s="21">
        <f>F1318+(VLOOKUP(D1318,'(Semelles.Monument.€HT)'!C:G,4,FALSE()))</f>
        <v>1203</v>
      </c>
      <c r="I1318" s="22">
        <f>F1318+(VLOOKUP(D1318,'(Semelles.Monument.€HT)'!C:G,5,FALSE()))</f>
        <v>1261</v>
      </c>
    </row>
    <row r="1319" spans="1:9" ht="26" customHeight="1">
      <c r="A1319" s="2" t="s">
        <v>156</v>
      </c>
      <c r="B1319" s="13" t="s">
        <v>174</v>
      </c>
      <c r="C1319" s="13" t="s">
        <v>97</v>
      </c>
      <c r="D1319" s="13">
        <v>22</v>
      </c>
      <c r="E1319" s="2" t="s">
        <v>119</v>
      </c>
      <c r="F1319" s="7">
        <v>960</v>
      </c>
      <c r="G1319" s="3">
        <f>F1319+(VLOOKUP(D1319,'(Semelles.Monument.€HT)'!C:G,3,FALSE()))</f>
        <v>1149</v>
      </c>
      <c r="H1319" s="4">
        <f>F1319+(VLOOKUP(D1319,'(Semelles.Monument.€HT)'!C:G,4,FALSE()))</f>
        <v>1203</v>
      </c>
      <c r="I1319" s="5">
        <f>F1319+(VLOOKUP(D1319,'(Semelles.Monument.€HT)'!C:G,5,FALSE()))</f>
        <v>1261</v>
      </c>
    </row>
    <row r="1320" spans="1:9" ht="26" customHeight="1">
      <c r="A1320" s="17" t="s">
        <v>156</v>
      </c>
      <c r="B1320" s="18" t="s">
        <v>174</v>
      </c>
      <c r="C1320" s="18" t="s">
        <v>97</v>
      </c>
      <c r="D1320" s="18">
        <v>23</v>
      </c>
      <c r="E1320" s="17" t="s">
        <v>120</v>
      </c>
      <c r="F1320" s="19">
        <v>975</v>
      </c>
      <c r="G1320" s="20">
        <f>F1320+(VLOOKUP(D1320,'(Semelles.Monument.€HT)'!C:G,3,FALSE()))</f>
        <v>1167</v>
      </c>
      <c r="H1320" s="21">
        <f>F1320+(VLOOKUP(D1320,'(Semelles.Monument.€HT)'!C:G,4,FALSE()))</f>
        <v>1222</v>
      </c>
      <c r="I1320" s="22">
        <f>F1320+(VLOOKUP(D1320,'(Semelles.Monument.€HT)'!C:G,5,FALSE()))</f>
        <v>1280</v>
      </c>
    </row>
    <row r="1321" spans="1:9" ht="26" customHeight="1">
      <c r="A1321" s="2" t="s">
        <v>156</v>
      </c>
      <c r="B1321" s="13" t="s">
        <v>174</v>
      </c>
      <c r="C1321" s="13" t="s">
        <v>97</v>
      </c>
      <c r="D1321" s="13">
        <v>24</v>
      </c>
      <c r="E1321" s="2" t="s">
        <v>121</v>
      </c>
      <c r="F1321" s="7">
        <v>975</v>
      </c>
      <c r="G1321" s="3">
        <f>F1321+(VLOOKUP(D1321,'(Semelles.Monument.€HT)'!C:G,3,FALSE()))</f>
        <v>1167</v>
      </c>
      <c r="H1321" s="4">
        <f>F1321+(VLOOKUP(D1321,'(Semelles.Monument.€HT)'!C:G,4,FALSE()))</f>
        <v>1222</v>
      </c>
      <c r="I1321" s="5">
        <f>F1321+(VLOOKUP(D1321,'(Semelles.Monument.€HT)'!C:G,5,FALSE()))</f>
        <v>1280</v>
      </c>
    </row>
    <row r="1322" spans="1:9" ht="26" customHeight="1">
      <c r="A1322" s="17" t="s">
        <v>156</v>
      </c>
      <c r="B1322" s="18" t="s">
        <v>174</v>
      </c>
      <c r="C1322" s="18" t="s">
        <v>97</v>
      </c>
      <c r="D1322" s="18">
        <v>25</v>
      </c>
      <c r="E1322" s="17" t="s">
        <v>122</v>
      </c>
      <c r="F1322" s="19">
        <v>975</v>
      </c>
      <c r="G1322" s="20">
        <f>F1322+(VLOOKUP(D1322,'(Semelles.Monument.€HT)'!C:G,3,FALSE()))</f>
        <v>1167</v>
      </c>
      <c r="H1322" s="21">
        <f>F1322+(VLOOKUP(D1322,'(Semelles.Monument.€HT)'!C:G,4,FALSE()))</f>
        <v>1222</v>
      </c>
      <c r="I1322" s="22">
        <f>F1322+(VLOOKUP(D1322,'(Semelles.Monument.€HT)'!C:G,5,FALSE()))</f>
        <v>1280</v>
      </c>
    </row>
    <row r="1323" spans="1:9" ht="26" customHeight="1">
      <c r="A1323" s="2" t="s">
        <v>156</v>
      </c>
      <c r="B1323" s="13" t="s">
        <v>174</v>
      </c>
      <c r="C1323" s="13" t="s">
        <v>97</v>
      </c>
      <c r="D1323" s="13">
        <v>26</v>
      </c>
      <c r="E1323" s="2" t="s">
        <v>123</v>
      </c>
      <c r="F1323" s="7">
        <v>991</v>
      </c>
      <c r="G1323" s="3">
        <f>F1323+(VLOOKUP(D1323,'(Semelles.Monument.€HT)'!C:G,3,FALSE()))</f>
        <v>1186</v>
      </c>
      <c r="H1323" s="4">
        <f>F1323+(VLOOKUP(D1323,'(Semelles.Monument.€HT)'!C:G,4,FALSE()))</f>
        <v>1242</v>
      </c>
      <c r="I1323" s="5">
        <f>F1323+(VLOOKUP(D1323,'(Semelles.Monument.€HT)'!C:G,5,FALSE()))</f>
        <v>1301</v>
      </c>
    </row>
    <row r="1324" spans="1:9" ht="26" customHeight="1">
      <c r="A1324" s="17" t="s">
        <v>156</v>
      </c>
      <c r="B1324" s="18" t="s">
        <v>174</v>
      </c>
      <c r="C1324" s="18" t="s">
        <v>97</v>
      </c>
      <c r="D1324" s="18">
        <v>27</v>
      </c>
      <c r="E1324" s="17" t="s">
        <v>124</v>
      </c>
      <c r="F1324" s="19">
        <v>1056</v>
      </c>
      <c r="G1324" s="20">
        <f>F1324+(VLOOKUP(D1324,'(Semelles.Monument.€HT)'!C:G,3,FALSE()))</f>
        <v>1264</v>
      </c>
      <c r="H1324" s="21">
        <f>F1324+(VLOOKUP(D1324,'(Semelles.Monument.€HT)'!C:G,4,FALSE()))</f>
        <v>1324</v>
      </c>
      <c r="I1324" s="22">
        <f>F1324+(VLOOKUP(D1324,'(Semelles.Monument.€HT)'!C:G,5,FALSE()))</f>
        <v>1423</v>
      </c>
    </row>
    <row r="1325" spans="1:9" ht="26" customHeight="1">
      <c r="A1325" s="2" t="s">
        <v>156</v>
      </c>
      <c r="B1325" s="13" t="s">
        <v>174</v>
      </c>
      <c r="C1325" s="13" t="s">
        <v>97</v>
      </c>
      <c r="D1325" s="13">
        <v>28</v>
      </c>
      <c r="E1325" s="2" t="s">
        <v>125</v>
      </c>
      <c r="F1325" s="7">
        <v>1170</v>
      </c>
      <c r="G1325" s="3">
        <f>F1325+(VLOOKUP(D1325,'(Semelles.Monument.€HT)'!C:G,3,FALSE()))</f>
        <v>1400</v>
      </c>
      <c r="H1325" s="4">
        <f>F1325+(VLOOKUP(D1325,'(Semelles.Monument.€HT)'!C:G,4,FALSE()))</f>
        <v>1467</v>
      </c>
      <c r="I1325" s="5">
        <f>F1325+(VLOOKUP(D1325,'(Semelles.Monument.€HT)'!C:G,5,FALSE()))</f>
        <v>1537</v>
      </c>
    </row>
    <row r="1326" spans="1:9" ht="26" customHeight="1">
      <c r="A1326" s="17" t="s">
        <v>156</v>
      </c>
      <c r="B1326" s="18" t="s">
        <v>174</v>
      </c>
      <c r="C1326" s="18" t="s">
        <v>97</v>
      </c>
      <c r="D1326" s="18">
        <v>29</v>
      </c>
      <c r="E1326" s="17" t="s">
        <v>126</v>
      </c>
      <c r="F1326" s="19">
        <v>1219</v>
      </c>
      <c r="G1326" s="20">
        <f>F1326+(VLOOKUP(D1326,'(Semelles.Monument.€HT)'!C:G,3,FALSE()))</f>
        <v>1459</v>
      </c>
      <c r="H1326" s="21">
        <f>F1326+(VLOOKUP(D1326,'(Semelles.Monument.€HT)'!C:G,4,FALSE()))</f>
        <v>1528</v>
      </c>
      <c r="I1326" s="22">
        <f>F1326+(VLOOKUP(D1326,'(Semelles.Monument.€HT)'!C:G,5,FALSE()))</f>
        <v>1601</v>
      </c>
    </row>
    <row r="1327" spans="1:9" ht="26" customHeight="1">
      <c r="A1327" s="2" t="s">
        <v>156</v>
      </c>
      <c r="B1327" s="13" t="s">
        <v>174</v>
      </c>
      <c r="C1327" s="13" t="s">
        <v>97</v>
      </c>
      <c r="D1327" s="13">
        <v>30</v>
      </c>
      <c r="E1327" s="2" t="s">
        <v>127</v>
      </c>
      <c r="F1327" s="7">
        <v>1219</v>
      </c>
      <c r="G1327" s="3">
        <f>F1327+(VLOOKUP(D1327,'(Semelles.Monument.€HT)'!C:G,3,FALSE()))</f>
        <v>1459</v>
      </c>
      <c r="H1327" s="4">
        <f>F1327+(VLOOKUP(D1327,'(Semelles.Monument.€HT)'!C:G,4,FALSE()))</f>
        <v>1528</v>
      </c>
      <c r="I1327" s="5">
        <f>F1327+(VLOOKUP(D1327,'(Semelles.Monument.€HT)'!C:G,5,FALSE()))</f>
        <v>1601</v>
      </c>
    </row>
    <row r="1328" spans="1:9" ht="26" customHeight="1">
      <c r="A1328" s="17" t="s">
        <v>156</v>
      </c>
      <c r="B1328" s="18" t="s">
        <v>174</v>
      </c>
      <c r="C1328" s="18" t="s">
        <v>128</v>
      </c>
      <c r="D1328" s="18">
        <v>31</v>
      </c>
      <c r="E1328" s="17" t="s">
        <v>129</v>
      </c>
      <c r="F1328" s="19">
        <v>691</v>
      </c>
      <c r="G1328" s="20">
        <f>F1328+(VLOOKUP(D1328,'(Semelles.Monument.€HT)'!C:G,3,FALSE()))</f>
        <v>823</v>
      </c>
      <c r="H1328" s="21">
        <f>F1328+(VLOOKUP(D1328,'(Semelles.Monument.€HT)'!C:G,4,FALSE()))</f>
        <v>861</v>
      </c>
      <c r="I1328" s="22">
        <f>F1328+(VLOOKUP(D1328,'(Semelles.Monument.€HT)'!C:G,5,FALSE()))</f>
        <v>901</v>
      </c>
    </row>
    <row r="1329" spans="1:9" ht="26" customHeight="1">
      <c r="A1329" s="2" t="s">
        <v>156</v>
      </c>
      <c r="B1329" s="13" t="s">
        <v>174</v>
      </c>
      <c r="C1329" s="13" t="s">
        <v>128</v>
      </c>
      <c r="D1329" s="13">
        <v>32</v>
      </c>
      <c r="E1329" s="2" t="s">
        <v>130</v>
      </c>
      <c r="F1329" s="7">
        <v>701</v>
      </c>
      <c r="G1329" s="3">
        <f>F1329+(VLOOKUP(D1329,'(Semelles.Monument.€HT)'!C:G,3,FALSE()))</f>
        <v>835</v>
      </c>
      <c r="H1329" s="4">
        <f>F1329+(VLOOKUP(D1329,'(Semelles.Monument.€HT)'!C:G,4,FALSE()))</f>
        <v>874</v>
      </c>
      <c r="I1329" s="5">
        <f>F1329+(VLOOKUP(D1329,'(Semelles.Monument.€HT)'!C:G,5,FALSE()))</f>
        <v>914</v>
      </c>
    </row>
    <row r="1330" spans="1:9" ht="26" customHeight="1">
      <c r="A1330" s="17" t="s">
        <v>156</v>
      </c>
      <c r="B1330" s="18" t="s">
        <v>174</v>
      </c>
      <c r="C1330" s="18" t="s">
        <v>128</v>
      </c>
      <c r="D1330" s="18">
        <v>33</v>
      </c>
      <c r="E1330" s="17" t="s">
        <v>131</v>
      </c>
      <c r="F1330" s="19">
        <v>701</v>
      </c>
      <c r="G1330" s="20">
        <f>F1330+(VLOOKUP(D1330,'(Semelles.Monument.€HT)'!C:G,3,FALSE()))</f>
        <v>835</v>
      </c>
      <c r="H1330" s="21">
        <f>F1330+(VLOOKUP(D1330,'(Semelles.Monument.€HT)'!C:G,4,FALSE()))</f>
        <v>874</v>
      </c>
      <c r="I1330" s="22">
        <f>F1330+(VLOOKUP(D1330,'(Semelles.Monument.€HT)'!C:G,5,FALSE()))</f>
        <v>914</v>
      </c>
    </row>
    <row r="1331" spans="1:9" ht="26" customHeight="1">
      <c r="A1331" s="2" t="s">
        <v>156</v>
      </c>
      <c r="B1331" s="13" t="s">
        <v>174</v>
      </c>
      <c r="C1331" s="13" t="s">
        <v>128</v>
      </c>
      <c r="D1331" s="13">
        <v>34</v>
      </c>
      <c r="E1331" s="2" t="s">
        <v>132</v>
      </c>
      <c r="F1331" s="7">
        <v>707</v>
      </c>
      <c r="G1331" s="3">
        <f>F1331+(VLOOKUP(D1331,'(Semelles.Monument.€HT)'!C:G,3,FALSE()))</f>
        <v>842</v>
      </c>
      <c r="H1331" s="4">
        <f>F1331+(VLOOKUP(D1331,'(Semelles.Monument.€HT)'!C:G,4,FALSE()))</f>
        <v>881</v>
      </c>
      <c r="I1331" s="5">
        <f>F1331+(VLOOKUP(D1331,'(Semelles.Monument.€HT)'!C:G,5,FALSE()))</f>
        <v>922</v>
      </c>
    </row>
    <row r="1332" spans="1:9" ht="26" customHeight="1">
      <c r="A1332" s="17" t="s">
        <v>156</v>
      </c>
      <c r="B1332" s="18" t="s">
        <v>174</v>
      </c>
      <c r="C1332" s="18" t="s">
        <v>128</v>
      </c>
      <c r="D1332" s="18">
        <v>35</v>
      </c>
      <c r="E1332" s="17" t="s">
        <v>133</v>
      </c>
      <c r="F1332" s="19">
        <v>847</v>
      </c>
      <c r="G1332" s="20">
        <f>F1332+(VLOOKUP(D1332,'(Semelles.Monument.€HT)'!C:G,3,FALSE()))</f>
        <v>1010</v>
      </c>
      <c r="H1332" s="21">
        <f>F1332+(VLOOKUP(D1332,'(Semelles.Monument.€HT)'!C:G,4,FALSE()))</f>
        <v>1057</v>
      </c>
      <c r="I1332" s="22">
        <f>F1332+(VLOOKUP(D1332,'(Semelles.Monument.€HT)'!C:G,5,FALSE()))</f>
        <v>1106</v>
      </c>
    </row>
    <row r="1333" spans="1:9" ht="26" customHeight="1">
      <c r="A1333" s="2" t="s">
        <v>156</v>
      </c>
      <c r="B1333" s="13" t="s">
        <v>174</v>
      </c>
      <c r="C1333" s="13" t="s">
        <v>128</v>
      </c>
      <c r="D1333" s="13">
        <v>36</v>
      </c>
      <c r="E1333" s="2" t="s">
        <v>134</v>
      </c>
      <c r="F1333" s="7">
        <v>876</v>
      </c>
      <c r="G1333" s="3">
        <f>F1333+(VLOOKUP(D1333,'(Semelles.Monument.€HT)'!C:G,3,FALSE()))</f>
        <v>1044</v>
      </c>
      <c r="H1333" s="4">
        <f>F1333+(VLOOKUP(D1333,'(Semelles.Monument.€HT)'!C:G,4,FALSE()))</f>
        <v>1093</v>
      </c>
      <c r="I1333" s="5">
        <f>F1333+(VLOOKUP(D1333,'(Semelles.Monument.€HT)'!C:G,5,FALSE()))</f>
        <v>1144</v>
      </c>
    </row>
    <row r="1334" spans="1:9" ht="26" customHeight="1">
      <c r="A1334" s="17" t="s">
        <v>156</v>
      </c>
      <c r="B1334" s="18" t="s">
        <v>174</v>
      </c>
      <c r="C1334" s="18" t="s">
        <v>128</v>
      </c>
      <c r="D1334" s="18">
        <v>37</v>
      </c>
      <c r="E1334" s="17" t="s">
        <v>135</v>
      </c>
      <c r="F1334" s="19">
        <v>1078</v>
      </c>
      <c r="G1334" s="20">
        <f>F1334+(VLOOKUP(D1334,'(Semelles.Monument.€HT)'!C:G,3,FALSE()))</f>
        <v>1286</v>
      </c>
      <c r="H1334" s="21">
        <f>F1334+(VLOOKUP(D1334,'(Semelles.Monument.€HT)'!C:G,4,FALSE()))</f>
        <v>1346</v>
      </c>
      <c r="I1334" s="22">
        <f>F1334+(VLOOKUP(D1334,'(Semelles.Monument.€HT)'!C:G,5,FALSE()))</f>
        <v>1410</v>
      </c>
    </row>
    <row r="1335" spans="1:9" ht="26" customHeight="1">
      <c r="A1335" s="2" t="s">
        <v>156</v>
      </c>
      <c r="B1335" s="13" t="s">
        <v>174</v>
      </c>
      <c r="C1335" s="13" t="s">
        <v>128</v>
      </c>
      <c r="D1335" s="13">
        <v>38</v>
      </c>
      <c r="E1335" s="2" t="s">
        <v>136</v>
      </c>
      <c r="F1335" s="7">
        <v>1140</v>
      </c>
      <c r="G1335" s="3">
        <f>F1335+(VLOOKUP(D1335,'(Semelles.Monument.€HT)'!C:G,3,FALSE()))</f>
        <v>1360</v>
      </c>
      <c r="H1335" s="4">
        <f>F1335+(VLOOKUP(D1335,'(Semelles.Monument.€HT)'!C:G,4,FALSE()))</f>
        <v>1424</v>
      </c>
      <c r="I1335" s="5">
        <f>F1335+(VLOOKUP(D1335,'(Semelles.Monument.€HT)'!C:G,5,FALSE()))</f>
        <v>1491</v>
      </c>
    </row>
    <row r="1336" spans="1:9" ht="26" customHeight="1">
      <c r="A1336" s="17" t="s">
        <v>156</v>
      </c>
      <c r="B1336" s="18" t="s">
        <v>174</v>
      </c>
      <c r="C1336" s="18" t="s">
        <v>128</v>
      </c>
      <c r="D1336" s="18">
        <v>39</v>
      </c>
      <c r="E1336" s="17" t="s">
        <v>137</v>
      </c>
      <c r="F1336" s="19">
        <v>1169</v>
      </c>
      <c r="G1336" s="20">
        <f>F1336+(VLOOKUP(D1336,'(Semelles.Monument.€HT)'!C:G,3,FALSE()))</f>
        <v>1395</v>
      </c>
      <c r="H1336" s="21">
        <f>F1336+(VLOOKUP(D1336,'(Semelles.Monument.€HT)'!C:G,4,FALSE()))</f>
        <v>1460</v>
      </c>
      <c r="I1336" s="22">
        <f>F1336+(VLOOKUP(D1336,'(Semelles.Monument.€HT)'!C:G,5,FALSE()))</f>
        <v>1529</v>
      </c>
    </row>
    <row r="1337" spans="1:9" ht="26" customHeight="1">
      <c r="A1337" s="2" t="s">
        <v>156</v>
      </c>
      <c r="B1337" s="13" t="s">
        <v>174</v>
      </c>
      <c r="C1337" s="13" t="s">
        <v>128</v>
      </c>
      <c r="D1337" s="13">
        <v>40</v>
      </c>
      <c r="E1337" s="2" t="s">
        <v>138</v>
      </c>
      <c r="F1337" s="7">
        <v>1202</v>
      </c>
      <c r="G1337" s="3">
        <f>F1337+(VLOOKUP(D1337,'(Semelles.Monument.€HT)'!C:G,3,FALSE()))</f>
        <v>1434</v>
      </c>
      <c r="H1337" s="4">
        <f>F1337+(VLOOKUP(D1337,'(Semelles.Monument.€HT)'!C:G,4,FALSE()))</f>
        <v>1502</v>
      </c>
      <c r="I1337" s="5">
        <f>F1337+(VLOOKUP(D1337,'(Semelles.Monument.€HT)'!C:G,5,FALSE()))</f>
        <v>1572</v>
      </c>
    </row>
    <row r="1338" spans="1:9" ht="26" customHeight="1">
      <c r="A1338" s="17" t="s">
        <v>156</v>
      </c>
      <c r="B1338" s="18" t="s">
        <v>174</v>
      </c>
      <c r="C1338" s="18" t="s">
        <v>128</v>
      </c>
      <c r="D1338" s="18">
        <v>41</v>
      </c>
      <c r="E1338" s="17" t="s">
        <v>139</v>
      </c>
      <c r="F1338" s="19">
        <v>1277</v>
      </c>
      <c r="G1338" s="20">
        <f>F1338+(VLOOKUP(D1338,'(Semelles.Monument.€HT)'!C:G,3,FALSE()))</f>
        <v>1524</v>
      </c>
      <c r="H1338" s="21">
        <f>F1338+(VLOOKUP(D1338,'(Semelles.Monument.€HT)'!C:G,4,FALSE()))</f>
        <v>1596</v>
      </c>
      <c r="I1338" s="22">
        <f>F1338+(VLOOKUP(D1338,'(Semelles.Monument.€HT)'!C:G,5,FALSE()))</f>
        <v>1671</v>
      </c>
    </row>
    <row r="1339" spans="1:9" ht="26" customHeight="1">
      <c r="A1339" s="2" t="s">
        <v>156</v>
      </c>
      <c r="B1339" s="13" t="s">
        <v>174</v>
      </c>
      <c r="C1339" s="13" t="s">
        <v>128</v>
      </c>
      <c r="D1339" s="13">
        <v>42</v>
      </c>
      <c r="E1339" s="2" t="s">
        <v>140</v>
      </c>
      <c r="F1339" s="7">
        <v>1400</v>
      </c>
      <c r="G1339" s="3">
        <f>F1339+(VLOOKUP(D1339,'(Semelles.Monument.€HT)'!C:G,3,FALSE()))</f>
        <v>1671</v>
      </c>
      <c r="H1339" s="4">
        <f>F1339+(VLOOKUP(D1339,'(Semelles.Monument.€HT)'!C:G,4,FALSE()))</f>
        <v>1750</v>
      </c>
      <c r="I1339" s="5">
        <f>F1339+(VLOOKUP(D1339,'(Semelles.Monument.€HT)'!C:G,5,FALSE()))</f>
        <v>1833</v>
      </c>
    </row>
    <row r="1340" spans="1:9" ht="26" customHeight="1">
      <c r="A1340" s="17" t="s">
        <v>156</v>
      </c>
      <c r="B1340" s="18" t="s">
        <v>174</v>
      </c>
      <c r="C1340" s="18" t="s">
        <v>128</v>
      </c>
      <c r="D1340" s="18">
        <v>43</v>
      </c>
      <c r="E1340" s="17" t="s">
        <v>141</v>
      </c>
      <c r="F1340" s="19">
        <v>1400</v>
      </c>
      <c r="G1340" s="20">
        <f>F1340+(VLOOKUP(D1340,'(Semelles.Monument.€HT)'!C:G,3,FALSE()))</f>
        <v>1671</v>
      </c>
      <c r="H1340" s="21">
        <f>F1340+(VLOOKUP(D1340,'(Semelles.Monument.€HT)'!C:G,4,FALSE()))</f>
        <v>1750</v>
      </c>
      <c r="I1340" s="22">
        <f>F1340+(VLOOKUP(D1340,'(Semelles.Monument.€HT)'!C:G,5,FALSE()))</f>
        <v>1833</v>
      </c>
    </row>
    <row r="1341" spans="1:9" ht="26" customHeight="1">
      <c r="A1341" s="2" t="s">
        <v>156</v>
      </c>
      <c r="B1341" s="13" t="s">
        <v>174</v>
      </c>
      <c r="C1341" s="13" t="s">
        <v>128</v>
      </c>
      <c r="D1341" s="13">
        <v>44</v>
      </c>
      <c r="E1341" s="2" t="s">
        <v>142</v>
      </c>
      <c r="F1341" s="7">
        <v>1417</v>
      </c>
      <c r="G1341" s="3">
        <f>F1341+(VLOOKUP(D1341,'(Semelles.Monument.€HT)'!C:G,3,FALSE()))</f>
        <v>1692</v>
      </c>
      <c r="H1341" s="4">
        <f>F1341+(VLOOKUP(D1341,'(Semelles.Monument.€HT)'!C:G,4,FALSE()))</f>
        <v>1771</v>
      </c>
      <c r="I1341" s="5">
        <f>F1341+(VLOOKUP(D1341,'(Semelles.Monument.€HT)'!C:G,5,FALSE()))</f>
        <v>1855</v>
      </c>
    </row>
    <row r="1342" spans="1:9" ht="26" customHeight="1">
      <c r="A1342" s="17" t="s">
        <v>156</v>
      </c>
      <c r="B1342" s="18" t="s">
        <v>174</v>
      </c>
      <c r="C1342" s="18" t="s">
        <v>128</v>
      </c>
      <c r="D1342" s="18">
        <v>45</v>
      </c>
      <c r="E1342" s="17" t="s">
        <v>143</v>
      </c>
      <c r="F1342" s="19">
        <v>1433</v>
      </c>
      <c r="G1342" s="20">
        <f>F1342+(VLOOKUP(D1342,'(Semelles.Monument.€HT)'!C:G,3,FALSE()))</f>
        <v>1711</v>
      </c>
      <c r="H1342" s="21">
        <f>F1342+(VLOOKUP(D1342,'(Semelles.Monument.€HT)'!C:G,4,FALSE()))</f>
        <v>1791</v>
      </c>
      <c r="I1342" s="22">
        <f>F1342+(VLOOKUP(D1342,'(Semelles.Monument.€HT)'!C:G,5,FALSE()))</f>
        <v>1876</v>
      </c>
    </row>
    <row r="1343" spans="1:9" ht="26" customHeight="1">
      <c r="A1343" s="2" t="s">
        <v>156</v>
      </c>
      <c r="B1343" s="13" t="s">
        <v>174</v>
      </c>
      <c r="C1343" s="13" t="s">
        <v>128</v>
      </c>
      <c r="D1343" s="13">
        <v>46</v>
      </c>
      <c r="E1343" s="2" t="s">
        <v>144</v>
      </c>
      <c r="F1343" s="7">
        <v>1433</v>
      </c>
      <c r="G1343" s="3">
        <f>F1343+(VLOOKUP(D1343,'(Semelles.Monument.€HT)'!C:G,3,FALSE()))</f>
        <v>1711</v>
      </c>
      <c r="H1343" s="4">
        <f>F1343+(VLOOKUP(D1343,'(Semelles.Monument.€HT)'!C:G,4,FALSE()))</f>
        <v>1791</v>
      </c>
      <c r="I1343" s="5">
        <f>F1343+(VLOOKUP(D1343,'(Semelles.Monument.€HT)'!C:G,5,FALSE()))</f>
        <v>1876</v>
      </c>
    </row>
    <row r="1344" spans="1:9" ht="26" customHeight="1">
      <c r="A1344" s="17" t="s">
        <v>156</v>
      </c>
      <c r="B1344" s="18" t="s">
        <v>174</v>
      </c>
      <c r="C1344" s="18" t="s">
        <v>128</v>
      </c>
      <c r="D1344" s="18">
        <v>47</v>
      </c>
      <c r="E1344" s="17" t="s">
        <v>145</v>
      </c>
      <c r="F1344" s="19">
        <v>1462</v>
      </c>
      <c r="G1344" s="20">
        <f>F1344+(VLOOKUP(D1344,'(Semelles.Monument.€HT)'!C:G,3,FALSE()))</f>
        <v>1746</v>
      </c>
      <c r="H1344" s="21">
        <f>F1344+(VLOOKUP(D1344,'(Semelles.Monument.€HT)'!C:G,4,FALSE()))</f>
        <v>1828</v>
      </c>
      <c r="I1344" s="22">
        <f>F1344+(VLOOKUP(D1344,'(Semelles.Monument.€HT)'!C:G,5,FALSE()))</f>
        <v>1914</v>
      </c>
    </row>
    <row r="1345" spans="1:9" ht="26" customHeight="1">
      <c r="A1345" s="2" t="s">
        <v>156</v>
      </c>
      <c r="B1345" s="13" t="s">
        <v>174</v>
      </c>
      <c r="C1345" s="13" t="s">
        <v>128</v>
      </c>
      <c r="D1345" s="13">
        <v>48</v>
      </c>
      <c r="E1345" s="2" t="s">
        <v>146</v>
      </c>
      <c r="F1345" s="7">
        <v>1479</v>
      </c>
      <c r="G1345" s="3">
        <f>F1345+(VLOOKUP(D1345,'(Semelles.Monument.€HT)'!C:G,3,FALSE()))</f>
        <v>1766</v>
      </c>
      <c r="H1345" s="4">
        <f>F1345+(VLOOKUP(D1345,'(Semelles.Monument.€HT)'!C:G,4,FALSE()))</f>
        <v>1849</v>
      </c>
      <c r="I1345" s="5">
        <f>F1345+(VLOOKUP(D1345,'(Semelles.Monument.€HT)'!C:G,5,FALSE()))</f>
        <v>1936</v>
      </c>
    </row>
    <row r="1346" spans="1:9" ht="26" customHeight="1">
      <c r="A1346" s="17" t="s">
        <v>156</v>
      </c>
      <c r="B1346" s="18" t="s">
        <v>175</v>
      </c>
      <c r="C1346" s="18" t="s">
        <v>97</v>
      </c>
      <c r="D1346" s="18">
        <v>1</v>
      </c>
      <c r="E1346" s="17" t="s">
        <v>98</v>
      </c>
      <c r="F1346" s="19">
        <v>723</v>
      </c>
      <c r="G1346" s="20">
        <f>F1346+(VLOOKUP(D1346,'(Semelles.Monument.€HT)'!C:G,3,FALSE()))</f>
        <v>881</v>
      </c>
      <c r="H1346" s="21">
        <f>F1346+(VLOOKUP(D1346,'(Semelles.Monument.€HT)'!C:G,4,FALSE()))</f>
        <v>927</v>
      </c>
      <c r="I1346" s="22">
        <f>F1346+(VLOOKUP(D1346,'(Semelles.Monument.€HT)'!C:G,5,FALSE()))</f>
        <v>975</v>
      </c>
    </row>
    <row r="1347" spans="1:9" ht="26" customHeight="1">
      <c r="A1347" s="2" t="s">
        <v>156</v>
      </c>
      <c r="B1347" s="13" t="s">
        <v>175</v>
      </c>
      <c r="C1347" s="13" t="s">
        <v>97</v>
      </c>
      <c r="D1347" s="13">
        <v>2</v>
      </c>
      <c r="E1347" s="2" t="s">
        <v>99</v>
      </c>
      <c r="F1347" s="7">
        <v>723</v>
      </c>
      <c r="G1347" s="3">
        <f>F1347+(VLOOKUP(D1347,'(Semelles.Monument.€HT)'!C:G,3,FALSE()))</f>
        <v>881</v>
      </c>
      <c r="H1347" s="4">
        <f>F1347+(VLOOKUP(D1347,'(Semelles.Monument.€HT)'!C:G,4,FALSE()))</f>
        <v>927</v>
      </c>
      <c r="I1347" s="5">
        <f>F1347+(VLOOKUP(D1347,'(Semelles.Monument.€HT)'!C:G,5,FALSE()))</f>
        <v>975</v>
      </c>
    </row>
    <row r="1348" spans="1:9" ht="26" customHeight="1">
      <c r="A1348" s="17" t="s">
        <v>156</v>
      </c>
      <c r="B1348" s="18" t="s">
        <v>175</v>
      </c>
      <c r="C1348" s="18" t="s">
        <v>97</v>
      </c>
      <c r="D1348" s="18">
        <v>3</v>
      </c>
      <c r="E1348" s="17" t="s">
        <v>100</v>
      </c>
      <c r="F1348" s="19">
        <v>804</v>
      </c>
      <c r="G1348" s="20">
        <f>F1348+(VLOOKUP(D1348,'(Semelles.Monument.€HT)'!C:G,3,FALSE()))</f>
        <v>980</v>
      </c>
      <c r="H1348" s="21">
        <f>F1348+(VLOOKUP(D1348,'(Semelles.Monument.€HT)'!C:G,4,FALSE()))</f>
        <v>1031</v>
      </c>
      <c r="I1348" s="22">
        <f>F1348+(VLOOKUP(D1348,'(Semelles.Monument.€HT)'!C:G,5,FALSE()))</f>
        <v>1084</v>
      </c>
    </row>
    <row r="1349" spans="1:9" ht="26" customHeight="1">
      <c r="A1349" s="2" t="s">
        <v>156</v>
      </c>
      <c r="B1349" s="13" t="s">
        <v>175</v>
      </c>
      <c r="C1349" s="13" t="s">
        <v>97</v>
      </c>
      <c r="D1349" s="13">
        <v>4</v>
      </c>
      <c r="E1349" s="2" t="s">
        <v>101</v>
      </c>
      <c r="F1349" s="7">
        <v>817</v>
      </c>
      <c r="G1349" s="3">
        <f>F1349+(VLOOKUP(D1349,'(Semelles.Monument.€HT)'!C:G,3,FALSE()))</f>
        <v>996</v>
      </c>
      <c r="H1349" s="4">
        <f>F1349+(VLOOKUP(D1349,'(Semelles.Monument.€HT)'!C:G,4,FALSE()))</f>
        <v>1048</v>
      </c>
      <c r="I1349" s="5">
        <f>F1349+(VLOOKUP(D1349,'(Semelles.Monument.€HT)'!C:G,5,FALSE()))</f>
        <v>1102</v>
      </c>
    </row>
    <row r="1350" spans="1:9" ht="26" customHeight="1">
      <c r="A1350" s="17" t="s">
        <v>156</v>
      </c>
      <c r="B1350" s="18" t="s">
        <v>175</v>
      </c>
      <c r="C1350" s="18" t="s">
        <v>97</v>
      </c>
      <c r="D1350" s="18">
        <v>5</v>
      </c>
      <c r="E1350" s="17" t="s">
        <v>102</v>
      </c>
      <c r="F1350" s="19">
        <v>817</v>
      </c>
      <c r="G1350" s="20">
        <f>F1350+(VLOOKUP(D1350,'(Semelles.Monument.€HT)'!C:G,3,FALSE()))</f>
        <v>996</v>
      </c>
      <c r="H1350" s="21">
        <f>F1350+(VLOOKUP(D1350,'(Semelles.Monument.€HT)'!C:G,4,FALSE()))</f>
        <v>1048</v>
      </c>
      <c r="I1350" s="22">
        <f>F1350+(VLOOKUP(D1350,'(Semelles.Monument.€HT)'!C:G,5,FALSE()))</f>
        <v>1102</v>
      </c>
    </row>
    <row r="1351" spans="1:9" ht="26" customHeight="1">
      <c r="A1351" s="2" t="s">
        <v>156</v>
      </c>
      <c r="B1351" s="13" t="s">
        <v>175</v>
      </c>
      <c r="C1351" s="13" t="s">
        <v>97</v>
      </c>
      <c r="D1351" s="13">
        <v>6</v>
      </c>
      <c r="E1351" s="2" t="s">
        <v>103</v>
      </c>
      <c r="F1351" s="7">
        <v>821</v>
      </c>
      <c r="G1351" s="3">
        <f>F1351+(VLOOKUP(D1351,'(Semelles.Monument.€HT)'!C:G,3,FALSE()))</f>
        <v>1001</v>
      </c>
      <c r="H1351" s="4">
        <f>F1351+(VLOOKUP(D1351,'(Semelles.Monument.€HT)'!C:G,4,FALSE()))</f>
        <v>1053</v>
      </c>
      <c r="I1351" s="5">
        <f>F1351+(VLOOKUP(D1351,'(Semelles.Monument.€HT)'!C:G,5,FALSE()))</f>
        <v>1108</v>
      </c>
    </row>
    <row r="1352" spans="1:9" ht="26" customHeight="1">
      <c r="A1352" s="17" t="s">
        <v>156</v>
      </c>
      <c r="B1352" s="18" t="s">
        <v>175</v>
      </c>
      <c r="C1352" s="18" t="s">
        <v>97</v>
      </c>
      <c r="D1352" s="18">
        <v>7</v>
      </c>
      <c r="E1352" s="17" t="s">
        <v>104</v>
      </c>
      <c r="F1352" s="19">
        <v>821</v>
      </c>
      <c r="G1352" s="20">
        <f>F1352+(VLOOKUP(D1352,'(Semelles.Monument.€HT)'!C:G,3,FALSE()))</f>
        <v>1001</v>
      </c>
      <c r="H1352" s="21">
        <f>F1352+(VLOOKUP(D1352,'(Semelles.Monument.€HT)'!C:G,4,FALSE()))</f>
        <v>1053</v>
      </c>
      <c r="I1352" s="22">
        <f>F1352+(VLOOKUP(D1352,'(Semelles.Monument.€HT)'!C:G,5,FALSE()))</f>
        <v>1108</v>
      </c>
    </row>
    <row r="1353" spans="1:9" ht="26" customHeight="1">
      <c r="A1353" s="2" t="s">
        <v>156</v>
      </c>
      <c r="B1353" s="13" t="s">
        <v>175</v>
      </c>
      <c r="C1353" s="13" t="s">
        <v>97</v>
      </c>
      <c r="D1353" s="13">
        <v>8</v>
      </c>
      <c r="E1353" s="2" t="s">
        <v>105</v>
      </c>
      <c r="F1353" s="7">
        <v>821</v>
      </c>
      <c r="G1353" s="3">
        <f>F1353+(VLOOKUP(D1353,'(Semelles.Monument.€HT)'!C:G,3,FALSE()))</f>
        <v>1001</v>
      </c>
      <c r="H1353" s="4">
        <f>F1353+(VLOOKUP(D1353,'(Semelles.Monument.€HT)'!C:G,4,FALSE()))</f>
        <v>1053</v>
      </c>
      <c r="I1353" s="5">
        <f>F1353+(VLOOKUP(D1353,'(Semelles.Monument.€HT)'!C:G,5,FALSE()))</f>
        <v>1108</v>
      </c>
    </row>
    <row r="1354" spans="1:9" ht="26" customHeight="1">
      <c r="A1354" s="17" t="s">
        <v>156</v>
      </c>
      <c r="B1354" s="18" t="s">
        <v>175</v>
      </c>
      <c r="C1354" s="18" t="s">
        <v>97</v>
      </c>
      <c r="D1354" s="18">
        <v>9</v>
      </c>
      <c r="E1354" s="17" t="s">
        <v>106</v>
      </c>
      <c r="F1354" s="19">
        <v>821</v>
      </c>
      <c r="G1354" s="20">
        <f>F1354+(VLOOKUP(D1354,'(Semelles.Monument.€HT)'!C:G,3,FALSE()))</f>
        <v>1001</v>
      </c>
      <c r="H1354" s="21">
        <f>F1354+(VLOOKUP(D1354,'(Semelles.Monument.€HT)'!C:G,4,FALSE()))</f>
        <v>1053</v>
      </c>
      <c r="I1354" s="22">
        <f>F1354+(VLOOKUP(D1354,'(Semelles.Monument.€HT)'!C:G,5,FALSE()))</f>
        <v>1108</v>
      </c>
    </row>
    <row r="1355" spans="1:9" ht="26" customHeight="1">
      <c r="A1355" s="2" t="s">
        <v>156</v>
      </c>
      <c r="B1355" s="13" t="s">
        <v>175</v>
      </c>
      <c r="C1355" s="13" t="s">
        <v>97</v>
      </c>
      <c r="D1355" s="13">
        <v>10</v>
      </c>
      <c r="E1355" s="2" t="s">
        <v>107</v>
      </c>
      <c r="F1355" s="7">
        <v>821</v>
      </c>
      <c r="G1355" s="3">
        <f>F1355+(VLOOKUP(D1355,'(Semelles.Monument.€HT)'!C:G,3,FALSE()))</f>
        <v>1001</v>
      </c>
      <c r="H1355" s="4">
        <f>F1355+(VLOOKUP(D1355,'(Semelles.Monument.€HT)'!C:G,4,FALSE()))</f>
        <v>1053</v>
      </c>
      <c r="I1355" s="5">
        <f>F1355+(VLOOKUP(D1355,'(Semelles.Monument.€HT)'!C:G,5,FALSE()))</f>
        <v>1108</v>
      </c>
    </row>
    <row r="1356" spans="1:9" ht="26" customHeight="1">
      <c r="A1356" s="17" t="s">
        <v>156</v>
      </c>
      <c r="B1356" s="18" t="s">
        <v>175</v>
      </c>
      <c r="C1356" s="18" t="s">
        <v>97</v>
      </c>
      <c r="D1356" s="18">
        <v>11</v>
      </c>
      <c r="E1356" s="17" t="s">
        <v>108</v>
      </c>
      <c r="F1356" s="19">
        <v>821</v>
      </c>
      <c r="G1356" s="20">
        <f>F1356+(VLOOKUP(D1356,'(Semelles.Monument.€HT)'!C:G,3,FALSE()))</f>
        <v>1001</v>
      </c>
      <c r="H1356" s="21">
        <f>F1356+(VLOOKUP(D1356,'(Semelles.Monument.€HT)'!C:G,4,FALSE()))</f>
        <v>1053</v>
      </c>
      <c r="I1356" s="22">
        <f>F1356+(VLOOKUP(D1356,'(Semelles.Monument.€HT)'!C:G,5,FALSE()))</f>
        <v>1108</v>
      </c>
    </row>
    <row r="1357" spans="1:9" ht="26" customHeight="1">
      <c r="A1357" s="2" t="s">
        <v>156</v>
      </c>
      <c r="B1357" s="13" t="s">
        <v>175</v>
      </c>
      <c r="C1357" s="13" t="s">
        <v>97</v>
      </c>
      <c r="D1357" s="13">
        <v>12</v>
      </c>
      <c r="E1357" s="2" t="s">
        <v>109</v>
      </c>
      <c r="F1357" s="7">
        <v>833</v>
      </c>
      <c r="G1357" s="3">
        <f>F1357+(VLOOKUP(D1357,'(Semelles.Monument.€HT)'!C:G,3,FALSE()))</f>
        <v>1015</v>
      </c>
      <c r="H1357" s="4">
        <f>F1357+(VLOOKUP(D1357,'(Semelles.Monument.€HT)'!C:G,4,FALSE()))</f>
        <v>1068</v>
      </c>
      <c r="I1357" s="5">
        <f>F1357+(VLOOKUP(D1357,'(Semelles.Monument.€HT)'!C:G,5,FALSE()))</f>
        <v>1124</v>
      </c>
    </row>
    <row r="1358" spans="1:9" ht="26" customHeight="1">
      <c r="A1358" s="17" t="s">
        <v>156</v>
      </c>
      <c r="B1358" s="18" t="s">
        <v>175</v>
      </c>
      <c r="C1358" s="18" t="s">
        <v>97</v>
      </c>
      <c r="D1358" s="18">
        <v>13</v>
      </c>
      <c r="E1358" s="17" t="s">
        <v>110</v>
      </c>
      <c r="F1358" s="19">
        <v>833</v>
      </c>
      <c r="G1358" s="20">
        <f>F1358+(VLOOKUP(D1358,'(Semelles.Monument.€HT)'!C:G,3,FALSE()))</f>
        <v>1015</v>
      </c>
      <c r="H1358" s="21">
        <f>F1358+(VLOOKUP(D1358,'(Semelles.Monument.€HT)'!C:G,4,FALSE()))</f>
        <v>1068</v>
      </c>
      <c r="I1358" s="22">
        <f>F1358+(VLOOKUP(D1358,'(Semelles.Monument.€HT)'!C:G,5,FALSE()))</f>
        <v>1124</v>
      </c>
    </row>
    <row r="1359" spans="1:9" ht="26" customHeight="1">
      <c r="A1359" s="2" t="s">
        <v>156</v>
      </c>
      <c r="B1359" s="13" t="s">
        <v>175</v>
      </c>
      <c r="C1359" s="13" t="s">
        <v>97</v>
      </c>
      <c r="D1359" s="13">
        <v>14</v>
      </c>
      <c r="E1359" s="2" t="s">
        <v>111</v>
      </c>
      <c r="F1359" s="7">
        <v>836</v>
      </c>
      <c r="G1359" s="3">
        <f>F1359+(VLOOKUP(D1359,'(Semelles.Monument.€HT)'!C:G,3,FALSE()))</f>
        <v>1019</v>
      </c>
      <c r="H1359" s="4">
        <f>F1359+(VLOOKUP(D1359,'(Semelles.Monument.€HT)'!C:G,4,FALSE()))</f>
        <v>1072</v>
      </c>
      <c r="I1359" s="5">
        <f>F1359+(VLOOKUP(D1359,'(Semelles.Monument.€HT)'!C:G,5,FALSE()))</f>
        <v>1128</v>
      </c>
    </row>
    <row r="1360" spans="1:9" ht="26" customHeight="1">
      <c r="A1360" s="17" t="s">
        <v>156</v>
      </c>
      <c r="B1360" s="18" t="s">
        <v>175</v>
      </c>
      <c r="C1360" s="18" t="s">
        <v>97</v>
      </c>
      <c r="D1360" s="18">
        <v>15</v>
      </c>
      <c r="E1360" s="17" t="s">
        <v>112</v>
      </c>
      <c r="F1360" s="19">
        <v>836</v>
      </c>
      <c r="G1360" s="20">
        <f>F1360+(VLOOKUP(D1360,'(Semelles.Monument.€HT)'!C:G,3,FALSE()))</f>
        <v>1019</v>
      </c>
      <c r="H1360" s="21">
        <f>F1360+(VLOOKUP(D1360,'(Semelles.Monument.€HT)'!C:G,4,FALSE()))</f>
        <v>1072</v>
      </c>
      <c r="I1360" s="22">
        <f>F1360+(VLOOKUP(D1360,'(Semelles.Monument.€HT)'!C:G,5,FALSE()))</f>
        <v>1128</v>
      </c>
    </row>
    <row r="1361" spans="1:9" ht="26" customHeight="1">
      <c r="A1361" s="2" t="s">
        <v>156</v>
      </c>
      <c r="B1361" s="13" t="s">
        <v>175</v>
      </c>
      <c r="C1361" s="13" t="s">
        <v>97</v>
      </c>
      <c r="D1361" s="13">
        <v>16</v>
      </c>
      <c r="E1361" s="2" t="s">
        <v>113</v>
      </c>
      <c r="F1361" s="7">
        <v>836</v>
      </c>
      <c r="G1361" s="3">
        <f>F1361+(VLOOKUP(D1361,'(Semelles.Monument.€HT)'!C:G,3,FALSE()))</f>
        <v>1019</v>
      </c>
      <c r="H1361" s="4">
        <f>F1361+(VLOOKUP(D1361,'(Semelles.Monument.€HT)'!C:G,4,FALSE()))</f>
        <v>1072</v>
      </c>
      <c r="I1361" s="5">
        <f>F1361+(VLOOKUP(D1361,'(Semelles.Monument.€HT)'!C:G,5,FALSE()))</f>
        <v>1128</v>
      </c>
    </row>
    <row r="1362" spans="1:9" ht="26" customHeight="1">
      <c r="A1362" s="17" t="s">
        <v>156</v>
      </c>
      <c r="B1362" s="18" t="s">
        <v>175</v>
      </c>
      <c r="C1362" s="18" t="s">
        <v>97</v>
      </c>
      <c r="D1362" s="18">
        <v>17</v>
      </c>
      <c r="E1362" s="17" t="s">
        <v>114</v>
      </c>
      <c r="F1362" s="19">
        <v>850</v>
      </c>
      <c r="G1362" s="20">
        <f>F1362+(VLOOKUP(D1362,'(Semelles.Monument.€HT)'!C:G,3,FALSE()))</f>
        <v>1036</v>
      </c>
      <c r="H1362" s="21">
        <f>F1362+(VLOOKUP(D1362,'(Semelles.Monument.€HT)'!C:G,4,FALSE()))</f>
        <v>1090</v>
      </c>
      <c r="I1362" s="22">
        <f>F1362+(VLOOKUP(D1362,'(Semelles.Monument.€HT)'!C:G,5,FALSE()))</f>
        <v>1147</v>
      </c>
    </row>
    <row r="1363" spans="1:9" ht="26" customHeight="1">
      <c r="A1363" s="2" t="s">
        <v>156</v>
      </c>
      <c r="B1363" s="13" t="s">
        <v>175</v>
      </c>
      <c r="C1363" s="13" t="s">
        <v>97</v>
      </c>
      <c r="D1363" s="13">
        <v>18</v>
      </c>
      <c r="E1363" s="2" t="s">
        <v>115</v>
      </c>
      <c r="F1363" s="7">
        <v>850</v>
      </c>
      <c r="G1363" s="3">
        <f>F1363+(VLOOKUP(D1363,'(Semelles.Monument.€HT)'!C:G,3,FALSE()))</f>
        <v>1036</v>
      </c>
      <c r="H1363" s="4">
        <f>F1363+(VLOOKUP(D1363,'(Semelles.Monument.€HT)'!C:G,4,FALSE()))</f>
        <v>1090</v>
      </c>
      <c r="I1363" s="5">
        <f>F1363+(VLOOKUP(D1363,'(Semelles.Monument.€HT)'!C:G,5,FALSE()))</f>
        <v>1147</v>
      </c>
    </row>
    <row r="1364" spans="1:9" ht="26" customHeight="1">
      <c r="A1364" s="17" t="s">
        <v>156</v>
      </c>
      <c r="B1364" s="18" t="s">
        <v>175</v>
      </c>
      <c r="C1364" s="18" t="s">
        <v>97</v>
      </c>
      <c r="D1364" s="18">
        <v>19</v>
      </c>
      <c r="E1364" s="17" t="s">
        <v>116</v>
      </c>
      <c r="F1364" s="19">
        <v>850</v>
      </c>
      <c r="G1364" s="20">
        <f>F1364+(VLOOKUP(D1364,'(Semelles.Monument.€HT)'!C:G,3,FALSE()))</f>
        <v>1036</v>
      </c>
      <c r="H1364" s="21">
        <f>F1364+(VLOOKUP(D1364,'(Semelles.Monument.€HT)'!C:G,4,FALSE()))</f>
        <v>1090</v>
      </c>
      <c r="I1364" s="22">
        <f>F1364+(VLOOKUP(D1364,'(Semelles.Monument.€HT)'!C:G,5,FALSE()))</f>
        <v>1147</v>
      </c>
    </row>
    <row r="1365" spans="1:9" ht="26" customHeight="1">
      <c r="A1365" s="2" t="s">
        <v>156</v>
      </c>
      <c r="B1365" s="13" t="s">
        <v>175</v>
      </c>
      <c r="C1365" s="13" t="s">
        <v>97</v>
      </c>
      <c r="D1365" s="13">
        <v>20</v>
      </c>
      <c r="E1365" s="2" t="s">
        <v>117</v>
      </c>
      <c r="F1365" s="7">
        <v>857</v>
      </c>
      <c r="G1365" s="3">
        <f>F1365+(VLOOKUP(D1365,'(Semelles.Monument.€HT)'!C:G,3,FALSE()))</f>
        <v>1045</v>
      </c>
      <c r="H1365" s="4">
        <f>F1365+(VLOOKUP(D1365,'(Semelles.Monument.€HT)'!C:G,4,FALSE()))</f>
        <v>1099</v>
      </c>
      <c r="I1365" s="5">
        <f>F1365+(VLOOKUP(D1365,'(Semelles.Monument.€HT)'!C:G,5,FALSE()))</f>
        <v>1156</v>
      </c>
    </row>
    <row r="1366" spans="1:9" ht="26" customHeight="1">
      <c r="A1366" s="17" t="s">
        <v>156</v>
      </c>
      <c r="B1366" s="18" t="s">
        <v>175</v>
      </c>
      <c r="C1366" s="18" t="s">
        <v>97</v>
      </c>
      <c r="D1366" s="18">
        <v>21</v>
      </c>
      <c r="E1366" s="17" t="s">
        <v>118</v>
      </c>
      <c r="F1366" s="19">
        <v>862</v>
      </c>
      <c r="G1366" s="20">
        <f>F1366+(VLOOKUP(D1366,'(Semelles.Monument.€HT)'!C:G,3,FALSE()))</f>
        <v>1051</v>
      </c>
      <c r="H1366" s="21">
        <f>F1366+(VLOOKUP(D1366,'(Semelles.Monument.€HT)'!C:G,4,FALSE()))</f>
        <v>1105</v>
      </c>
      <c r="I1366" s="22">
        <f>F1366+(VLOOKUP(D1366,'(Semelles.Monument.€HT)'!C:G,5,FALSE()))</f>
        <v>1163</v>
      </c>
    </row>
    <row r="1367" spans="1:9" ht="26" customHeight="1">
      <c r="A1367" s="2" t="s">
        <v>156</v>
      </c>
      <c r="B1367" s="13" t="s">
        <v>175</v>
      </c>
      <c r="C1367" s="13" t="s">
        <v>97</v>
      </c>
      <c r="D1367" s="13">
        <v>22</v>
      </c>
      <c r="E1367" s="2" t="s">
        <v>119</v>
      </c>
      <c r="F1367" s="7">
        <v>862</v>
      </c>
      <c r="G1367" s="3">
        <f>F1367+(VLOOKUP(D1367,'(Semelles.Monument.€HT)'!C:G,3,FALSE()))</f>
        <v>1051</v>
      </c>
      <c r="H1367" s="4">
        <f>F1367+(VLOOKUP(D1367,'(Semelles.Monument.€HT)'!C:G,4,FALSE()))</f>
        <v>1105</v>
      </c>
      <c r="I1367" s="5">
        <f>F1367+(VLOOKUP(D1367,'(Semelles.Monument.€HT)'!C:G,5,FALSE()))</f>
        <v>1163</v>
      </c>
    </row>
    <row r="1368" spans="1:9" ht="26" customHeight="1">
      <c r="A1368" s="17" t="s">
        <v>156</v>
      </c>
      <c r="B1368" s="18" t="s">
        <v>175</v>
      </c>
      <c r="C1368" s="18" t="s">
        <v>97</v>
      </c>
      <c r="D1368" s="18">
        <v>23</v>
      </c>
      <c r="E1368" s="17" t="s">
        <v>120</v>
      </c>
      <c r="F1368" s="19">
        <v>875</v>
      </c>
      <c r="G1368" s="20">
        <f>F1368+(VLOOKUP(D1368,'(Semelles.Monument.€HT)'!C:G,3,FALSE()))</f>
        <v>1067</v>
      </c>
      <c r="H1368" s="21">
        <f>F1368+(VLOOKUP(D1368,'(Semelles.Monument.€HT)'!C:G,4,FALSE()))</f>
        <v>1122</v>
      </c>
      <c r="I1368" s="22">
        <f>F1368+(VLOOKUP(D1368,'(Semelles.Monument.€HT)'!C:G,5,FALSE()))</f>
        <v>1180</v>
      </c>
    </row>
    <row r="1369" spans="1:9" ht="26" customHeight="1">
      <c r="A1369" s="2" t="s">
        <v>156</v>
      </c>
      <c r="B1369" s="13" t="s">
        <v>175</v>
      </c>
      <c r="C1369" s="13" t="s">
        <v>97</v>
      </c>
      <c r="D1369" s="13">
        <v>24</v>
      </c>
      <c r="E1369" s="2" t="s">
        <v>121</v>
      </c>
      <c r="F1369" s="7">
        <v>875</v>
      </c>
      <c r="G1369" s="3">
        <f>F1369+(VLOOKUP(D1369,'(Semelles.Monument.€HT)'!C:G,3,FALSE()))</f>
        <v>1067</v>
      </c>
      <c r="H1369" s="4">
        <f>F1369+(VLOOKUP(D1369,'(Semelles.Monument.€HT)'!C:G,4,FALSE()))</f>
        <v>1122</v>
      </c>
      <c r="I1369" s="5">
        <f>F1369+(VLOOKUP(D1369,'(Semelles.Monument.€HT)'!C:G,5,FALSE()))</f>
        <v>1180</v>
      </c>
    </row>
    <row r="1370" spans="1:9" ht="26" customHeight="1">
      <c r="A1370" s="17" t="s">
        <v>156</v>
      </c>
      <c r="B1370" s="18" t="s">
        <v>175</v>
      </c>
      <c r="C1370" s="18" t="s">
        <v>97</v>
      </c>
      <c r="D1370" s="18">
        <v>25</v>
      </c>
      <c r="E1370" s="17" t="s">
        <v>122</v>
      </c>
      <c r="F1370" s="19">
        <v>875</v>
      </c>
      <c r="G1370" s="20">
        <f>F1370+(VLOOKUP(D1370,'(Semelles.Monument.€HT)'!C:G,3,FALSE()))</f>
        <v>1067</v>
      </c>
      <c r="H1370" s="21">
        <f>F1370+(VLOOKUP(D1370,'(Semelles.Monument.€HT)'!C:G,4,FALSE()))</f>
        <v>1122</v>
      </c>
      <c r="I1370" s="22">
        <f>F1370+(VLOOKUP(D1370,'(Semelles.Monument.€HT)'!C:G,5,FALSE()))</f>
        <v>1180</v>
      </c>
    </row>
    <row r="1371" spans="1:9" ht="26" customHeight="1">
      <c r="A1371" s="2" t="s">
        <v>156</v>
      </c>
      <c r="B1371" s="13" t="s">
        <v>175</v>
      </c>
      <c r="C1371" s="13" t="s">
        <v>97</v>
      </c>
      <c r="D1371" s="13">
        <v>26</v>
      </c>
      <c r="E1371" s="2" t="s">
        <v>123</v>
      </c>
      <c r="F1371" s="7">
        <v>890</v>
      </c>
      <c r="G1371" s="3">
        <f>F1371+(VLOOKUP(D1371,'(Semelles.Monument.€HT)'!C:G,3,FALSE()))</f>
        <v>1085</v>
      </c>
      <c r="H1371" s="4">
        <f>F1371+(VLOOKUP(D1371,'(Semelles.Monument.€HT)'!C:G,4,FALSE()))</f>
        <v>1141</v>
      </c>
      <c r="I1371" s="5">
        <f>F1371+(VLOOKUP(D1371,'(Semelles.Monument.€HT)'!C:G,5,FALSE()))</f>
        <v>1200</v>
      </c>
    </row>
    <row r="1372" spans="1:9" ht="26" customHeight="1">
      <c r="A1372" s="17" t="s">
        <v>156</v>
      </c>
      <c r="B1372" s="18" t="s">
        <v>175</v>
      </c>
      <c r="C1372" s="18" t="s">
        <v>97</v>
      </c>
      <c r="D1372" s="18">
        <v>27</v>
      </c>
      <c r="E1372" s="17" t="s">
        <v>124</v>
      </c>
      <c r="F1372" s="19">
        <v>949</v>
      </c>
      <c r="G1372" s="20">
        <f>F1372+(VLOOKUP(D1372,'(Semelles.Monument.€HT)'!C:G,3,FALSE()))</f>
        <v>1157</v>
      </c>
      <c r="H1372" s="21">
        <f>F1372+(VLOOKUP(D1372,'(Semelles.Monument.€HT)'!C:G,4,FALSE()))</f>
        <v>1217</v>
      </c>
      <c r="I1372" s="22">
        <f>F1372+(VLOOKUP(D1372,'(Semelles.Monument.€HT)'!C:G,5,FALSE()))</f>
        <v>1316</v>
      </c>
    </row>
    <row r="1373" spans="1:9" ht="26" customHeight="1">
      <c r="A1373" s="2" t="s">
        <v>156</v>
      </c>
      <c r="B1373" s="13" t="s">
        <v>175</v>
      </c>
      <c r="C1373" s="13" t="s">
        <v>97</v>
      </c>
      <c r="D1373" s="13">
        <v>28</v>
      </c>
      <c r="E1373" s="2" t="s">
        <v>125</v>
      </c>
      <c r="F1373" s="7">
        <v>1051</v>
      </c>
      <c r="G1373" s="3">
        <f>F1373+(VLOOKUP(D1373,'(Semelles.Monument.€HT)'!C:G,3,FALSE()))</f>
        <v>1281</v>
      </c>
      <c r="H1373" s="4">
        <f>F1373+(VLOOKUP(D1373,'(Semelles.Monument.€HT)'!C:G,4,FALSE()))</f>
        <v>1348</v>
      </c>
      <c r="I1373" s="5">
        <f>F1373+(VLOOKUP(D1373,'(Semelles.Monument.€HT)'!C:G,5,FALSE()))</f>
        <v>1418</v>
      </c>
    </row>
    <row r="1374" spans="1:9" ht="26" customHeight="1">
      <c r="A1374" s="17" t="s">
        <v>156</v>
      </c>
      <c r="B1374" s="18" t="s">
        <v>175</v>
      </c>
      <c r="C1374" s="18" t="s">
        <v>97</v>
      </c>
      <c r="D1374" s="18">
        <v>29</v>
      </c>
      <c r="E1374" s="17" t="s">
        <v>126</v>
      </c>
      <c r="F1374" s="19">
        <v>1095</v>
      </c>
      <c r="G1374" s="20">
        <f>F1374+(VLOOKUP(D1374,'(Semelles.Monument.€HT)'!C:G,3,FALSE()))</f>
        <v>1335</v>
      </c>
      <c r="H1374" s="21">
        <f>F1374+(VLOOKUP(D1374,'(Semelles.Monument.€HT)'!C:G,4,FALSE()))</f>
        <v>1404</v>
      </c>
      <c r="I1374" s="22">
        <f>F1374+(VLOOKUP(D1374,'(Semelles.Monument.€HT)'!C:G,5,FALSE()))</f>
        <v>1477</v>
      </c>
    </row>
    <row r="1375" spans="1:9" ht="26" customHeight="1">
      <c r="A1375" s="2" t="s">
        <v>156</v>
      </c>
      <c r="B1375" s="13" t="s">
        <v>175</v>
      </c>
      <c r="C1375" s="13" t="s">
        <v>97</v>
      </c>
      <c r="D1375" s="13">
        <v>30</v>
      </c>
      <c r="E1375" s="2" t="s">
        <v>127</v>
      </c>
      <c r="F1375" s="7">
        <v>1095</v>
      </c>
      <c r="G1375" s="3">
        <f>F1375+(VLOOKUP(D1375,'(Semelles.Monument.€HT)'!C:G,3,FALSE()))</f>
        <v>1335</v>
      </c>
      <c r="H1375" s="4">
        <f>F1375+(VLOOKUP(D1375,'(Semelles.Monument.€HT)'!C:G,4,FALSE()))</f>
        <v>1404</v>
      </c>
      <c r="I1375" s="5">
        <f>F1375+(VLOOKUP(D1375,'(Semelles.Monument.€HT)'!C:G,5,FALSE()))</f>
        <v>1477</v>
      </c>
    </row>
    <row r="1376" spans="1:9" ht="26" customHeight="1">
      <c r="A1376" s="17" t="s">
        <v>156</v>
      </c>
      <c r="B1376" s="18" t="s">
        <v>175</v>
      </c>
      <c r="C1376" s="18" t="s">
        <v>128</v>
      </c>
      <c r="D1376" s="18">
        <v>31</v>
      </c>
      <c r="E1376" s="17" t="s">
        <v>129</v>
      </c>
      <c r="F1376" s="19">
        <v>643</v>
      </c>
      <c r="G1376" s="20">
        <f>F1376+(VLOOKUP(D1376,'(Semelles.Monument.€HT)'!C:G,3,FALSE()))</f>
        <v>775</v>
      </c>
      <c r="H1376" s="21">
        <f>F1376+(VLOOKUP(D1376,'(Semelles.Monument.€HT)'!C:G,4,FALSE()))</f>
        <v>813</v>
      </c>
      <c r="I1376" s="22">
        <f>F1376+(VLOOKUP(D1376,'(Semelles.Monument.€HT)'!C:G,5,FALSE()))</f>
        <v>853</v>
      </c>
    </row>
    <row r="1377" spans="1:9" ht="26" customHeight="1">
      <c r="A1377" s="2" t="s">
        <v>156</v>
      </c>
      <c r="B1377" s="13" t="s">
        <v>175</v>
      </c>
      <c r="C1377" s="13" t="s">
        <v>128</v>
      </c>
      <c r="D1377" s="13">
        <v>32</v>
      </c>
      <c r="E1377" s="2" t="s">
        <v>130</v>
      </c>
      <c r="F1377" s="7">
        <v>651</v>
      </c>
      <c r="G1377" s="3">
        <f>F1377+(VLOOKUP(D1377,'(Semelles.Monument.€HT)'!C:G,3,FALSE()))</f>
        <v>785</v>
      </c>
      <c r="H1377" s="4">
        <f>F1377+(VLOOKUP(D1377,'(Semelles.Monument.€HT)'!C:G,4,FALSE()))</f>
        <v>824</v>
      </c>
      <c r="I1377" s="5">
        <f>F1377+(VLOOKUP(D1377,'(Semelles.Monument.€HT)'!C:G,5,FALSE()))</f>
        <v>864</v>
      </c>
    </row>
    <row r="1378" spans="1:9" ht="26" customHeight="1">
      <c r="A1378" s="17" t="s">
        <v>156</v>
      </c>
      <c r="B1378" s="18" t="s">
        <v>175</v>
      </c>
      <c r="C1378" s="18" t="s">
        <v>128</v>
      </c>
      <c r="D1378" s="18">
        <v>33</v>
      </c>
      <c r="E1378" s="17" t="s">
        <v>131</v>
      </c>
      <c r="F1378" s="19">
        <v>651</v>
      </c>
      <c r="G1378" s="20">
        <f>F1378+(VLOOKUP(D1378,'(Semelles.Monument.€HT)'!C:G,3,FALSE()))</f>
        <v>785</v>
      </c>
      <c r="H1378" s="21">
        <f>F1378+(VLOOKUP(D1378,'(Semelles.Monument.€HT)'!C:G,4,FALSE()))</f>
        <v>824</v>
      </c>
      <c r="I1378" s="22">
        <f>F1378+(VLOOKUP(D1378,'(Semelles.Monument.€HT)'!C:G,5,FALSE()))</f>
        <v>864</v>
      </c>
    </row>
    <row r="1379" spans="1:9" ht="26" customHeight="1">
      <c r="A1379" s="2" t="s">
        <v>156</v>
      </c>
      <c r="B1379" s="13" t="s">
        <v>175</v>
      </c>
      <c r="C1379" s="13" t="s">
        <v>128</v>
      </c>
      <c r="D1379" s="13">
        <v>34</v>
      </c>
      <c r="E1379" s="2" t="s">
        <v>132</v>
      </c>
      <c r="F1379" s="7">
        <v>657</v>
      </c>
      <c r="G1379" s="3">
        <f>F1379+(VLOOKUP(D1379,'(Semelles.Monument.€HT)'!C:G,3,FALSE()))</f>
        <v>792</v>
      </c>
      <c r="H1379" s="4">
        <f>F1379+(VLOOKUP(D1379,'(Semelles.Monument.€HT)'!C:G,4,FALSE()))</f>
        <v>831</v>
      </c>
      <c r="I1379" s="5">
        <f>F1379+(VLOOKUP(D1379,'(Semelles.Monument.€HT)'!C:G,5,FALSE()))</f>
        <v>872</v>
      </c>
    </row>
    <row r="1380" spans="1:9" ht="26" customHeight="1">
      <c r="A1380" s="17" t="s">
        <v>156</v>
      </c>
      <c r="B1380" s="18" t="s">
        <v>175</v>
      </c>
      <c r="C1380" s="18" t="s">
        <v>128</v>
      </c>
      <c r="D1380" s="18">
        <v>35</v>
      </c>
      <c r="E1380" s="17" t="s">
        <v>133</v>
      </c>
      <c r="F1380" s="19">
        <v>783</v>
      </c>
      <c r="G1380" s="20">
        <f>F1380+(VLOOKUP(D1380,'(Semelles.Monument.€HT)'!C:G,3,FALSE()))</f>
        <v>946</v>
      </c>
      <c r="H1380" s="21">
        <f>F1380+(VLOOKUP(D1380,'(Semelles.Monument.€HT)'!C:G,4,FALSE()))</f>
        <v>993</v>
      </c>
      <c r="I1380" s="22">
        <f>F1380+(VLOOKUP(D1380,'(Semelles.Monument.€HT)'!C:G,5,FALSE()))</f>
        <v>1042</v>
      </c>
    </row>
    <row r="1381" spans="1:9" ht="26" customHeight="1">
      <c r="A1381" s="2" t="s">
        <v>156</v>
      </c>
      <c r="B1381" s="13" t="s">
        <v>175</v>
      </c>
      <c r="C1381" s="13" t="s">
        <v>128</v>
      </c>
      <c r="D1381" s="13">
        <v>36</v>
      </c>
      <c r="E1381" s="2" t="s">
        <v>134</v>
      </c>
      <c r="F1381" s="7">
        <v>809</v>
      </c>
      <c r="G1381" s="3">
        <f>F1381+(VLOOKUP(D1381,'(Semelles.Monument.€HT)'!C:G,3,FALSE()))</f>
        <v>977</v>
      </c>
      <c r="H1381" s="4">
        <f>F1381+(VLOOKUP(D1381,'(Semelles.Monument.€HT)'!C:G,4,FALSE()))</f>
        <v>1026</v>
      </c>
      <c r="I1381" s="5">
        <f>F1381+(VLOOKUP(D1381,'(Semelles.Monument.€HT)'!C:G,5,FALSE()))</f>
        <v>1077</v>
      </c>
    </row>
    <row r="1382" spans="1:9" ht="26" customHeight="1">
      <c r="A1382" s="17" t="s">
        <v>156</v>
      </c>
      <c r="B1382" s="18" t="s">
        <v>175</v>
      </c>
      <c r="C1382" s="18" t="s">
        <v>128</v>
      </c>
      <c r="D1382" s="18">
        <v>37</v>
      </c>
      <c r="E1382" s="17" t="s">
        <v>135</v>
      </c>
      <c r="F1382" s="19">
        <v>991</v>
      </c>
      <c r="G1382" s="20">
        <f>F1382+(VLOOKUP(D1382,'(Semelles.Monument.€HT)'!C:G,3,FALSE()))</f>
        <v>1199</v>
      </c>
      <c r="H1382" s="21">
        <f>F1382+(VLOOKUP(D1382,'(Semelles.Monument.€HT)'!C:G,4,FALSE()))</f>
        <v>1259</v>
      </c>
      <c r="I1382" s="22">
        <f>F1382+(VLOOKUP(D1382,'(Semelles.Monument.€HT)'!C:G,5,FALSE()))</f>
        <v>1323</v>
      </c>
    </row>
    <row r="1383" spans="1:9" ht="26" customHeight="1">
      <c r="A1383" s="2" t="s">
        <v>156</v>
      </c>
      <c r="B1383" s="13" t="s">
        <v>175</v>
      </c>
      <c r="C1383" s="13" t="s">
        <v>128</v>
      </c>
      <c r="D1383" s="13">
        <v>38</v>
      </c>
      <c r="E1383" s="2" t="s">
        <v>136</v>
      </c>
      <c r="F1383" s="7">
        <v>1046</v>
      </c>
      <c r="G1383" s="3">
        <f>F1383+(VLOOKUP(D1383,'(Semelles.Monument.€HT)'!C:G,3,FALSE()))</f>
        <v>1266</v>
      </c>
      <c r="H1383" s="4">
        <f>F1383+(VLOOKUP(D1383,'(Semelles.Monument.€HT)'!C:G,4,FALSE()))</f>
        <v>1330</v>
      </c>
      <c r="I1383" s="5">
        <f>F1383+(VLOOKUP(D1383,'(Semelles.Monument.€HT)'!C:G,5,FALSE()))</f>
        <v>1397</v>
      </c>
    </row>
    <row r="1384" spans="1:9" ht="26" customHeight="1">
      <c r="A1384" s="17" t="s">
        <v>156</v>
      </c>
      <c r="B1384" s="18" t="s">
        <v>175</v>
      </c>
      <c r="C1384" s="18" t="s">
        <v>128</v>
      </c>
      <c r="D1384" s="18">
        <v>39</v>
      </c>
      <c r="E1384" s="17" t="s">
        <v>137</v>
      </c>
      <c r="F1384" s="19">
        <v>1072</v>
      </c>
      <c r="G1384" s="20">
        <f>F1384+(VLOOKUP(D1384,'(Semelles.Monument.€HT)'!C:G,3,FALSE()))</f>
        <v>1298</v>
      </c>
      <c r="H1384" s="21">
        <f>F1384+(VLOOKUP(D1384,'(Semelles.Monument.€HT)'!C:G,4,FALSE()))</f>
        <v>1363</v>
      </c>
      <c r="I1384" s="22">
        <f>F1384+(VLOOKUP(D1384,'(Semelles.Monument.€HT)'!C:G,5,FALSE()))</f>
        <v>1432</v>
      </c>
    </row>
    <row r="1385" spans="1:9" ht="26" customHeight="1">
      <c r="A1385" s="2" t="s">
        <v>156</v>
      </c>
      <c r="B1385" s="13" t="s">
        <v>175</v>
      </c>
      <c r="C1385" s="13" t="s">
        <v>128</v>
      </c>
      <c r="D1385" s="13">
        <v>40</v>
      </c>
      <c r="E1385" s="2" t="s">
        <v>138</v>
      </c>
      <c r="F1385" s="7">
        <v>1102</v>
      </c>
      <c r="G1385" s="3">
        <f>F1385+(VLOOKUP(D1385,'(Semelles.Monument.€HT)'!C:G,3,FALSE()))</f>
        <v>1334</v>
      </c>
      <c r="H1385" s="4">
        <f>F1385+(VLOOKUP(D1385,'(Semelles.Monument.€HT)'!C:G,4,FALSE()))</f>
        <v>1402</v>
      </c>
      <c r="I1385" s="5">
        <f>F1385+(VLOOKUP(D1385,'(Semelles.Monument.€HT)'!C:G,5,FALSE()))</f>
        <v>1472</v>
      </c>
    </row>
    <row r="1386" spans="1:9" ht="26" customHeight="1">
      <c r="A1386" s="17" t="s">
        <v>156</v>
      </c>
      <c r="B1386" s="18" t="s">
        <v>175</v>
      </c>
      <c r="C1386" s="18" t="s">
        <v>128</v>
      </c>
      <c r="D1386" s="18">
        <v>41</v>
      </c>
      <c r="E1386" s="17" t="s">
        <v>139</v>
      </c>
      <c r="F1386" s="19">
        <v>1169</v>
      </c>
      <c r="G1386" s="20">
        <f>F1386+(VLOOKUP(D1386,'(Semelles.Monument.€HT)'!C:G,3,FALSE()))</f>
        <v>1416</v>
      </c>
      <c r="H1386" s="21">
        <f>F1386+(VLOOKUP(D1386,'(Semelles.Monument.€HT)'!C:G,4,FALSE()))</f>
        <v>1488</v>
      </c>
      <c r="I1386" s="22">
        <f>F1386+(VLOOKUP(D1386,'(Semelles.Monument.€HT)'!C:G,5,FALSE()))</f>
        <v>1563</v>
      </c>
    </row>
    <row r="1387" spans="1:9" ht="26" customHeight="1">
      <c r="A1387" s="2" t="s">
        <v>156</v>
      </c>
      <c r="B1387" s="13" t="s">
        <v>175</v>
      </c>
      <c r="C1387" s="13" t="s">
        <v>128</v>
      </c>
      <c r="D1387" s="13">
        <v>42</v>
      </c>
      <c r="E1387" s="2" t="s">
        <v>140</v>
      </c>
      <c r="F1387" s="7">
        <v>1280</v>
      </c>
      <c r="G1387" s="3">
        <f>F1387+(VLOOKUP(D1387,'(Semelles.Monument.€HT)'!C:G,3,FALSE()))</f>
        <v>1551</v>
      </c>
      <c r="H1387" s="4">
        <f>F1387+(VLOOKUP(D1387,'(Semelles.Monument.€HT)'!C:G,4,FALSE()))</f>
        <v>1630</v>
      </c>
      <c r="I1387" s="5">
        <f>F1387+(VLOOKUP(D1387,'(Semelles.Monument.€HT)'!C:G,5,FALSE()))</f>
        <v>1713</v>
      </c>
    </row>
    <row r="1388" spans="1:9" ht="26" customHeight="1">
      <c r="A1388" s="17" t="s">
        <v>156</v>
      </c>
      <c r="B1388" s="18" t="s">
        <v>175</v>
      </c>
      <c r="C1388" s="18" t="s">
        <v>128</v>
      </c>
      <c r="D1388" s="18">
        <v>43</v>
      </c>
      <c r="E1388" s="17" t="s">
        <v>141</v>
      </c>
      <c r="F1388" s="19">
        <v>1280</v>
      </c>
      <c r="G1388" s="20">
        <f>F1388+(VLOOKUP(D1388,'(Semelles.Monument.€HT)'!C:G,3,FALSE()))</f>
        <v>1551</v>
      </c>
      <c r="H1388" s="21">
        <f>F1388+(VLOOKUP(D1388,'(Semelles.Monument.€HT)'!C:G,4,FALSE()))</f>
        <v>1630</v>
      </c>
      <c r="I1388" s="22">
        <f>F1388+(VLOOKUP(D1388,'(Semelles.Monument.€HT)'!C:G,5,FALSE()))</f>
        <v>1713</v>
      </c>
    </row>
    <row r="1389" spans="1:9" ht="26" customHeight="1">
      <c r="A1389" s="2" t="s">
        <v>156</v>
      </c>
      <c r="B1389" s="13" t="s">
        <v>175</v>
      </c>
      <c r="C1389" s="13" t="s">
        <v>128</v>
      </c>
      <c r="D1389" s="13">
        <v>44</v>
      </c>
      <c r="E1389" s="2" t="s">
        <v>142</v>
      </c>
      <c r="F1389" s="7">
        <v>1295</v>
      </c>
      <c r="G1389" s="3">
        <f>F1389+(VLOOKUP(D1389,'(Semelles.Monument.€HT)'!C:G,3,FALSE()))</f>
        <v>1570</v>
      </c>
      <c r="H1389" s="4">
        <f>F1389+(VLOOKUP(D1389,'(Semelles.Monument.€HT)'!C:G,4,FALSE()))</f>
        <v>1649</v>
      </c>
      <c r="I1389" s="5">
        <f>F1389+(VLOOKUP(D1389,'(Semelles.Monument.€HT)'!C:G,5,FALSE()))</f>
        <v>1733</v>
      </c>
    </row>
    <row r="1390" spans="1:9" ht="26" customHeight="1">
      <c r="A1390" s="17" t="s">
        <v>156</v>
      </c>
      <c r="B1390" s="18" t="s">
        <v>175</v>
      </c>
      <c r="C1390" s="18" t="s">
        <v>128</v>
      </c>
      <c r="D1390" s="18">
        <v>45</v>
      </c>
      <c r="E1390" s="17" t="s">
        <v>143</v>
      </c>
      <c r="F1390" s="19">
        <v>1309</v>
      </c>
      <c r="G1390" s="20">
        <f>F1390+(VLOOKUP(D1390,'(Semelles.Monument.€HT)'!C:G,3,FALSE()))</f>
        <v>1587</v>
      </c>
      <c r="H1390" s="21">
        <f>F1390+(VLOOKUP(D1390,'(Semelles.Monument.€HT)'!C:G,4,FALSE()))</f>
        <v>1667</v>
      </c>
      <c r="I1390" s="22">
        <f>F1390+(VLOOKUP(D1390,'(Semelles.Monument.€HT)'!C:G,5,FALSE()))</f>
        <v>1752</v>
      </c>
    </row>
    <row r="1391" spans="1:9" ht="26" customHeight="1">
      <c r="A1391" s="2" t="s">
        <v>156</v>
      </c>
      <c r="B1391" s="13" t="s">
        <v>175</v>
      </c>
      <c r="C1391" s="13" t="s">
        <v>128</v>
      </c>
      <c r="D1391" s="13">
        <v>46</v>
      </c>
      <c r="E1391" s="2" t="s">
        <v>144</v>
      </c>
      <c r="F1391" s="7">
        <v>1309</v>
      </c>
      <c r="G1391" s="3">
        <f>F1391+(VLOOKUP(D1391,'(Semelles.Monument.€HT)'!C:G,3,FALSE()))</f>
        <v>1587</v>
      </c>
      <c r="H1391" s="4">
        <f>F1391+(VLOOKUP(D1391,'(Semelles.Monument.€HT)'!C:G,4,FALSE()))</f>
        <v>1667</v>
      </c>
      <c r="I1391" s="5">
        <f>F1391+(VLOOKUP(D1391,'(Semelles.Monument.€HT)'!C:G,5,FALSE()))</f>
        <v>1752</v>
      </c>
    </row>
    <row r="1392" spans="1:9" ht="26" customHeight="1">
      <c r="A1392" s="17" t="s">
        <v>156</v>
      </c>
      <c r="B1392" s="18" t="s">
        <v>175</v>
      </c>
      <c r="C1392" s="18" t="s">
        <v>128</v>
      </c>
      <c r="D1392" s="18">
        <v>47</v>
      </c>
      <c r="E1392" s="17" t="s">
        <v>145</v>
      </c>
      <c r="F1392" s="19">
        <v>1336</v>
      </c>
      <c r="G1392" s="20">
        <f>F1392+(VLOOKUP(D1392,'(Semelles.Monument.€HT)'!C:G,3,FALSE()))</f>
        <v>1620</v>
      </c>
      <c r="H1392" s="21">
        <f>F1392+(VLOOKUP(D1392,'(Semelles.Monument.€HT)'!C:G,4,FALSE()))</f>
        <v>1702</v>
      </c>
      <c r="I1392" s="22">
        <f>F1392+(VLOOKUP(D1392,'(Semelles.Monument.€HT)'!C:G,5,FALSE()))</f>
        <v>1788</v>
      </c>
    </row>
    <row r="1393" spans="1:9" ht="26" customHeight="1">
      <c r="A1393" s="2" t="s">
        <v>156</v>
      </c>
      <c r="B1393" s="13" t="s">
        <v>175</v>
      </c>
      <c r="C1393" s="13" t="s">
        <v>128</v>
      </c>
      <c r="D1393" s="13">
        <v>48</v>
      </c>
      <c r="E1393" s="2" t="s">
        <v>146</v>
      </c>
      <c r="F1393" s="7">
        <v>1350</v>
      </c>
      <c r="G1393" s="3">
        <f>F1393+(VLOOKUP(D1393,'(Semelles.Monument.€HT)'!C:G,3,FALSE()))</f>
        <v>1637</v>
      </c>
      <c r="H1393" s="4">
        <f>F1393+(VLOOKUP(D1393,'(Semelles.Monument.€HT)'!C:G,4,FALSE()))</f>
        <v>1720</v>
      </c>
      <c r="I1393" s="5">
        <f>F1393+(VLOOKUP(D1393,'(Semelles.Monument.€HT)'!C:G,5,FALSE()))</f>
        <v>1807</v>
      </c>
    </row>
    <row r="1394" spans="1:9" ht="26" customHeight="1">
      <c r="A1394" s="17" t="s">
        <v>156</v>
      </c>
      <c r="B1394" s="18" t="s">
        <v>176</v>
      </c>
      <c r="C1394" s="18" t="s">
        <v>97</v>
      </c>
      <c r="D1394" s="18">
        <v>1</v>
      </c>
      <c r="E1394" s="17" t="s">
        <v>98</v>
      </c>
      <c r="F1394" s="19">
        <v>1031</v>
      </c>
      <c r="G1394" s="20">
        <f>F1394+(VLOOKUP(D1394,'(Semelles.Monument.€HT)'!C:G,3,FALSE()))</f>
        <v>1189</v>
      </c>
      <c r="H1394" s="21">
        <f>F1394+(VLOOKUP(D1394,'(Semelles.Monument.€HT)'!C:G,4,FALSE()))</f>
        <v>1235</v>
      </c>
      <c r="I1394" s="22">
        <f>F1394+(VLOOKUP(D1394,'(Semelles.Monument.€HT)'!C:G,5,FALSE()))</f>
        <v>1283</v>
      </c>
    </row>
    <row r="1395" spans="1:9" ht="26" customHeight="1">
      <c r="A1395" s="2" t="s">
        <v>156</v>
      </c>
      <c r="B1395" s="13" t="s">
        <v>176</v>
      </c>
      <c r="C1395" s="13" t="s">
        <v>97</v>
      </c>
      <c r="D1395" s="13">
        <v>2</v>
      </c>
      <c r="E1395" s="2" t="s">
        <v>99</v>
      </c>
      <c r="F1395" s="7">
        <v>1029</v>
      </c>
      <c r="G1395" s="3">
        <f>F1395+(VLOOKUP(D1395,'(Semelles.Monument.€HT)'!C:G,3,FALSE()))</f>
        <v>1187</v>
      </c>
      <c r="H1395" s="4">
        <f>F1395+(VLOOKUP(D1395,'(Semelles.Monument.€HT)'!C:G,4,FALSE()))</f>
        <v>1233</v>
      </c>
      <c r="I1395" s="5">
        <f>F1395+(VLOOKUP(D1395,'(Semelles.Monument.€HT)'!C:G,5,FALSE()))</f>
        <v>1281</v>
      </c>
    </row>
    <row r="1396" spans="1:9" ht="26" customHeight="1">
      <c r="A1396" s="17" t="s">
        <v>156</v>
      </c>
      <c r="B1396" s="18" t="s">
        <v>176</v>
      </c>
      <c r="C1396" s="18" t="s">
        <v>97</v>
      </c>
      <c r="D1396" s="18">
        <v>3</v>
      </c>
      <c r="E1396" s="17" t="s">
        <v>100</v>
      </c>
      <c r="F1396" s="19">
        <v>1145</v>
      </c>
      <c r="G1396" s="20">
        <f>F1396+(VLOOKUP(D1396,'(Semelles.Monument.€HT)'!C:G,3,FALSE()))</f>
        <v>1321</v>
      </c>
      <c r="H1396" s="21">
        <f>F1396+(VLOOKUP(D1396,'(Semelles.Monument.€HT)'!C:G,4,FALSE()))</f>
        <v>1372</v>
      </c>
      <c r="I1396" s="22">
        <f>F1396+(VLOOKUP(D1396,'(Semelles.Monument.€HT)'!C:G,5,FALSE()))</f>
        <v>1425</v>
      </c>
    </row>
    <row r="1397" spans="1:9" ht="26" customHeight="1">
      <c r="A1397" s="2" t="s">
        <v>156</v>
      </c>
      <c r="B1397" s="13" t="s">
        <v>176</v>
      </c>
      <c r="C1397" s="13" t="s">
        <v>97</v>
      </c>
      <c r="D1397" s="13">
        <v>4</v>
      </c>
      <c r="E1397" s="2" t="s">
        <v>101</v>
      </c>
      <c r="F1397" s="7">
        <v>1164</v>
      </c>
      <c r="G1397" s="3">
        <f>F1397+(VLOOKUP(D1397,'(Semelles.Monument.€HT)'!C:G,3,FALSE()))</f>
        <v>1343</v>
      </c>
      <c r="H1397" s="4">
        <f>F1397+(VLOOKUP(D1397,'(Semelles.Monument.€HT)'!C:G,4,FALSE()))</f>
        <v>1395</v>
      </c>
      <c r="I1397" s="5">
        <f>F1397+(VLOOKUP(D1397,'(Semelles.Monument.€HT)'!C:G,5,FALSE()))</f>
        <v>1449</v>
      </c>
    </row>
    <row r="1398" spans="1:9" ht="26" customHeight="1">
      <c r="A1398" s="17" t="s">
        <v>156</v>
      </c>
      <c r="B1398" s="18" t="s">
        <v>176</v>
      </c>
      <c r="C1398" s="18" t="s">
        <v>97</v>
      </c>
      <c r="D1398" s="18">
        <v>5</v>
      </c>
      <c r="E1398" s="17" t="s">
        <v>102</v>
      </c>
      <c r="F1398" s="19">
        <v>1164</v>
      </c>
      <c r="G1398" s="20">
        <f>F1398+(VLOOKUP(D1398,'(Semelles.Monument.€HT)'!C:G,3,FALSE()))</f>
        <v>1343</v>
      </c>
      <c r="H1398" s="21">
        <f>F1398+(VLOOKUP(D1398,'(Semelles.Monument.€HT)'!C:G,4,FALSE()))</f>
        <v>1395</v>
      </c>
      <c r="I1398" s="22">
        <f>F1398+(VLOOKUP(D1398,'(Semelles.Monument.€HT)'!C:G,5,FALSE()))</f>
        <v>1449</v>
      </c>
    </row>
    <row r="1399" spans="1:9" ht="26" customHeight="1">
      <c r="A1399" s="2" t="s">
        <v>156</v>
      </c>
      <c r="B1399" s="13" t="s">
        <v>176</v>
      </c>
      <c r="C1399" s="13" t="s">
        <v>97</v>
      </c>
      <c r="D1399" s="13">
        <v>6</v>
      </c>
      <c r="E1399" s="2" t="s">
        <v>103</v>
      </c>
      <c r="F1399" s="7">
        <v>1170</v>
      </c>
      <c r="G1399" s="3">
        <f>F1399+(VLOOKUP(D1399,'(Semelles.Monument.€HT)'!C:G,3,FALSE()))</f>
        <v>1350</v>
      </c>
      <c r="H1399" s="4">
        <f>F1399+(VLOOKUP(D1399,'(Semelles.Monument.€HT)'!C:G,4,FALSE()))</f>
        <v>1402</v>
      </c>
      <c r="I1399" s="5">
        <f>F1399+(VLOOKUP(D1399,'(Semelles.Monument.€HT)'!C:G,5,FALSE()))</f>
        <v>1457</v>
      </c>
    </row>
    <row r="1400" spans="1:9" ht="26" customHeight="1">
      <c r="A1400" s="17" t="s">
        <v>156</v>
      </c>
      <c r="B1400" s="18" t="s">
        <v>176</v>
      </c>
      <c r="C1400" s="18" t="s">
        <v>97</v>
      </c>
      <c r="D1400" s="18">
        <v>7</v>
      </c>
      <c r="E1400" s="17" t="s">
        <v>104</v>
      </c>
      <c r="F1400" s="19">
        <v>1170</v>
      </c>
      <c r="G1400" s="20">
        <f>F1400+(VLOOKUP(D1400,'(Semelles.Monument.€HT)'!C:G,3,FALSE()))</f>
        <v>1350</v>
      </c>
      <c r="H1400" s="21">
        <f>F1400+(VLOOKUP(D1400,'(Semelles.Monument.€HT)'!C:G,4,FALSE()))</f>
        <v>1402</v>
      </c>
      <c r="I1400" s="22">
        <f>F1400+(VLOOKUP(D1400,'(Semelles.Monument.€HT)'!C:G,5,FALSE()))</f>
        <v>1457</v>
      </c>
    </row>
    <row r="1401" spans="1:9" ht="26" customHeight="1">
      <c r="A1401" s="2" t="s">
        <v>156</v>
      </c>
      <c r="B1401" s="13" t="s">
        <v>176</v>
      </c>
      <c r="C1401" s="13" t="s">
        <v>97</v>
      </c>
      <c r="D1401" s="13">
        <v>8</v>
      </c>
      <c r="E1401" s="2" t="s">
        <v>105</v>
      </c>
      <c r="F1401" s="7">
        <v>1170</v>
      </c>
      <c r="G1401" s="3">
        <f>F1401+(VLOOKUP(D1401,'(Semelles.Monument.€HT)'!C:G,3,FALSE()))</f>
        <v>1350</v>
      </c>
      <c r="H1401" s="4">
        <f>F1401+(VLOOKUP(D1401,'(Semelles.Monument.€HT)'!C:G,4,FALSE()))</f>
        <v>1402</v>
      </c>
      <c r="I1401" s="5">
        <f>F1401+(VLOOKUP(D1401,'(Semelles.Monument.€HT)'!C:G,5,FALSE()))</f>
        <v>1457</v>
      </c>
    </row>
    <row r="1402" spans="1:9" ht="26" customHeight="1">
      <c r="A1402" s="17" t="s">
        <v>156</v>
      </c>
      <c r="B1402" s="18" t="s">
        <v>176</v>
      </c>
      <c r="C1402" s="18" t="s">
        <v>97</v>
      </c>
      <c r="D1402" s="18">
        <v>9</v>
      </c>
      <c r="E1402" s="17" t="s">
        <v>106</v>
      </c>
      <c r="F1402" s="19">
        <v>1170</v>
      </c>
      <c r="G1402" s="20">
        <f>F1402+(VLOOKUP(D1402,'(Semelles.Monument.€HT)'!C:G,3,FALSE()))</f>
        <v>1350</v>
      </c>
      <c r="H1402" s="21">
        <f>F1402+(VLOOKUP(D1402,'(Semelles.Monument.€HT)'!C:G,4,FALSE()))</f>
        <v>1402</v>
      </c>
      <c r="I1402" s="22">
        <f>F1402+(VLOOKUP(D1402,'(Semelles.Monument.€HT)'!C:G,5,FALSE()))</f>
        <v>1457</v>
      </c>
    </row>
    <row r="1403" spans="1:9" ht="26" customHeight="1">
      <c r="A1403" s="2" t="s">
        <v>156</v>
      </c>
      <c r="B1403" s="13" t="s">
        <v>176</v>
      </c>
      <c r="C1403" s="13" t="s">
        <v>97</v>
      </c>
      <c r="D1403" s="13">
        <v>10</v>
      </c>
      <c r="E1403" s="2" t="s">
        <v>107</v>
      </c>
      <c r="F1403" s="7">
        <v>1170</v>
      </c>
      <c r="G1403" s="3">
        <f>F1403+(VLOOKUP(D1403,'(Semelles.Monument.€HT)'!C:G,3,FALSE()))</f>
        <v>1350</v>
      </c>
      <c r="H1403" s="4">
        <f>F1403+(VLOOKUP(D1403,'(Semelles.Monument.€HT)'!C:G,4,FALSE()))</f>
        <v>1402</v>
      </c>
      <c r="I1403" s="5">
        <f>F1403+(VLOOKUP(D1403,'(Semelles.Monument.€HT)'!C:G,5,FALSE()))</f>
        <v>1457</v>
      </c>
    </row>
    <row r="1404" spans="1:9" ht="26" customHeight="1">
      <c r="A1404" s="17" t="s">
        <v>156</v>
      </c>
      <c r="B1404" s="18" t="s">
        <v>176</v>
      </c>
      <c r="C1404" s="18" t="s">
        <v>97</v>
      </c>
      <c r="D1404" s="18">
        <v>11</v>
      </c>
      <c r="E1404" s="17" t="s">
        <v>108</v>
      </c>
      <c r="F1404" s="19">
        <v>1170</v>
      </c>
      <c r="G1404" s="20">
        <f>F1404+(VLOOKUP(D1404,'(Semelles.Monument.€HT)'!C:G,3,FALSE()))</f>
        <v>1350</v>
      </c>
      <c r="H1404" s="21">
        <f>F1404+(VLOOKUP(D1404,'(Semelles.Monument.€HT)'!C:G,4,FALSE()))</f>
        <v>1402</v>
      </c>
      <c r="I1404" s="22">
        <f>F1404+(VLOOKUP(D1404,'(Semelles.Monument.€HT)'!C:G,5,FALSE()))</f>
        <v>1457</v>
      </c>
    </row>
    <row r="1405" spans="1:9" ht="26" customHeight="1">
      <c r="A1405" s="2" t="s">
        <v>156</v>
      </c>
      <c r="B1405" s="13" t="s">
        <v>176</v>
      </c>
      <c r="C1405" s="13" t="s">
        <v>97</v>
      </c>
      <c r="D1405" s="13">
        <v>12</v>
      </c>
      <c r="E1405" s="2" t="s">
        <v>109</v>
      </c>
      <c r="F1405" s="7">
        <v>1187</v>
      </c>
      <c r="G1405" s="3">
        <f>F1405+(VLOOKUP(D1405,'(Semelles.Monument.€HT)'!C:G,3,FALSE()))</f>
        <v>1369</v>
      </c>
      <c r="H1405" s="4">
        <f>F1405+(VLOOKUP(D1405,'(Semelles.Monument.€HT)'!C:G,4,FALSE()))</f>
        <v>1422</v>
      </c>
      <c r="I1405" s="5">
        <f>F1405+(VLOOKUP(D1405,'(Semelles.Monument.€HT)'!C:G,5,FALSE()))</f>
        <v>1478</v>
      </c>
    </row>
    <row r="1406" spans="1:9" ht="26" customHeight="1">
      <c r="A1406" s="17" t="s">
        <v>156</v>
      </c>
      <c r="B1406" s="18" t="s">
        <v>176</v>
      </c>
      <c r="C1406" s="18" t="s">
        <v>97</v>
      </c>
      <c r="D1406" s="18">
        <v>13</v>
      </c>
      <c r="E1406" s="17" t="s">
        <v>110</v>
      </c>
      <c r="F1406" s="19">
        <v>1187</v>
      </c>
      <c r="G1406" s="20">
        <f>F1406+(VLOOKUP(D1406,'(Semelles.Monument.€HT)'!C:G,3,FALSE()))</f>
        <v>1369</v>
      </c>
      <c r="H1406" s="21">
        <f>F1406+(VLOOKUP(D1406,'(Semelles.Monument.€HT)'!C:G,4,FALSE()))</f>
        <v>1422</v>
      </c>
      <c r="I1406" s="22">
        <f>F1406+(VLOOKUP(D1406,'(Semelles.Monument.€HT)'!C:G,5,FALSE()))</f>
        <v>1478</v>
      </c>
    </row>
    <row r="1407" spans="1:9" ht="26" customHeight="1">
      <c r="A1407" s="2" t="s">
        <v>156</v>
      </c>
      <c r="B1407" s="13" t="s">
        <v>176</v>
      </c>
      <c r="C1407" s="13" t="s">
        <v>97</v>
      </c>
      <c r="D1407" s="13">
        <v>14</v>
      </c>
      <c r="E1407" s="2" t="s">
        <v>111</v>
      </c>
      <c r="F1407" s="7">
        <v>1191</v>
      </c>
      <c r="G1407" s="3">
        <f>F1407+(VLOOKUP(D1407,'(Semelles.Monument.€HT)'!C:G,3,FALSE()))</f>
        <v>1374</v>
      </c>
      <c r="H1407" s="4">
        <f>F1407+(VLOOKUP(D1407,'(Semelles.Monument.€HT)'!C:G,4,FALSE()))</f>
        <v>1427</v>
      </c>
      <c r="I1407" s="5">
        <f>F1407+(VLOOKUP(D1407,'(Semelles.Monument.€HT)'!C:G,5,FALSE()))</f>
        <v>1483</v>
      </c>
    </row>
    <row r="1408" spans="1:9" ht="26" customHeight="1">
      <c r="A1408" s="17" t="s">
        <v>156</v>
      </c>
      <c r="B1408" s="18" t="s">
        <v>176</v>
      </c>
      <c r="C1408" s="18" t="s">
        <v>97</v>
      </c>
      <c r="D1408" s="18">
        <v>15</v>
      </c>
      <c r="E1408" s="17" t="s">
        <v>112</v>
      </c>
      <c r="F1408" s="19">
        <v>1191</v>
      </c>
      <c r="G1408" s="20">
        <f>F1408+(VLOOKUP(D1408,'(Semelles.Monument.€HT)'!C:G,3,FALSE()))</f>
        <v>1374</v>
      </c>
      <c r="H1408" s="21">
        <f>F1408+(VLOOKUP(D1408,'(Semelles.Monument.€HT)'!C:G,4,FALSE()))</f>
        <v>1427</v>
      </c>
      <c r="I1408" s="22">
        <f>F1408+(VLOOKUP(D1408,'(Semelles.Monument.€HT)'!C:G,5,FALSE()))</f>
        <v>1483</v>
      </c>
    </row>
    <row r="1409" spans="1:9" ht="26" customHeight="1">
      <c r="A1409" s="2" t="s">
        <v>156</v>
      </c>
      <c r="B1409" s="13" t="s">
        <v>176</v>
      </c>
      <c r="C1409" s="13" t="s">
        <v>97</v>
      </c>
      <c r="D1409" s="13">
        <v>16</v>
      </c>
      <c r="E1409" s="2" t="s">
        <v>113</v>
      </c>
      <c r="F1409" s="7">
        <v>1191</v>
      </c>
      <c r="G1409" s="3">
        <f>F1409+(VLOOKUP(D1409,'(Semelles.Monument.€HT)'!C:G,3,FALSE()))</f>
        <v>1374</v>
      </c>
      <c r="H1409" s="4">
        <f>F1409+(VLOOKUP(D1409,'(Semelles.Monument.€HT)'!C:G,4,FALSE()))</f>
        <v>1427</v>
      </c>
      <c r="I1409" s="5">
        <f>F1409+(VLOOKUP(D1409,'(Semelles.Monument.€HT)'!C:G,5,FALSE()))</f>
        <v>1483</v>
      </c>
    </row>
    <row r="1410" spans="1:9" ht="26" customHeight="1">
      <c r="A1410" s="17" t="s">
        <v>156</v>
      </c>
      <c r="B1410" s="18" t="s">
        <v>176</v>
      </c>
      <c r="C1410" s="18" t="s">
        <v>97</v>
      </c>
      <c r="D1410" s="18">
        <v>17</v>
      </c>
      <c r="E1410" s="17" t="s">
        <v>114</v>
      </c>
      <c r="F1410" s="19">
        <v>1211</v>
      </c>
      <c r="G1410" s="20">
        <f>F1410+(VLOOKUP(D1410,'(Semelles.Monument.€HT)'!C:G,3,FALSE()))</f>
        <v>1397</v>
      </c>
      <c r="H1410" s="21">
        <f>F1410+(VLOOKUP(D1410,'(Semelles.Monument.€HT)'!C:G,4,FALSE()))</f>
        <v>1451</v>
      </c>
      <c r="I1410" s="22">
        <f>F1410+(VLOOKUP(D1410,'(Semelles.Monument.€HT)'!C:G,5,FALSE()))</f>
        <v>1508</v>
      </c>
    </row>
    <row r="1411" spans="1:9" ht="26" customHeight="1">
      <c r="A1411" s="2" t="s">
        <v>156</v>
      </c>
      <c r="B1411" s="13" t="s">
        <v>176</v>
      </c>
      <c r="C1411" s="13" t="s">
        <v>97</v>
      </c>
      <c r="D1411" s="13">
        <v>18</v>
      </c>
      <c r="E1411" s="2" t="s">
        <v>115</v>
      </c>
      <c r="F1411" s="7">
        <v>1211</v>
      </c>
      <c r="G1411" s="3">
        <f>F1411+(VLOOKUP(D1411,'(Semelles.Monument.€HT)'!C:G,3,FALSE()))</f>
        <v>1397</v>
      </c>
      <c r="H1411" s="4">
        <f>F1411+(VLOOKUP(D1411,'(Semelles.Monument.€HT)'!C:G,4,FALSE()))</f>
        <v>1451</v>
      </c>
      <c r="I1411" s="5">
        <f>F1411+(VLOOKUP(D1411,'(Semelles.Monument.€HT)'!C:G,5,FALSE()))</f>
        <v>1508</v>
      </c>
    </row>
    <row r="1412" spans="1:9" ht="26" customHeight="1">
      <c r="A1412" s="17" t="s">
        <v>156</v>
      </c>
      <c r="B1412" s="18" t="s">
        <v>176</v>
      </c>
      <c r="C1412" s="18" t="s">
        <v>97</v>
      </c>
      <c r="D1412" s="18">
        <v>19</v>
      </c>
      <c r="E1412" s="17" t="s">
        <v>116</v>
      </c>
      <c r="F1412" s="19">
        <v>1211</v>
      </c>
      <c r="G1412" s="20">
        <f>F1412+(VLOOKUP(D1412,'(Semelles.Monument.€HT)'!C:G,3,FALSE()))</f>
        <v>1397</v>
      </c>
      <c r="H1412" s="21">
        <f>F1412+(VLOOKUP(D1412,'(Semelles.Monument.€HT)'!C:G,4,FALSE()))</f>
        <v>1451</v>
      </c>
      <c r="I1412" s="22">
        <f>F1412+(VLOOKUP(D1412,'(Semelles.Monument.€HT)'!C:G,5,FALSE()))</f>
        <v>1508</v>
      </c>
    </row>
    <row r="1413" spans="1:9" ht="26" customHeight="1">
      <c r="A1413" s="2" t="s">
        <v>156</v>
      </c>
      <c r="B1413" s="13" t="s">
        <v>176</v>
      </c>
      <c r="C1413" s="13" t="s">
        <v>97</v>
      </c>
      <c r="D1413" s="13">
        <v>20</v>
      </c>
      <c r="E1413" s="2" t="s">
        <v>117</v>
      </c>
      <c r="F1413" s="7">
        <v>1221</v>
      </c>
      <c r="G1413" s="3">
        <f>F1413+(VLOOKUP(D1413,'(Semelles.Monument.€HT)'!C:G,3,FALSE()))</f>
        <v>1409</v>
      </c>
      <c r="H1413" s="4">
        <f>F1413+(VLOOKUP(D1413,'(Semelles.Monument.€HT)'!C:G,4,FALSE()))</f>
        <v>1463</v>
      </c>
      <c r="I1413" s="5">
        <f>F1413+(VLOOKUP(D1413,'(Semelles.Monument.€HT)'!C:G,5,FALSE()))</f>
        <v>1520</v>
      </c>
    </row>
    <row r="1414" spans="1:9" ht="26" customHeight="1">
      <c r="A1414" s="17" t="s">
        <v>156</v>
      </c>
      <c r="B1414" s="18" t="s">
        <v>176</v>
      </c>
      <c r="C1414" s="18" t="s">
        <v>97</v>
      </c>
      <c r="D1414" s="18">
        <v>21</v>
      </c>
      <c r="E1414" s="17" t="s">
        <v>118</v>
      </c>
      <c r="F1414" s="19">
        <v>1229</v>
      </c>
      <c r="G1414" s="20">
        <f>F1414+(VLOOKUP(D1414,'(Semelles.Monument.€HT)'!C:G,3,FALSE()))</f>
        <v>1418</v>
      </c>
      <c r="H1414" s="21">
        <f>F1414+(VLOOKUP(D1414,'(Semelles.Monument.€HT)'!C:G,4,FALSE()))</f>
        <v>1472</v>
      </c>
      <c r="I1414" s="22">
        <f>F1414+(VLOOKUP(D1414,'(Semelles.Monument.€HT)'!C:G,5,FALSE()))</f>
        <v>1530</v>
      </c>
    </row>
    <row r="1415" spans="1:9" ht="26" customHeight="1">
      <c r="A1415" s="2" t="s">
        <v>156</v>
      </c>
      <c r="B1415" s="13" t="s">
        <v>176</v>
      </c>
      <c r="C1415" s="13" t="s">
        <v>97</v>
      </c>
      <c r="D1415" s="13">
        <v>22</v>
      </c>
      <c r="E1415" s="2" t="s">
        <v>119</v>
      </c>
      <c r="F1415" s="7">
        <v>1229</v>
      </c>
      <c r="G1415" s="3">
        <f>F1415+(VLOOKUP(D1415,'(Semelles.Monument.€HT)'!C:G,3,FALSE()))</f>
        <v>1418</v>
      </c>
      <c r="H1415" s="4">
        <f>F1415+(VLOOKUP(D1415,'(Semelles.Monument.€HT)'!C:G,4,FALSE()))</f>
        <v>1472</v>
      </c>
      <c r="I1415" s="5">
        <f>F1415+(VLOOKUP(D1415,'(Semelles.Monument.€HT)'!C:G,5,FALSE()))</f>
        <v>1530</v>
      </c>
    </row>
    <row r="1416" spans="1:9" ht="26" customHeight="1">
      <c r="A1416" s="17" t="s">
        <v>156</v>
      </c>
      <c r="B1416" s="18" t="s">
        <v>176</v>
      </c>
      <c r="C1416" s="18" t="s">
        <v>97</v>
      </c>
      <c r="D1416" s="18">
        <v>23</v>
      </c>
      <c r="E1416" s="17" t="s">
        <v>120</v>
      </c>
      <c r="F1416" s="19">
        <v>1247</v>
      </c>
      <c r="G1416" s="20">
        <f>F1416+(VLOOKUP(D1416,'(Semelles.Monument.€HT)'!C:G,3,FALSE()))</f>
        <v>1439</v>
      </c>
      <c r="H1416" s="21">
        <f>F1416+(VLOOKUP(D1416,'(Semelles.Monument.€HT)'!C:G,4,FALSE()))</f>
        <v>1494</v>
      </c>
      <c r="I1416" s="22">
        <f>F1416+(VLOOKUP(D1416,'(Semelles.Monument.€HT)'!C:G,5,FALSE()))</f>
        <v>1552</v>
      </c>
    </row>
    <row r="1417" spans="1:9" ht="26" customHeight="1">
      <c r="A1417" s="2" t="s">
        <v>156</v>
      </c>
      <c r="B1417" s="13" t="s">
        <v>176</v>
      </c>
      <c r="C1417" s="13" t="s">
        <v>97</v>
      </c>
      <c r="D1417" s="13">
        <v>24</v>
      </c>
      <c r="E1417" s="2" t="s">
        <v>121</v>
      </c>
      <c r="F1417" s="7">
        <v>1247</v>
      </c>
      <c r="G1417" s="3">
        <f>F1417+(VLOOKUP(D1417,'(Semelles.Monument.€HT)'!C:G,3,FALSE()))</f>
        <v>1439</v>
      </c>
      <c r="H1417" s="4">
        <f>F1417+(VLOOKUP(D1417,'(Semelles.Monument.€HT)'!C:G,4,FALSE()))</f>
        <v>1494</v>
      </c>
      <c r="I1417" s="5">
        <f>F1417+(VLOOKUP(D1417,'(Semelles.Monument.€HT)'!C:G,5,FALSE()))</f>
        <v>1552</v>
      </c>
    </row>
    <row r="1418" spans="1:9" ht="26" customHeight="1">
      <c r="A1418" s="17" t="s">
        <v>156</v>
      </c>
      <c r="B1418" s="18" t="s">
        <v>176</v>
      </c>
      <c r="C1418" s="18" t="s">
        <v>97</v>
      </c>
      <c r="D1418" s="18">
        <v>25</v>
      </c>
      <c r="E1418" s="17" t="s">
        <v>122</v>
      </c>
      <c r="F1418" s="19">
        <v>1247</v>
      </c>
      <c r="G1418" s="20">
        <f>F1418+(VLOOKUP(D1418,'(Semelles.Monument.€HT)'!C:G,3,FALSE()))</f>
        <v>1439</v>
      </c>
      <c r="H1418" s="21">
        <f>F1418+(VLOOKUP(D1418,'(Semelles.Monument.€HT)'!C:G,4,FALSE()))</f>
        <v>1494</v>
      </c>
      <c r="I1418" s="22">
        <f>F1418+(VLOOKUP(D1418,'(Semelles.Monument.€HT)'!C:G,5,FALSE()))</f>
        <v>1552</v>
      </c>
    </row>
    <row r="1419" spans="1:9" ht="26" customHeight="1">
      <c r="A1419" s="2" t="s">
        <v>156</v>
      </c>
      <c r="B1419" s="13" t="s">
        <v>176</v>
      </c>
      <c r="C1419" s="13" t="s">
        <v>97</v>
      </c>
      <c r="D1419" s="13">
        <v>26</v>
      </c>
      <c r="E1419" s="2" t="s">
        <v>123</v>
      </c>
      <c r="F1419" s="7">
        <v>1268</v>
      </c>
      <c r="G1419" s="3">
        <f>F1419+(VLOOKUP(D1419,'(Semelles.Monument.€HT)'!C:G,3,FALSE()))</f>
        <v>1463</v>
      </c>
      <c r="H1419" s="4">
        <f>F1419+(VLOOKUP(D1419,'(Semelles.Monument.€HT)'!C:G,4,FALSE()))</f>
        <v>1519</v>
      </c>
      <c r="I1419" s="5">
        <f>F1419+(VLOOKUP(D1419,'(Semelles.Monument.€HT)'!C:G,5,FALSE()))</f>
        <v>1578</v>
      </c>
    </row>
    <row r="1420" spans="1:9" ht="26" customHeight="1">
      <c r="A1420" s="17" t="s">
        <v>156</v>
      </c>
      <c r="B1420" s="18" t="s">
        <v>176</v>
      </c>
      <c r="C1420" s="18" t="s">
        <v>97</v>
      </c>
      <c r="D1420" s="18">
        <v>27</v>
      </c>
      <c r="E1420" s="17" t="s">
        <v>124</v>
      </c>
      <c r="F1420" s="19">
        <v>1351</v>
      </c>
      <c r="G1420" s="20">
        <f>F1420+(VLOOKUP(D1420,'(Semelles.Monument.€HT)'!C:G,3,FALSE()))</f>
        <v>1559</v>
      </c>
      <c r="H1420" s="21">
        <f>F1420+(VLOOKUP(D1420,'(Semelles.Monument.€HT)'!C:G,4,FALSE()))</f>
        <v>1619</v>
      </c>
      <c r="I1420" s="22">
        <f>F1420+(VLOOKUP(D1420,'(Semelles.Monument.€HT)'!C:G,5,FALSE()))</f>
        <v>1718</v>
      </c>
    </row>
    <row r="1421" spans="1:9" ht="26" customHeight="1">
      <c r="A1421" s="2" t="s">
        <v>156</v>
      </c>
      <c r="B1421" s="13" t="s">
        <v>176</v>
      </c>
      <c r="C1421" s="13" t="s">
        <v>97</v>
      </c>
      <c r="D1421" s="13">
        <v>28</v>
      </c>
      <c r="E1421" s="2" t="s">
        <v>125</v>
      </c>
      <c r="F1421" s="7">
        <v>1560</v>
      </c>
      <c r="G1421" s="3">
        <f>F1421+(VLOOKUP(D1421,'(Semelles.Monument.€HT)'!C:G,3,FALSE()))</f>
        <v>1790</v>
      </c>
      <c r="H1421" s="4">
        <f>F1421+(VLOOKUP(D1421,'(Semelles.Monument.€HT)'!C:G,4,FALSE()))</f>
        <v>1857</v>
      </c>
      <c r="I1421" s="5">
        <f>F1421+(VLOOKUP(D1421,'(Semelles.Monument.€HT)'!C:G,5,FALSE()))</f>
        <v>1927</v>
      </c>
    </row>
    <row r="1422" spans="1:9" ht="26" customHeight="1">
      <c r="A1422" s="17" t="s">
        <v>156</v>
      </c>
      <c r="B1422" s="18" t="s">
        <v>176</v>
      </c>
      <c r="C1422" s="18" t="s">
        <v>97</v>
      </c>
      <c r="D1422" s="18">
        <v>29</v>
      </c>
      <c r="E1422" s="17" t="s">
        <v>126</v>
      </c>
      <c r="F1422" s="19">
        <v>1560</v>
      </c>
      <c r="G1422" s="20">
        <f>F1422+(VLOOKUP(D1422,'(Semelles.Monument.€HT)'!C:G,3,FALSE()))</f>
        <v>1800</v>
      </c>
      <c r="H1422" s="21">
        <f>F1422+(VLOOKUP(D1422,'(Semelles.Monument.€HT)'!C:G,4,FALSE()))</f>
        <v>1869</v>
      </c>
      <c r="I1422" s="22">
        <f>F1422+(VLOOKUP(D1422,'(Semelles.Monument.€HT)'!C:G,5,FALSE()))</f>
        <v>1942</v>
      </c>
    </row>
    <row r="1423" spans="1:9" ht="26" customHeight="1">
      <c r="A1423" s="2" t="s">
        <v>156</v>
      </c>
      <c r="B1423" s="13" t="s">
        <v>176</v>
      </c>
      <c r="C1423" s="13" t="s">
        <v>97</v>
      </c>
      <c r="D1423" s="13">
        <v>30</v>
      </c>
      <c r="E1423" s="2" t="s">
        <v>127</v>
      </c>
      <c r="F1423" s="7">
        <v>1560</v>
      </c>
      <c r="G1423" s="3">
        <f>F1423+(VLOOKUP(D1423,'(Semelles.Monument.€HT)'!C:G,3,FALSE()))</f>
        <v>1800</v>
      </c>
      <c r="H1423" s="4">
        <f>F1423+(VLOOKUP(D1423,'(Semelles.Monument.€HT)'!C:G,4,FALSE()))</f>
        <v>1869</v>
      </c>
      <c r="I1423" s="5">
        <f>F1423+(VLOOKUP(D1423,'(Semelles.Monument.€HT)'!C:G,5,FALSE()))</f>
        <v>1942</v>
      </c>
    </row>
    <row r="1424" spans="1:9" ht="26" customHeight="1">
      <c r="A1424" s="17" t="s">
        <v>156</v>
      </c>
      <c r="B1424" s="18" t="s">
        <v>176</v>
      </c>
      <c r="C1424" s="18" t="s">
        <v>128</v>
      </c>
      <c r="D1424" s="18">
        <v>31</v>
      </c>
      <c r="E1424" s="17" t="s">
        <v>129</v>
      </c>
      <c r="F1424" s="19">
        <v>879</v>
      </c>
      <c r="G1424" s="20">
        <f>F1424+(VLOOKUP(D1424,'(Semelles.Monument.€HT)'!C:G,3,FALSE()))</f>
        <v>1011</v>
      </c>
      <c r="H1424" s="21">
        <f>F1424+(VLOOKUP(D1424,'(Semelles.Monument.€HT)'!C:G,4,FALSE()))</f>
        <v>1049</v>
      </c>
      <c r="I1424" s="22">
        <f>F1424+(VLOOKUP(D1424,'(Semelles.Monument.€HT)'!C:G,5,FALSE()))</f>
        <v>1089</v>
      </c>
    </row>
    <row r="1425" spans="1:9" ht="26" customHeight="1">
      <c r="A1425" s="2" t="s">
        <v>156</v>
      </c>
      <c r="B1425" s="13" t="s">
        <v>176</v>
      </c>
      <c r="C1425" s="13" t="s">
        <v>128</v>
      </c>
      <c r="D1425" s="13">
        <v>32</v>
      </c>
      <c r="E1425" s="2" t="s">
        <v>130</v>
      </c>
      <c r="F1425" s="7">
        <v>891</v>
      </c>
      <c r="G1425" s="3">
        <f>F1425+(VLOOKUP(D1425,'(Semelles.Monument.€HT)'!C:G,3,FALSE()))</f>
        <v>1025</v>
      </c>
      <c r="H1425" s="4">
        <f>F1425+(VLOOKUP(D1425,'(Semelles.Monument.€HT)'!C:G,4,FALSE()))</f>
        <v>1064</v>
      </c>
      <c r="I1425" s="5">
        <f>F1425+(VLOOKUP(D1425,'(Semelles.Monument.€HT)'!C:G,5,FALSE()))</f>
        <v>1104</v>
      </c>
    </row>
    <row r="1426" spans="1:9" ht="26" customHeight="1">
      <c r="A1426" s="17" t="s">
        <v>156</v>
      </c>
      <c r="B1426" s="18" t="s">
        <v>176</v>
      </c>
      <c r="C1426" s="18" t="s">
        <v>128</v>
      </c>
      <c r="D1426" s="18">
        <v>33</v>
      </c>
      <c r="E1426" s="17" t="s">
        <v>131</v>
      </c>
      <c r="F1426" s="19">
        <v>891</v>
      </c>
      <c r="G1426" s="20">
        <f>F1426+(VLOOKUP(D1426,'(Semelles.Monument.€HT)'!C:G,3,FALSE()))</f>
        <v>1025</v>
      </c>
      <c r="H1426" s="21">
        <f>F1426+(VLOOKUP(D1426,'(Semelles.Monument.€HT)'!C:G,4,FALSE()))</f>
        <v>1064</v>
      </c>
      <c r="I1426" s="22">
        <f>F1426+(VLOOKUP(D1426,'(Semelles.Monument.€HT)'!C:G,5,FALSE()))</f>
        <v>1104</v>
      </c>
    </row>
    <row r="1427" spans="1:9" ht="26" customHeight="1">
      <c r="A1427" s="2" t="s">
        <v>156</v>
      </c>
      <c r="B1427" s="13" t="s">
        <v>176</v>
      </c>
      <c r="C1427" s="13" t="s">
        <v>128</v>
      </c>
      <c r="D1427" s="13">
        <v>34</v>
      </c>
      <c r="E1427" s="2" t="s">
        <v>132</v>
      </c>
      <c r="F1427" s="7">
        <v>899</v>
      </c>
      <c r="G1427" s="3">
        <f>F1427+(VLOOKUP(D1427,'(Semelles.Monument.€HT)'!C:G,3,FALSE()))</f>
        <v>1034</v>
      </c>
      <c r="H1427" s="4">
        <f>F1427+(VLOOKUP(D1427,'(Semelles.Monument.€HT)'!C:G,4,FALSE()))</f>
        <v>1073</v>
      </c>
      <c r="I1427" s="5">
        <f>F1427+(VLOOKUP(D1427,'(Semelles.Monument.€HT)'!C:G,5,FALSE()))</f>
        <v>1114</v>
      </c>
    </row>
    <row r="1428" spans="1:9" ht="26" customHeight="1">
      <c r="A1428" s="17" t="s">
        <v>156</v>
      </c>
      <c r="B1428" s="18" t="s">
        <v>176</v>
      </c>
      <c r="C1428" s="18" t="s">
        <v>128</v>
      </c>
      <c r="D1428" s="18">
        <v>35</v>
      </c>
      <c r="E1428" s="17" t="s">
        <v>133</v>
      </c>
      <c r="F1428" s="19">
        <v>1079</v>
      </c>
      <c r="G1428" s="20">
        <f>F1428+(VLOOKUP(D1428,'(Semelles.Monument.€HT)'!C:G,3,FALSE()))</f>
        <v>1242</v>
      </c>
      <c r="H1428" s="21">
        <f>F1428+(VLOOKUP(D1428,'(Semelles.Monument.€HT)'!C:G,4,FALSE()))</f>
        <v>1289</v>
      </c>
      <c r="I1428" s="22">
        <f>F1428+(VLOOKUP(D1428,'(Semelles.Monument.€HT)'!C:G,5,FALSE()))</f>
        <v>1338</v>
      </c>
    </row>
    <row r="1429" spans="1:9" ht="26" customHeight="1">
      <c r="A1429" s="2" t="s">
        <v>156</v>
      </c>
      <c r="B1429" s="13" t="s">
        <v>176</v>
      </c>
      <c r="C1429" s="13" t="s">
        <v>128</v>
      </c>
      <c r="D1429" s="13">
        <v>36</v>
      </c>
      <c r="E1429" s="2" t="s">
        <v>134</v>
      </c>
      <c r="F1429" s="7">
        <v>1116</v>
      </c>
      <c r="G1429" s="3">
        <f>F1429+(VLOOKUP(D1429,'(Semelles.Monument.€HT)'!C:G,3,FALSE()))</f>
        <v>1284</v>
      </c>
      <c r="H1429" s="4">
        <f>F1429+(VLOOKUP(D1429,'(Semelles.Monument.€HT)'!C:G,4,FALSE()))</f>
        <v>1333</v>
      </c>
      <c r="I1429" s="5">
        <f>F1429+(VLOOKUP(D1429,'(Semelles.Monument.€HT)'!C:G,5,FALSE()))</f>
        <v>1384</v>
      </c>
    </row>
    <row r="1430" spans="1:9" ht="26" customHeight="1">
      <c r="A1430" s="17" t="s">
        <v>156</v>
      </c>
      <c r="B1430" s="18" t="s">
        <v>176</v>
      </c>
      <c r="C1430" s="18" t="s">
        <v>128</v>
      </c>
      <c r="D1430" s="18">
        <v>37</v>
      </c>
      <c r="E1430" s="17" t="s">
        <v>135</v>
      </c>
      <c r="F1430" s="19">
        <v>1374</v>
      </c>
      <c r="G1430" s="20">
        <f>F1430+(VLOOKUP(D1430,'(Semelles.Monument.€HT)'!C:G,3,FALSE()))</f>
        <v>1582</v>
      </c>
      <c r="H1430" s="21">
        <f>F1430+(VLOOKUP(D1430,'(Semelles.Monument.€HT)'!C:G,4,FALSE()))</f>
        <v>1642</v>
      </c>
      <c r="I1430" s="22">
        <f>F1430+(VLOOKUP(D1430,'(Semelles.Monument.€HT)'!C:G,5,FALSE()))</f>
        <v>1706</v>
      </c>
    </row>
    <row r="1431" spans="1:9" ht="26" customHeight="1">
      <c r="A1431" s="2" t="s">
        <v>156</v>
      </c>
      <c r="B1431" s="13" t="s">
        <v>176</v>
      </c>
      <c r="C1431" s="13" t="s">
        <v>128</v>
      </c>
      <c r="D1431" s="13">
        <v>38</v>
      </c>
      <c r="E1431" s="2" t="s">
        <v>136</v>
      </c>
      <c r="F1431" s="7">
        <v>1454</v>
      </c>
      <c r="G1431" s="3">
        <f>F1431+(VLOOKUP(D1431,'(Semelles.Monument.€HT)'!C:G,3,FALSE()))</f>
        <v>1674</v>
      </c>
      <c r="H1431" s="4">
        <f>F1431+(VLOOKUP(D1431,'(Semelles.Monument.€HT)'!C:G,4,FALSE()))</f>
        <v>1738</v>
      </c>
      <c r="I1431" s="5">
        <f>F1431+(VLOOKUP(D1431,'(Semelles.Monument.€HT)'!C:G,5,FALSE()))</f>
        <v>1805</v>
      </c>
    </row>
    <row r="1432" spans="1:9" ht="26" customHeight="1">
      <c r="A1432" s="17" t="s">
        <v>156</v>
      </c>
      <c r="B1432" s="18" t="s">
        <v>176</v>
      </c>
      <c r="C1432" s="18" t="s">
        <v>128</v>
      </c>
      <c r="D1432" s="18">
        <v>39</v>
      </c>
      <c r="E1432" s="17" t="s">
        <v>137</v>
      </c>
      <c r="F1432" s="19">
        <v>1491</v>
      </c>
      <c r="G1432" s="20">
        <f>F1432+(VLOOKUP(D1432,'(Semelles.Monument.€HT)'!C:G,3,FALSE()))</f>
        <v>1717</v>
      </c>
      <c r="H1432" s="21">
        <f>F1432+(VLOOKUP(D1432,'(Semelles.Monument.€HT)'!C:G,4,FALSE()))</f>
        <v>1782</v>
      </c>
      <c r="I1432" s="22">
        <f>F1432+(VLOOKUP(D1432,'(Semelles.Monument.€HT)'!C:G,5,FALSE()))</f>
        <v>1851</v>
      </c>
    </row>
    <row r="1433" spans="1:9" ht="26" customHeight="1">
      <c r="A1433" s="2" t="s">
        <v>156</v>
      </c>
      <c r="B1433" s="13" t="s">
        <v>176</v>
      </c>
      <c r="C1433" s="13" t="s">
        <v>128</v>
      </c>
      <c r="D1433" s="13">
        <v>40</v>
      </c>
      <c r="E1433" s="2" t="s">
        <v>138</v>
      </c>
      <c r="F1433" s="7">
        <v>1533</v>
      </c>
      <c r="G1433" s="3">
        <f>F1433+(VLOOKUP(D1433,'(Semelles.Monument.€HT)'!C:G,3,FALSE()))</f>
        <v>1765</v>
      </c>
      <c r="H1433" s="4">
        <f>F1433+(VLOOKUP(D1433,'(Semelles.Monument.€HT)'!C:G,4,FALSE()))</f>
        <v>1833</v>
      </c>
      <c r="I1433" s="5">
        <f>F1433+(VLOOKUP(D1433,'(Semelles.Monument.€HT)'!C:G,5,FALSE()))</f>
        <v>1903</v>
      </c>
    </row>
    <row r="1434" spans="1:9" ht="26" customHeight="1">
      <c r="A1434" s="17" t="s">
        <v>156</v>
      </c>
      <c r="B1434" s="18" t="s">
        <v>176</v>
      </c>
      <c r="C1434" s="18" t="s">
        <v>128</v>
      </c>
      <c r="D1434" s="18">
        <v>41</v>
      </c>
      <c r="E1434" s="17" t="s">
        <v>139</v>
      </c>
      <c r="F1434" s="19">
        <v>1628</v>
      </c>
      <c r="G1434" s="20">
        <f>F1434+(VLOOKUP(D1434,'(Semelles.Monument.€HT)'!C:G,3,FALSE()))</f>
        <v>1875</v>
      </c>
      <c r="H1434" s="21">
        <f>F1434+(VLOOKUP(D1434,'(Semelles.Monument.€HT)'!C:G,4,FALSE()))</f>
        <v>1947</v>
      </c>
      <c r="I1434" s="22">
        <f>F1434+(VLOOKUP(D1434,'(Semelles.Monument.€HT)'!C:G,5,FALSE()))</f>
        <v>2022</v>
      </c>
    </row>
    <row r="1435" spans="1:9" ht="26" customHeight="1">
      <c r="A1435" s="2" t="s">
        <v>156</v>
      </c>
      <c r="B1435" s="13" t="s">
        <v>176</v>
      </c>
      <c r="C1435" s="13" t="s">
        <v>128</v>
      </c>
      <c r="D1435" s="13">
        <v>42</v>
      </c>
      <c r="E1435" s="2" t="s">
        <v>140</v>
      </c>
      <c r="F1435" s="7">
        <v>1787</v>
      </c>
      <c r="G1435" s="3">
        <f>F1435+(VLOOKUP(D1435,'(Semelles.Monument.€HT)'!C:G,3,FALSE()))</f>
        <v>2058</v>
      </c>
      <c r="H1435" s="4">
        <f>F1435+(VLOOKUP(D1435,'(Semelles.Monument.€HT)'!C:G,4,FALSE()))</f>
        <v>2137</v>
      </c>
      <c r="I1435" s="5">
        <f>F1435+(VLOOKUP(D1435,'(Semelles.Monument.€HT)'!C:G,5,FALSE()))</f>
        <v>2220</v>
      </c>
    </row>
    <row r="1436" spans="1:9" ht="26" customHeight="1">
      <c r="A1436" s="17" t="s">
        <v>156</v>
      </c>
      <c r="B1436" s="18" t="s">
        <v>176</v>
      </c>
      <c r="C1436" s="18" t="s">
        <v>128</v>
      </c>
      <c r="D1436" s="18">
        <v>43</v>
      </c>
      <c r="E1436" s="17" t="s">
        <v>141</v>
      </c>
      <c r="F1436" s="19">
        <v>1787</v>
      </c>
      <c r="G1436" s="20">
        <f>F1436+(VLOOKUP(D1436,'(Semelles.Monument.€HT)'!C:G,3,FALSE()))</f>
        <v>2058</v>
      </c>
      <c r="H1436" s="21">
        <f>F1436+(VLOOKUP(D1436,'(Semelles.Monument.€HT)'!C:G,4,FALSE()))</f>
        <v>2137</v>
      </c>
      <c r="I1436" s="22">
        <f>F1436+(VLOOKUP(D1436,'(Semelles.Monument.€HT)'!C:G,5,FALSE()))</f>
        <v>2220</v>
      </c>
    </row>
    <row r="1437" spans="1:9" ht="26" customHeight="1">
      <c r="A1437" s="2" t="s">
        <v>156</v>
      </c>
      <c r="B1437" s="13" t="s">
        <v>176</v>
      </c>
      <c r="C1437" s="13" t="s">
        <v>128</v>
      </c>
      <c r="D1437" s="13">
        <v>44</v>
      </c>
      <c r="E1437" s="2" t="s">
        <v>142</v>
      </c>
      <c r="F1437" s="7">
        <v>1808</v>
      </c>
      <c r="G1437" s="3">
        <f>F1437+(VLOOKUP(D1437,'(Semelles.Monument.€HT)'!C:G,3,FALSE()))</f>
        <v>2083</v>
      </c>
      <c r="H1437" s="4">
        <f>F1437+(VLOOKUP(D1437,'(Semelles.Monument.€HT)'!C:G,4,FALSE()))</f>
        <v>2162</v>
      </c>
      <c r="I1437" s="5">
        <f>F1437+(VLOOKUP(D1437,'(Semelles.Monument.€HT)'!C:G,5,FALSE()))</f>
        <v>2246</v>
      </c>
    </row>
    <row r="1438" spans="1:9" ht="26" customHeight="1">
      <c r="A1438" s="17" t="s">
        <v>156</v>
      </c>
      <c r="B1438" s="18" t="s">
        <v>176</v>
      </c>
      <c r="C1438" s="18" t="s">
        <v>128</v>
      </c>
      <c r="D1438" s="18">
        <v>45</v>
      </c>
      <c r="E1438" s="17" t="s">
        <v>143</v>
      </c>
      <c r="F1438" s="19">
        <v>1828</v>
      </c>
      <c r="G1438" s="20">
        <f>F1438+(VLOOKUP(D1438,'(Semelles.Monument.€HT)'!C:G,3,FALSE()))</f>
        <v>2106</v>
      </c>
      <c r="H1438" s="21">
        <f>F1438+(VLOOKUP(D1438,'(Semelles.Monument.€HT)'!C:G,4,FALSE()))</f>
        <v>2186</v>
      </c>
      <c r="I1438" s="22">
        <f>F1438+(VLOOKUP(D1438,'(Semelles.Monument.€HT)'!C:G,5,FALSE()))</f>
        <v>2271</v>
      </c>
    </row>
    <row r="1439" spans="1:9" ht="26" customHeight="1">
      <c r="A1439" s="2" t="s">
        <v>156</v>
      </c>
      <c r="B1439" s="13" t="s">
        <v>176</v>
      </c>
      <c r="C1439" s="13" t="s">
        <v>128</v>
      </c>
      <c r="D1439" s="13">
        <v>46</v>
      </c>
      <c r="E1439" s="2" t="s">
        <v>144</v>
      </c>
      <c r="F1439" s="7">
        <v>1828</v>
      </c>
      <c r="G1439" s="3">
        <f>F1439+(VLOOKUP(D1439,'(Semelles.Monument.€HT)'!C:G,3,FALSE()))</f>
        <v>2106</v>
      </c>
      <c r="H1439" s="4">
        <f>F1439+(VLOOKUP(D1439,'(Semelles.Monument.€HT)'!C:G,4,FALSE()))</f>
        <v>2186</v>
      </c>
      <c r="I1439" s="5">
        <f>F1439+(VLOOKUP(D1439,'(Semelles.Monument.€HT)'!C:G,5,FALSE()))</f>
        <v>2271</v>
      </c>
    </row>
    <row r="1440" spans="1:9" ht="26" customHeight="1">
      <c r="A1440" s="17" t="s">
        <v>156</v>
      </c>
      <c r="B1440" s="18" t="s">
        <v>176</v>
      </c>
      <c r="C1440" s="18" t="s">
        <v>128</v>
      </c>
      <c r="D1440" s="18">
        <v>47</v>
      </c>
      <c r="E1440" s="17" t="s">
        <v>145</v>
      </c>
      <c r="F1440" s="19">
        <v>1866</v>
      </c>
      <c r="G1440" s="20">
        <f>F1440+(VLOOKUP(D1440,'(Semelles.Monument.€HT)'!C:G,3,FALSE()))</f>
        <v>2150</v>
      </c>
      <c r="H1440" s="21">
        <f>F1440+(VLOOKUP(D1440,'(Semelles.Monument.€HT)'!C:G,4,FALSE()))</f>
        <v>2232</v>
      </c>
      <c r="I1440" s="22">
        <f>F1440+(VLOOKUP(D1440,'(Semelles.Monument.€HT)'!C:G,5,FALSE()))</f>
        <v>2318</v>
      </c>
    </row>
    <row r="1441" spans="1:9" ht="26" customHeight="1">
      <c r="A1441" s="2" t="s">
        <v>156</v>
      </c>
      <c r="B1441" s="13" t="s">
        <v>176</v>
      </c>
      <c r="C1441" s="13" t="s">
        <v>128</v>
      </c>
      <c r="D1441" s="13">
        <v>48</v>
      </c>
      <c r="E1441" s="2" t="s">
        <v>146</v>
      </c>
      <c r="F1441" s="7">
        <v>1887</v>
      </c>
      <c r="G1441" s="3">
        <f>F1441+(VLOOKUP(D1441,'(Semelles.Monument.€HT)'!C:G,3,FALSE()))</f>
        <v>2174</v>
      </c>
      <c r="H1441" s="4">
        <f>F1441+(VLOOKUP(D1441,'(Semelles.Monument.€HT)'!C:G,4,FALSE()))</f>
        <v>2257</v>
      </c>
      <c r="I1441" s="5">
        <f>F1441+(VLOOKUP(D1441,'(Semelles.Monument.€HT)'!C:G,5,FALSE()))</f>
        <v>2344</v>
      </c>
    </row>
    <row r="1442" spans="1:9" ht="26" customHeight="1">
      <c r="A1442" s="17" t="s">
        <v>177</v>
      </c>
      <c r="B1442" s="18" t="s">
        <v>178</v>
      </c>
      <c r="C1442" s="18" t="s">
        <v>97</v>
      </c>
      <c r="D1442" s="18">
        <v>1</v>
      </c>
      <c r="E1442" s="17" t="s">
        <v>98</v>
      </c>
      <c r="F1442" s="19">
        <v>1070</v>
      </c>
      <c r="G1442" s="20">
        <f>F1442+(VLOOKUP(D1442,'(Semelles.Monument.€HT)'!C:G,3,FALSE()))</f>
        <v>1228</v>
      </c>
      <c r="H1442" s="21">
        <f>F1442+(VLOOKUP(D1442,'(Semelles.Monument.€HT)'!C:G,4,FALSE()))</f>
        <v>1274</v>
      </c>
      <c r="I1442" s="22">
        <f>F1442+(VLOOKUP(D1442,'(Semelles.Monument.€HT)'!C:G,5,FALSE()))</f>
        <v>1322</v>
      </c>
    </row>
    <row r="1443" spans="1:9" ht="26" customHeight="1">
      <c r="A1443" s="2" t="s">
        <v>177</v>
      </c>
      <c r="B1443" s="13" t="s">
        <v>178</v>
      </c>
      <c r="C1443" s="13" t="s">
        <v>97</v>
      </c>
      <c r="D1443" s="13">
        <v>2</v>
      </c>
      <c r="E1443" s="2" t="s">
        <v>99</v>
      </c>
      <c r="F1443" s="7">
        <v>1069</v>
      </c>
      <c r="G1443" s="3">
        <f>F1443+(VLOOKUP(D1443,'(Semelles.Monument.€HT)'!C:G,3,FALSE()))</f>
        <v>1227</v>
      </c>
      <c r="H1443" s="4">
        <f>F1443+(VLOOKUP(D1443,'(Semelles.Monument.€HT)'!C:G,4,FALSE()))</f>
        <v>1273</v>
      </c>
      <c r="I1443" s="5">
        <f>F1443+(VLOOKUP(D1443,'(Semelles.Monument.€HT)'!C:G,5,FALSE()))</f>
        <v>1321</v>
      </c>
    </row>
    <row r="1444" spans="1:9" ht="26" customHeight="1">
      <c r="A1444" s="17" t="s">
        <v>177</v>
      </c>
      <c r="B1444" s="18" t="s">
        <v>178</v>
      </c>
      <c r="C1444" s="18" t="s">
        <v>97</v>
      </c>
      <c r="D1444" s="18">
        <v>3</v>
      </c>
      <c r="E1444" s="17" t="s">
        <v>100</v>
      </c>
      <c r="F1444" s="19">
        <v>1179</v>
      </c>
      <c r="G1444" s="20">
        <f>F1444+(VLOOKUP(D1444,'(Semelles.Monument.€HT)'!C:G,3,FALSE()))</f>
        <v>1355</v>
      </c>
      <c r="H1444" s="21">
        <f>F1444+(VLOOKUP(D1444,'(Semelles.Monument.€HT)'!C:G,4,FALSE()))</f>
        <v>1406</v>
      </c>
      <c r="I1444" s="22">
        <f>F1444+(VLOOKUP(D1444,'(Semelles.Monument.€HT)'!C:G,5,FALSE()))</f>
        <v>1459</v>
      </c>
    </row>
    <row r="1445" spans="1:9" ht="26" customHeight="1">
      <c r="A1445" s="2" t="s">
        <v>177</v>
      </c>
      <c r="B1445" s="13" t="s">
        <v>178</v>
      </c>
      <c r="C1445" s="13" t="s">
        <v>97</v>
      </c>
      <c r="D1445" s="13">
        <v>4</v>
      </c>
      <c r="E1445" s="2" t="s">
        <v>101</v>
      </c>
      <c r="F1445" s="7">
        <v>1204</v>
      </c>
      <c r="G1445" s="3">
        <f>F1445+(VLOOKUP(D1445,'(Semelles.Monument.€HT)'!C:G,3,FALSE()))</f>
        <v>1383</v>
      </c>
      <c r="H1445" s="4">
        <f>F1445+(VLOOKUP(D1445,'(Semelles.Monument.€HT)'!C:G,4,FALSE()))</f>
        <v>1435</v>
      </c>
      <c r="I1445" s="5">
        <f>F1445+(VLOOKUP(D1445,'(Semelles.Monument.€HT)'!C:G,5,FALSE()))</f>
        <v>1489</v>
      </c>
    </row>
    <row r="1446" spans="1:9" ht="26" customHeight="1">
      <c r="A1446" s="17" t="s">
        <v>177</v>
      </c>
      <c r="B1446" s="18" t="s">
        <v>178</v>
      </c>
      <c r="C1446" s="18" t="s">
        <v>97</v>
      </c>
      <c r="D1446" s="18">
        <v>5</v>
      </c>
      <c r="E1446" s="17" t="s">
        <v>102</v>
      </c>
      <c r="F1446" s="19">
        <v>1204</v>
      </c>
      <c r="G1446" s="20">
        <f>F1446+(VLOOKUP(D1446,'(Semelles.Monument.€HT)'!C:G,3,FALSE()))</f>
        <v>1383</v>
      </c>
      <c r="H1446" s="21">
        <f>F1446+(VLOOKUP(D1446,'(Semelles.Monument.€HT)'!C:G,4,FALSE()))</f>
        <v>1435</v>
      </c>
      <c r="I1446" s="22">
        <f>F1446+(VLOOKUP(D1446,'(Semelles.Monument.€HT)'!C:G,5,FALSE()))</f>
        <v>1489</v>
      </c>
    </row>
    <row r="1447" spans="1:9" ht="26" customHeight="1">
      <c r="A1447" s="2" t="s">
        <v>177</v>
      </c>
      <c r="B1447" s="13" t="s">
        <v>178</v>
      </c>
      <c r="C1447" s="13" t="s">
        <v>97</v>
      </c>
      <c r="D1447" s="13">
        <v>6</v>
      </c>
      <c r="E1447" s="2" t="s">
        <v>103</v>
      </c>
      <c r="F1447" s="7">
        <v>1210</v>
      </c>
      <c r="G1447" s="3">
        <f>F1447+(VLOOKUP(D1447,'(Semelles.Monument.€HT)'!C:G,3,FALSE()))</f>
        <v>1390</v>
      </c>
      <c r="H1447" s="4">
        <f>F1447+(VLOOKUP(D1447,'(Semelles.Monument.€HT)'!C:G,4,FALSE()))</f>
        <v>1442</v>
      </c>
      <c r="I1447" s="5">
        <f>F1447+(VLOOKUP(D1447,'(Semelles.Monument.€HT)'!C:G,5,FALSE()))</f>
        <v>1497</v>
      </c>
    </row>
    <row r="1448" spans="1:9" ht="26" customHeight="1">
      <c r="A1448" s="17" t="s">
        <v>177</v>
      </c>
      <c r="B1448" s="18" t="s">
        <v>178</v>
      </c>
      <c r="C1448" s="18" t="s">
        <v>97</v>
      </c>
      <c r="D1448" s="18">
        <v>7</v>
      </c>
      <c r="E1448" s="17" t="s">
        <v>104</v>
      </c>
      <c r="F1448" s="19">
        <v>1210</v>
      </c>
      <c r="G1448" s="20">
        <f>F1448+(VLOOKUP(D1448,'(Semelles.Monument.€HT)'!C:G,3,FALSE()))</f>
        <v>1390</v>
      </c>
      <c r="H1448" s="21">
        <f>F1448+(VLOOKUP(D1448,'(Semelles.Monument.€HT)'!C:G,4,FALSE()))</f>
        <v>1442</v>
      </c>
      <c r="I1448" s="22">
        <f>F1448+(VLOOKUP(D1448,'(Semelles.Monument.€HT)'!C:G,5,FALSE()))</f>
        <v>1497</v>
      </c>
    </row>
    <row r="1449" spans="1:9" ht="26" customHeight="1">
      <c r="A1449" s="2" t="s">
        <v>177</v>
      </c>
      <c r="B1449" s="13" t="s">
        <v>178</v>
      </c>
      <c r="C1449" s="13" t="s">
        <v>97</v>
      </c>
      <c r="D1449" s="13">
        <v>8</v>
      </c>
      <c r="E1449" s="2" t="s">
        <v>105</v>
      </c>
      <c r="F1449" s="7">
        <v>1210</v>
      </c>
      <c r="G1449" s="3">
        <f>F1449+(VLOOKUP(D1449,'(Semelles.Monument.€HT)'!C:G,3,FALSE()))</f>
        <v>1390</v>
      </c>
      <c r="H1449" s="4">
        <f>F1449+(VLOOKUP(D1449,'(Semelles.Monument.€HT)'!C:G,4,FALSE()))</f>
        <v>1442</v>
      </c>
      <c r="I1449" s="5">
        <f>F1449+(VLOOKUP(D1449,'(Semelles.Monument.€HT)'!C:G,5,FALSE()))</f>
        <v>1497</v>
      </c>
    </row>
    <row r="1450" spans="1:9" ht="26" customHeight="1">
      <c r="A1450" s="17" t="s">
        <v>177</v>
      </c>
      <c r="B1450" s="18" t="s">
        <v>178</v>
      </c>
      <c r="C1450" s="18" t="s">
        <v>97</v>
      </c>
      <c r="D1450" s="18">
        <v>9</v>
      </c>
      <c r="E1450" s="17" t="s">
        <v>106</v>
      </c>
      <c r="F1450" s="19">
        <v>1210</v>
      </c>
      <c r="G1450" s="20">
        <f>F1450+(VLOOKUP(D1450,'(Semelles.Monument.€HT)'!C:G,3,FALSE()))</f>
        <v>1390</v>
      </c>
      <c r="H1450" s="21">
        <f>F1450+(VLOOKUP(D1450,'(Semelles.Monument.€HT)'!C:G,4,FALSE()))</f>
        <v>1442</v>
      </c>
      <c r="I1450" s="22">
        <f>F1450+(VLOOKUP(D1450,'(Semelles.Monument.€HT)'!C:G,5,FALSE()))</f>
        <v>1497</v>
      </c>
    </row>
    <row r="1451" spans="1:9" ht="26" customHeight="1">
      <c r="A1451" s="2" t="s">
        <v>177</v>
      </c>
      <c r="B1451" s="13" t="s">
        <v>178</v>
      </c>
      <c r="C1451" s="13" t="s">
        <v>97</v>
      </c>
      <c r="D1451" s="13">
        <v>10</v>
      </c>
      <c r="E1451" s="2" t="s">
        <v>107</v>
      </c>
      <c r="F1451" s="7">
        <v>1210</v>
      </c>
      <c r="G1451" s="3">
        <f>F1451+(VLOOKUP(D1451,'(Semelles.Monument.€HT)'!C:G,3,FALSE()))</f>
        <v>1390</v>
      </c>
      <c r="H1451" s="4">
        <f>F1451+(VLOOKUP(D1451,'(Semelles.Monument.€HT)'!C:G,4,FALSE()))</f>
        <v>1442</v>
      </c>
      <c r="I1451" s="5">
        <f>F1451+(VLOOKUP(D1451,'(Semelles.Monument.€HT)'!C:G,5,FALSE()))</f>
        <v>1497</v>
      </c>
    </row>
    <row r="1452" spans="1:9" ht="26" customHeight="1">
      <c r="A1452" s="17" t="s">
        <v>177</v>
      </c>
      <c r="B1452" s="18" t="s">
        <v>178</v>
      </c>
      <c r="C1452" s="18" t="s">
        <v>97</v>
      </c>
      <c r="D1452" s="18">
        <v>11</v>
      </c>
      <c r="E1452" s="17" t="s">
        <v>108</v>
      </c>
      <c r="F1452" s="19">
        <v>1210</v>
      </c>
      <c r="G1452" s="20">
        <f>F1452+(VLOOKUP(D1452,'(Semelles.Monument.€HT)'!C:G,3,FALSE()))</f>
        <v>1390</v>
      </c>
      <c r="H1452" s="21">
        <f>F1452+(VLOOKUP(D1452,'(Semelles.Monument.€HT)'!C:G,4,FALSE()))</f>
        <v>1442</v>
      </c>
      <c r="I1452" s="22">
        <f>F1452+(VLOOKUP(D1452,'(Semelles.Monument.€HT)'!C:G,5,FALSE()))</f>
        <v>1497</v>
      </c>
    </row>
    <row r="1453" spans="1:9" ht="26" customHeight="1">
      <c r="A1453" s="2" t="s">
        <v>177</v>
      </c>
      <c r="B1453" s="13" t="s">
        <v>178</v>
      </c>
      <c r="C1453" s="13" t="s">
        <v>97</v>
      </c>
      <c r="D1453" s="13">
        <v>12</v>
      </c>
      <c r="E1453" s="2" t="s">
        <v>109</v>
      </c>
      <c r="F1453" s="7">
        <v>1226</v>
      </c>
      <c r="G1453" s="3">
        <f>F1453+(VLOOKUP(D1453,'(Semelles.Monument.€HT)'!C:G,3,FALSE()))</f>
        <v>1408</v>
      </c>
      <c r="H1453" s="4">
        <f>F1453+(VLOOKUP(D1453,'(Semelles.Monument.€HT)'!C:G,4,FALSE()))</f>
        <v>1461</v>
      </c>
      <c r="I1453" s="5">
        <f>F1453+(VLOOKUP(D1453,'(Semelles.Monument.€HT)'!C:G,5,FALSE()))</f>
        <v>1517</v>
      </c>
    </row>
    <row r="1454" spans="1:9" ht="26" customHeight="1">
      <c r="A1454" s="17" t="s">
        <v>177</v>
      </c>
      <c r="B1454" s="18" t="s">
        <v>178</v>
      </c>
      <c r="C1454" s="18" t="s">
        <v>97</v>
      </c>
      <c r="D1454" s="18">
        <v>13</v>
      </c>
      <c r="E1454" s="17" t="s">
        <v>110</v>
      </c>
      <c r="F1454" s="19">
        <v>1226</v>
      </c>
      <c r="G1454" s="20">
        <f>F1454+(VLOOKUP(D1454,'(Semelles.Monument.€HT)'!C:G,3,FALSE()))</f>
        <v>1408</v>
      </c>
      <c r="H1454" s="21">
        <f>F1454+(VLOOKUP(D1454,'(Semelles.Monument.€HT)'!C:G,4,FALSE()))</f>
        <v>1461</v>
      </c>
      <c r="I1454" s="22">
        <f>F1454+(VLOOKUP(D1454,'(Semelles.Monument.€HT)'!C:G,5,FALSE()))</f>
        <v>1517</v>
      </c>
    </row>
    <row r="1455" spans="1:9" ht="26" customHeight="1">
      <c r="A1455" s="2" t="s">
        <v>177</v>
      </c>
      <c r="B1455" s="13" t="s">
        <v>178</v>
      </c>
      <c r="C1455" s="13" t="s">
        <v>97</v>
      </c>
      <c r="D1455" s="13">
        <v>14</v>
      </c>
      <c r="E1455" s="2" t="s">
        <v>111</v>
      </c>
      <c r="F1455" s="7">
        <v>1230</v>
      </c>
      <c r="G1455" s="3">
        <f>F1455+(VLOOKUP(D1455,'(Semelles.Monument.€HT)'!C:G,3,FALSE()))</f>
        <v>1413</v>
      </c>
      <c r="H1455" s="4">
        <f>F1455+(VLOOKUP(D1455,'(Semelles.Monument.€HT)'!C:G,4,FALSE()))</f>
        <v>1466</v>
      </c>
      <c r="I1455" s="5">
        <f>F1455+(VLOOKUP(D1455,'(Semelles.Monument.€HT)'!C:G,5,FALSE()))</f>
        <v>1522</v>
      </c>
    </row>
    <row r="1456" spans="1:9" ht="26" customHeight="1">
      <c r="A1456" s="17" t="s">
        <v>177</v>
      </c>
      <c r="B1456" s="18" t="s">
        <v>178</v>
      </c>
      <c r="C1456" s="18" t="s">
        <v>97</v>
      </c>
      <c r="D1456" s="18">
        <v>15</v>
      </c>
      <c r="E1456" s="17" t="s">
        <v>112</v>
      </c>
      <c r="F1456" s="19">
        <v>1230</v>
      </c>
      <c r="G1456" s="20">
        <f>F1456+(VLOOKUP(D1456,'(Semelles.Monument.€HT)'!C:G,3,FALSE()))</f>
        <v>1413</v>
      </c>
      <c r="H1456" s="21">
        <f>F1456+(VLOOKUP(D1456,'(Semelles.Monument.€HT)'!C:G,4,FALSE()))</f>
        <v>1466</v>
      </c>
      <c r="I1456" s="22">
        <f>F1456+(VLOOKUP(D1456,'(Semelles.Monument.€HT)'!C:G,5,FALSE()))</f>
        <v>1522</v>
      </c>
    </row>
    <row r="1457" spans="1:9" ht="26" customHeight="1">
      <c r="A1457" s="2" t="s">
        <v>177</v>
      </c>
      <c r="B1457" s="13" t="s">
        <v>178</v>
      </c>
      <c r="C1457" s="13" t="s">
        <v>97</v>
      </c>
      <c r="D1457" s="13">
        <v>16</v>
      </c>
      <c r="E1457" s="2" t="s">
        <v>113</v>
      </c>
      <c r="F1457" s="7">
        <v>1230</v>
      </c>
      <c r="G1457" s="3">
        <f>F1457+(VLOOKUP(D1457,'(Semelles.Monument.€HT)'!C:G,3,FALSE()))</f>
        <v>1413</v>
      </c>
      <c r="H1457" s="4">
        <f>F1457+(VLOOKUP(D1457,'(Semelles.Monument.€HT)'!C:G,4,FALSE()))</f>
        <v>1466</v>
      </c>
      <c r="I1457" s="5">
        <f>F1457+(VLOOKUP(D1457,'(Semelles.Monument.€HT)'!C:G,5,FALSE()))</f>
        <v>1522</v>
      </c>
    </row>
    <row r="1458" spans="1:9" ht="26" customHeight="1">
      <c r="A1458" s="17" t="s">
        <v>177</v>
      </c>
      <c r="B1458" s="18" t="s">
        <v>178</v>
      </c>
      <c r="C1458" s="18" t="s">
        <v>97</v>
      </c>
      <c r="D1458" s="18">
        <v>17</v>
      </c>
      <c r="E1458" s="17" t="s">
        <v>114</v>
      </c>
      <c r="F1458" s="19">
        <v>1249</v>
      </c>
      <c r="G1458" s="20">
        <f>F1458+(VLOOKUP(D1458,'(Semelles.Monument.€HT)'!C:G,3,FALSE()))</f>
        <v>1435</v>
      </c>
      <c r="H1458" s="21">
        <f>F1458+(VLOOKUP(D1458,'(Semelles.Monument.€HT)'!C:G,4,FALSE()))</f>
        <v>1489</v>
      </c>
      <c r="I1458" s="22">
        <f>F1458+(VLOOKUP(D1458,'(Semelles.Monument.€HT)'!C:G,5,FALSE()))</f>
        <v>1546</v>
      </c>
    </row>
    <row r="1459" spans="1:9" ht="26" customHeight="1">
      <c r="A1459" s="2" t="s">
        <v>177</v>
      </c>
      <c r="B1459" s="13" t="s">
        <v>178</v>
      </c>
      <c r="C1459" s="13" t="s">
        <v>97</v>
      </c>
      <c r="D1459" s="13">
        <v>18</v>
      </c>
      <c r="E1459" s="2" t="s">
        <v>115</v>
      </c>
      <c r="F1459" s="7">
        <v>1249</v>
      </c>
      <c r="G1459" s="3">
        <f>F1459+(VLOOKUP(D1459,'(Semelles.Monument.€HT)'!C:G,3,FALSE()))</f>
        <v>1435</v>
      </c>
      <c r="H1459" s="4">
        <f>F1459+(VLOOKUP(D1459,'(Semelles.Monument.€HT)'!C:G,4,FALSE()))</f>
        <v>1489</v>
      </c>
      <c r="I1459" s="5">
        <f>F1459+(VLOOKUP(D1459,'(Semelles.Monument.€HT)'!C:G,5,FALSE()))</f>
        <v>1546</v>
      </c>
    </row>
    <row r="1460" spans="1:9" ht="26" customHeight="1">
      <c r="A1460" s="17" t="s">
        <v>177</v>
      </c>
      <c r="B1460" s="18" t="s">
        <v>178</v>
      </c>
      <c r="C1460" s="18" t="s">
        <v>97</v>
      </c>
      <c r="D1460" s="18">
        <v>19</v>
      </c>
      <c r="E1460" s="17" t="s">
        <v>116</v>
      </c>
      <c r="F1460" s="19">
        <v>1249</v>
      </c>
      <c r="G1460" s="20">
        <f>F1460+(VLOOKUP(D1460,'(Semelles.Monument.€HT)'!C:G,3,FALSE()))</f>
        <v>1435</v>
      </c>
      <c r="H1460" s="21">
        <f>F1460+(VLOOKUP(D1460,'(Semelles.Monument.€HT)'!C:G,4,FALSE()))</f>
        <v>1489</v>
      </c>
      <c r="I1460" s="22">
        <f>F1460+(VLOOKUP(D1460,'(Semelles.Monument.€HT)'!C:G,5,FALSE()))</f>
        <v>1546</v>
      </c>
    </row>
    <row r="1461" spans="1:9" ht="26" customHeight="1">
      <c r="A1461" s="2" t="s">
        <v>177</v>
      </c>
      <c r="B1461" s="13" t="s">
        <v>178</v>
      </c>
      <c r="C1461" s="13" t="s">
        <v>97</v>
      </c>
      <c r="D1461" s="13">
        <v>20</v>
      </c>
      <c r="E1461" s="2" t="s">
        <v>117</v>
      </c>
      <c r="F1461" s="7">
        <v>1259</v>
      </c>
      <c r="G1461" s="3">
        <f>F1461+(VLOOKUP(D1461,'(Semelles.Monument.€HT)'!C:G,3,FALSE()))</f>
        <v>1447</v>
      </c>
      <c r="H1461" s="4">
        <f>F1461+(VLOOKUP(D1461,'(Semelles.Monument.€HT)'!C:G,4,FALSE()))</f>
        <v>1501</v>
      </c>
      <c r="I1461" s="5">
        <f>F1461+(VLOOKUP(D1461,'(Semelles.Monument.€HT)'!C:G,5,FALSE()))</f>
        <v>1558</v>
      </c>
    </row>
    <row r="1462" spans="1:9" ht="26" customHeight="1">
      <c r="A1462" s="17" t="s">
        <v>177</v>
      </c>
      <c r="B1462" s="18" t="s">
        <v>178</v>
      </c>
      <c r="C1462" s="18" t="s">
        <v>97</v>
      </c>
      <c r="D1462" s="18">
        <v>21</v>
      </c>
      <c r="E1462" s="17" t="s">
        <v>118</v>
      </c>
      <c r="F1462" s="19">
        <v>1266</v>
      </c>
      <c r="G1462" s="20">
        <f>F1462+(VLOOKUP(D1462,'(Semelles.Monument.€HT)'!C:G,3,FALSE()))</f>
        <v>1455</v>
      </c>
      <c r="H1462" s="21">
        <f>F1462+(VLOOKUP(D1462,'(Semelles.Monument.€HT)'!C:G,4,FALSE()))</f>
        <v>1509</v>
      </c>
      <c r="I1462" s="22">
        <f>F1462+(VLOOKUP(D1462,'(Semelles.Monument.€HT)'!C:G,5,FALSE()))</f>
        <v>1567</v>
      </c>
    </row>
    <row r="1463" spans="1:9" ht="26" customHeight="1">
      <c r="A1463" s="2" t="s">
        <v>177</v>
      </c>
      <c r="B1463" s="13" t="s">
        <v>178</v>
      </c>
      <c r="C1463" s="13" t="s">
        <v>97</v>
      </c>
      <c r="D1463" s="13">
        <v>22</v>
      </c>
      <c r="E1463" s="2" t="s">
        <v>119</v>
      </c>
      <c r="F1463" s="7">
        <v>1266</v>
      </c>
      <c r="G1463" s="3">
        <f>F1463+(VLOOKUP(D1463,'(Semelles.Monument.€HT)'!C:G,3,FALSE()))</f>
        <v>1455</v>
      </c>
      <c r="H1463" s="4">
        <f>F1463+(VLOOKUP(D1463,'(Semelles.Monument.€HT)'!C:G,4,FALSE()))</f>
        <v>1509</v>
      </c>
      <c r="I1463" s="5">
        <f>F1463+(VLOOKUP(D1463,'(Semelles.Monument.€HT)'!C:G,5,FALSE()))</f>
        <v>1567</v>
      </c>
    </row>
    <row r="1464" spans="1:9" ht="26" customHeight="1">
      <c r="A1464" s="17" t="s">
        <v>177</v>
      </c>
      <c r="B1464" s="18" t="s">
        <v>178</v>
      </c>
      <c r="C1464" s="18" t="s">
        <v>97</v>
      </c>
      <c r="D1464" s="18">
        <v>23</v>
      </c>
      <c r="E1464" s="17" t="s">
        <v>120</v>
      </c>
      <c r="F1464" s="19">
        <v>1284</v>
      </c>
      <c r="G1464" s="20">
        <f>F1464+(VLOOKUP(D1464,'(Semelles.Monument.€HT)'!C:G,3,FALSE()))</f>
        <v>1476</v>
      </c>
      <c r="H1464" s="21">
        <f>F1464+(VLOOKUP(D1464,'(Semelles.Monument.€HT)'!C:G,4,FALSE()))</f>
        <v>1531</v>
      </c>
      <c r="I1464" s="22">
        <f>F1464+(VLOOKUP(D1464,'(Semelles.Monument.€HT)'!C:G,5,FALSE()))</f>
        <v>1589</v>
      </c>
    </row>
    <row r="1465" spans="1:9" ht="26" customHeight="1">
      <c r="A1465" s="2" t="s">
        <v>177</v>
      </c>
      <c r="B1465" s="13" t="s">
        <v>178</v>
      </c>
      <c r="C1465" s="13" t="s">
        <v>97</v>
      </c>
      <c r="D1465" s="13">
        <v>24</v>
      </c>
      <c r="E1465" s="2" t="s">
        <v>121</v>
      </c>
      <c r="F1465" s="7">
        <v>1284</v>
      </c>
      <c r="G1465" s="3">
        <f>F1465+(VLOOKUP(D1465,'(Semelles.Monument.€HT)'!C:G,3,FALSE()))</f>
        <v>1476</v>
      </c>
      <c r="H1465" s="4">
        <f>F1465+(VLOOKUP(D1465,'(Semelles.Monument.€HT)'!C:G,4,FALSE()))</f>
        <v>1531</v>
      </c>
      <c r="I1465" s="5">
        <f>F1465+(VLOOKUP(D1465,'(Semelles.Monument.€HT)'!C:G,5,FALSE()))</f>
        <v>1589</v>
      </c>
    </row>
    <row r="1466" spans="1:9" ht="26" customHeight="1">
      <c r="A1466" s="17" t="s">
        <v>177</v>
      </c>
      <c r="B1466" s="18" t="s">
        <v>178</v>
      </c>
      <c r="C1466" s="18" t="s">
        <v>97</v>
      </c>
      <c r="D1466" s="18">
        <v>25</v>
      </c>
      <c r="E1466" s="17" t="s">
        <v>122</v>
      </c>
      <c r="F1466" s="19">
        <v>1284</v>
      </c>
      <c r="G1466" s="20">
        <f>F1466+(VLOOKUP(D1466,'(Semelles.Monument.€HT)'!C:G,3,FALSE()))</f>
        <v>1476</v>
      </c>
      <c r="H1466" s="21">
        <f>F1466+(VLOOKUP(D1466,'(Semelles.Monument.€HT)'!C:G,4,FALSE()))</f>
        <v>1531</v>
      </c>
      <c r="I1466" s="22">
        <f>F1466+(VLOOKUP(D1466,'(Semelles.Monument.€HT)'!C:G,5,FALSE()))</f>
        <v>1589</v>
      </c>
    </row>
    <row r="1467" spans="1:9" ht="26" customHeight="1">
      <c r="A1467" s="2" t="s">
        <v>177</v>
      </c>
      <c r="B1467" s="13" t="s">
        <v>178</v>
      </c>
      <c r="C1467" s="13" t="s">
        <v>97</v>
      </c>
      <c r="D1467" s="13">
        <v>26</v>
      </c>
      <c r="E1467" s="2" t="s">
        <v>123</v>
      </c>
      <c r="F1467" s="7">
        <v>1303</v>
      </c>
      <c r="G1467" s="3">
        <f>F1467+(VLOOKUP(D1467,'(Semelles.Monument.€HT)'!C:G,3,FALSE()))</f>
        <v>1498</v>
      </c>
      <c r="H1467" s="4">
        <f>F1467+(VLOOKUP(D1467,'(Semelles.Monument.€HT)'!C:G,4,FALSE()))</f>
        <v>1554</v>
      </c>
      <c r="I1467" s="5">
        <f>F1467+(VLOOKUP(D1467,'(Semelles.Monument.€HT)'!C:G,5,FALSE()))</f>
        <v>1613</v>
      </c>
    </row>
    <row r="1468" spans="1:9" ht="26" customHeight="1">
      <c r="A1468" s="17" t="s">
        <v>177</v>
      </c>
      <c r="B1468" s="18" t="s">
        <v>178</v>
      </c>
      <c r="C1468" s="18" t="s">
        <v>97</v>
      </c>
      <c r="D1468" s="18">
        <v>27</v>
      </c>
      <c r="E1468" s="17" t="s">
        <v>124</v>
      </c>
      <c r="F1468" s="19">
        <v>1383</v>
      </c>
      <c r="G1468" s="20">
        <f>F1468+(VLOOKUP(D1468,'(Semelles.Monument.€HT)'!C:G,3,FALSE()))</f>
        <v>1591</v>
      </c>
      <c r="H1468" s="21">
        <f>F1468+(VLOOKUP(D1468,'(Semelles.Monument.€HT)'!C:G,4,FALSE()))</f>
        <v>1651</v>
      </c>
      <c r="I1468" s="22">
        <f>F1468+(VLOOKUP(D1468,'(Semelles.Monument.€HT)'!C:G,5,FALSE()))</f>
        <v>1750</v>
      </c>
    </row>
    <row r="1469" spans="1:9" ht="26" customHeight="1">
      <c r="A1469" s="2" t="s">
        <v>177</v>
      </c>
      <c r="B1469" s="13" t="s">
        <v>178</v>
      </c>
      <c r="C1469" s="13" t="s">
        <v>97</v>
      </c>
      <c r="D1469" s="13">
        <v>28</v>
      </c>
      <c r="E1469" s="2" t="s">
        <v>125</v>
      </c>
      <c r="F1469" s="7">
        <v>1521</v>
      </c>
      <c r="G1469" s="3">
        <f>F1469+(VLOOKUP(D1469,'(Semelles.Monument.€HT)'!C:G,3,FALSE()))</f>
        <v>1751</v>
      </c>
      <c r="H1469" s="4">
        <f>F1469+(VLOOKUP(D1469,'(Semelles.Monument.€HT)'!C:G,4,FALSE()))</f>
        <v>1818</v>
      </c>
      <c r="I1469" s="5">
        <f>F1469+(VLOOKUP(D1469,'(Semelles.Monument.€HT)'!C:G,5,FALSE()))</f>
        <v>1888</v>
      </c>
    </row>
    <row r="1470" spans="1:9" ht="26" customHeight="1">
      <c r="A1470" s="17" t="s">
        <v>177</v>
      </c>
      <c r="B1470" s="18" t="s">
        <v>178</v>
      </c>
      <c r="C1470" s="18" t="s">
        <v>97</v>
      </c>
      <c r="D1470" s="18">
        <v>29</v>
      </c>
      <c r="E1470" s="17" t="s">
        <v>126</v>
      </c>
      <c r="F1470" s="19">
        <v>1581</v>
      </c>
      <c r="G1470" s="20">
        <f>F1470+(VLOOKUP(D1470,'(Semelles.Monument.€HT)'!C:G,3,FALSE()))</f>
        <v>1821</v>
      </c>
      <c r="H1470" s="21">
        <f>F1470+(VLOOKUP(D1470,'(Semelles.Monument.€HT)'!C:G,4,FALSE()))</f>
        <v>1890</v>
      </c>
      <c r="I1470" s="22">
        <f>F1470+(VLOOKUP(D1470,'(Semelles.Monument.€HT)'!C:G,5,FALSE()))</f>
        <v>1963</v>
      </c>
    </row>
    <row r="1471" spans="1:9" ht="26" customHeight="1">
      <c r="A1471" s="2" t="s">
        <v>177</v>
      </c>
      <c r="B1471" s="13" t="s">
        <v>178</v>
      </c>
      <c r="C1471" s="13" t="s">
        <v>97</v>
      </c>
      <c r="D1471" s="13">
        <v>30</v>
      </c>
      <c r="E1471" s="2" t="s">
        <v>127</v>
      </c>
      <c r="F1471" s="7">
        <v>1581</v>
      </c>
      <c r="G1471" s="3">
        <f>F1471+(VLOOKUP(D1471,'(Semelles.Monument.€HT)'!C:G,3,FALSE()))</f>
        <v>1821</v>
      </c>
      <c r="H1471" s="4">
        <f>F1471+(VLOOKUP(D1471,'(Semelles.Monument.€HT)'!C:G,4,FALSE()))</f>
        <v>1890</v>
      </c>
      <c r="I1471" s="5">
        <f>F1471+(VLOOKUP(D1471,'(Semelles.Monument.€HT)'!C:G,5,FALSE()))</f>
        <v>1963</v>
      </c>
    </row>
    <row r="1472" spans="1:9" ht="26" customHeight="1">
      <c r="A1472" s="17" t="s">
        <v>177</v>
      </c>
      <c r="B1472" s="18" t="s">
        <v>178</v>
      </c>
      <c r="C1472" s="18" t="s">
        <v>128</v>
      </c>
      <c r="D1472" s="18">
        <v>31</v>
      </c>
      <c r="E1472" s="17" t="s">
        <v>129</v>
      </c>
      <c r="F1472" s="19">
        <v>824</v>
      </c>
      <c r="G1472" s="20">
        <f>F1472+(VLOOKUP(D1472,'(Semelles.Monument.€HT)'!C:G,3,FALSE()))</f>
        <v>956</v>
      </c>
      <c r="H1472" s="21">
        <f>F1472+(VLOOKUP(D1472,'(Semelles.Monument.€HT)'!C:G,4,FALSE()))</f>
        <v>994</v>
      </c>
      <c r="I1472" s="22">
        <f>F1472+(VLOOKUP(D1472,'(Semelles.Monument.€HT)'!C:G,5,FALSE()))</f>
        <v>1034</v>
      </c>
    </row>
    <row r="1473" spans="1:9" ht="26" customHeight="1">
      <c r="A1473" s="2" t="s">
        <v>177</v>
      </c>
      <c r="B1473" s="13" t="s">
        <v>178</v>
      </c>
      <c r="C1473" s="13" t="s">
        <v>128</v>
      </c>
      <c r="D1473" s="13">
        <v>32</v>
      </c>
      <c r="E1473" s="2" t="s">
        <v>130</v>
      </c>
      <c r="F1473" s="7">
        <v>836</v>
      </c>
      <c r="G1473" s="3">
        <f>F1473+(VLOOKUP(D1473,'(Semelles.Monument.€HT)'!C:G,3,FALSE()))</f>
        <v>970</v>
      </c>
      <c r="H1473" s="4">
        <f>F1473+(VLOOKUP(D1473,'(Semelles.Monument.€HT)'!C:G,4,FALSE()))</f>
        <v>1009</v>
      </c>
      <c r="I1473" s="5">
        <f>F1473+(VLOOKUP(D1473,'(Semelles.Monument.€HT)'!C:G,5,FALSE()))</f>
        <v>1049</v>
      </c>
    </row>
    <row r="1474" spans="1:9" ht="26" customHeight="1">
      <c r="A1474" s="17" t="s">
        <v>177</v>
      </c>
      <c r="B1474" s="18" t="s">
        <v>178</v>
      </c>
      <c r="C1474" s="18" t="s">
        <v>128</v>
      </c>
      <c r="D1474" s="18">
        <v>33</v>
      </c>
      <c r="E1474" s="17" t="s">
        <v>131</v>
      </c>
      <c r="F1474" s="19">
        <v>836</v>
      </c>
      <c r="G1474" s="20">
        <f>F1474+(VLOOKUP(D1474,'(Semelles.Monument.€HT)'!C:G,3,FALSE()))</f>
        <v>970</v>
      </c>
      <c r="H1474" s="21">
        <f>F1474+(VLOOKUP(D1474,'(Semelles.Monument.€HT)'!C:G,4,FALSE()))</f>
        <v>1009</v>
      </c>
      <c r="I1474" s="22">
        <f>F1474+(VLOOKUP(D1474,'(Semelles.Monument.€HT)'!C:G,5,FALSE()))</f>
        <v>1049</v>
      </c>
    </row>
    <row r="1475" spans="1:9" ht="26" customHeight="1">
      <c r="A1475" s="2" t="s">
        <v>177</v>
      </c>
      <c r="B1475" s="13" t="s">
        <v>178</v>
      </c>
      <c r="C1475" s="13" t="s">
        <v>128</v>
      </c>
      <c r="D1475" s="13">
        <v>34</v>
      </c>
      <c r="E1475" s="2" t="s">
        <v>132</v>
      </c>
      <c r="F1475" s="7">
        <v>844</v>
      </c>
      <c r="G1475" s="3">
        <f>F1475+(VLOOKUP(D1475,'(Semelles.Monument.€HT)'!C:G,3,FALSE()))</f>
        <v>979</v>
      </c>
      <c r="H1475" s="4">
        <f>F1475+(VLOOKUP(D1475,'(Semelles.Monument.€HT)'!C:G,4,FALSE()))</f>
        <v>1018</v>
      </c>
      <c r="I1475" s="5">
        <f>F1475+(VLOOKUP(D1475,'(Semelles.Monument.€HT)'!C:G,5,FALSE()))</f>
        <v>1059</v>
      </c>
    </row>
    <row r="1476" spans="1:9" ht="26" customHeight="1">
      <c r="A1476" s="17" t="s">
        <v>177</v>
      </c>
      <c r="B1476" s="18" t="s">
        <v>178</v>
      </c>
      <c r="C1476" s="18" t="s">
        <v>128</v>
      </c>
      <c r="D1476" s="18">
        <v>35</v>
      </c>
      <c r="E1476" s="17" t="s">
        <v>133</v>
      </c>
      <c r="F1476" s="19">
        <v>1014</v>
      </c>
      <c r="G1476" s="20">
        <f>F1476+(VLOOKUP(D1476,'(Semelles.Monument.€HT)'!C:G,3,FALSE()))</f>
        <v>1177</v>
      </c>
      <c r="H1476" s="21">
        <f>F1476+(VLOOKUP(D1476,'(Semelles.Monument.€HT)'!C:G,4,FALSE()))</f>
        <v>1224</v>
      </c>
      <c r="I1476" s="22">
        <f>F1476+(VLOOKUP(D1476,'(Semelles.Monument.€HT)'!C:G,5,FALSE()))</f>
        <v>1273</v>
      </c>
    </row>
    <row r="1477" spans="1:9" ht="26" customHeight="1">
      <c r="A1477" s="2" t="s">
        <v>177</v>
      </c>
      <c r="B1477" s="13" t="s">
        <v>178</v>
      </c>
      <c r="C1477" s="13" t="s">
        <v>128</v>
      </c>
      <c r="D1477" s="13">
        <v>36</v>
      </c>
      <c r="E1477" s="2" t="s">
        <v>134</v>
      </c>
      <c r="F1477" s="7">
        <v>1050</v>
      </c>
      <c r="G1477" s="3">
        <f>F1477+(VLOOKUP(D1477,'(Semelles.Monument.€HT)'!C:G,3,FALSE()))</f>
        <v>1218</v>
      </c>
      <c r="H1477" s="4">
        <f>F1477+(VLOOKUP(D1477,'(Semelles.Monument.€HT)'!C:G,4,FALSE()))</f>
        <v>1267</v>
      </c>
      <c r="I1477" s="5">
        <f>F1477+(VLOOKUP(D1477,'(Semelles.Monument.€HT)'!C:G,5,FALSE()))</f>
        <v>1318</v>
      </c>
    </row>
    <row r="1478" spans="1:9" ht="26" customHeight="1">
      <c r="A1478" s="17" t="s">
        <v>177</v>
      </c>
      <c r="B1478" s="18" t="s">
        <v>178</v>
      </c>
      <c r="C1478" s="18" t="s">
        <v>128</v>
      </c>
      <c r="D1478" s="18">
        <v>37</v>
      </c>
      <c r="E1478" s="17" t="s">
        <v>135</v>
      </c>
      <c r="F1478" s="19">
        <v>1295</v>
      </c>
      <c r="G1478" s="20">
        <f>F1478+(VLOOKUP(D1478,'(Semelles.Monument.€HT)'!C:G,3,FALSE()))</f>
        <v>1503</v>
      </c>
      <c r="H1478" s="21">
        <f>F1478+(VLOOKUP(D1478,'(Semelles.Monument.€HT)'!C:G,4,FALSE()))</f>
        <v>1563</v>
      </c>
      <c r="I1478" s="22">
        <f>F1478+(VLOOKUP(D1478,'(Semelles.Monument.€HT)'!C:G,5,FALSE()))</f>
        <v>1627</v>
      </c>
    </row>
    <row r="1479" spans="1:9" ht="26" customHeight="1">
      <c r="A1479" s="2" t="s">
        <v>177</v>
      </c>
      <c r="B1479" s="13" t="s">
        <v>178</v>
      </c>
      <c r="C1479" s="13" t="s">
        <v>128</v>
      </c>
      <c r="D1479" s="13">
        <v>38</v>
      </c>
      <c r="E1479" s="2" t="s">
        <v>136</v>
      </c>
      <c r="F1479" s="7">
        <v>1371</v>
      </c>
      <c r="G1479" s="3">
        <f>F1479+(VLOOKUP(D1479,'(Semelles.Monument.€HT)'!C:G,3,FALSE()))</f>
        <v>1591</v>
      </c>
      <c r="H1479" s="4">
        <f>F1479+(VLOOKUP(D1479,'(Semelles.Monument.€HT)'!C:G,4,FALSE()))</f>
        <v>1655</v>
      </c>
      <c r="I1479" s="5">
        <f>F1479+(VLOOKUP(D1479,'(Semelles.Monument.€HT)'!C:G,5,FALSE()))</f>
        <v>1722</v>
      </c>
    </row>
    <row r="1480" spans="1:9" ht="26" customHeight="1">
      <c r="A1480" s="17" t="s">
        <v>177</v>
      </c>
      <c r="B1480" s="18" t="s">
        <v>178</v>
      </c>
      <c r="C1480" s="18" t="s">
        <v>128</v>
      </c>
      <c r="D1480" s="18">
        <v>39</v>
      </c>
      <c r="E1480" s="17" t="s">
        <v>137</v>
      </c>
      <c r="F1480" s="19">
        <v>1406</v>
      </c>
      <c r="G1480" s="20">
        <f>F1480+(VLOOKUP(D1480,'(Semelles.Monument.€HT)'!C:G,3,FALSE()))</f>
        <v>1632</v>
      </c>
      <c r="H1480" s="21">
        <f>F1480+(VLOOKUP(D1480,'(Semelles.Monument.€HT)'!C:G,4,FALSE()))</f>
        <v>1697</v>
      </c>
      <c r="I1480" s="22">
        <f>F1480+(VLOOKUP(D1480,'(Semelles.Monument.€HT)'!C:G,5,FALSE()))</f>
        <v>1766</v>
      </c>
    </row>
    <row r="1481" spans="1:9" ht="26" customHeight="1">
      <c r="A1481" s="2" t="s">
        <v>177</v>
      </c>
      <c r="B1481" s="13" t="s">
        <v>178</v>
      </c>
      <c r="C1481" s="13" t="s">
        <v>128</v>
      </c>
      <c r="D1481" s="13">
        <v>40</v>
      </c>
      <c r="E1481" s="2" t="s">
        <v>138</v>
      </c>
      <c r="F1481" s="7">
        <v>1446</v>
      </c>
      <c r="G1481" s="3">
        <f>F1481+(VLOOKUP(D1481,'(Semelles.Monument.€HT)'!C:G,3,FALSE()))</f>
        <v>1678</v>
      </c>
      <c r="H1481" s="4">
        <f>F1481+(VLOOKUP(D1481,'(Semelles.Monument.€HT)'!C:G,4,FALSE()))</f>
        <v>1746</v>
      </c>
      <c r="I1481" s="5">
        <f>F1481+(VLOOKUP(D1481,'(Semelles.Monument.€HT)'!C:G,5,FALSE()))</f>
        <v>1816</v>
      </c>
    </row>
    <row r="1482" spans="1:9" ht="26" customHeight="1">
      <c r="A1482" s="17" t="s">
        <v>177</v>
      </c>
      <c r="B1482" s="18" t="s">
        <v>178</v>
      </c>
      <c r="C1482" s="18" t="s">
        <v>128</v>
      </c>
      <c r="D1482" s="18">
        <v>41</v>
      </c>
      <c r="E1482" s="17" t="s">
        <v>139</v>
      </c>
      <c r="F1482" s="19">
        <v>1537</v>
      </c>
      <c r="G1482" s="20">
        <f>F1482+(VLOOKUP(D1482,'(Semelles.Monument.€HT)'!C:G,3,FALSE()))</f>
        <v>1784</v>
      </c>
      <c r="H1482" s="21">
        <f>F1482+(VLOOKUP(D1482,'(Semelles.Monument.€HT)'!C:G,4,FALSE()))</f>
        <v>1856</v>
      </c>
      <c r="I1482" s="22">
        <f>F1482+(VLOOKUP(D1482,'(Semelles.Monument.€HT)'!C:G,5,FALSE()))</f>
        <v>1931</v>
      </c>
    </row>
    <row r="1483" spans="1:9" ht="26" customHeight="1">
      <c r="A1483" s="2" t="s">
        <v>177</v>
      </c>
      <c r="B1483" s="13" t="s">
        <v>178</v>
      </c>
      <c r="C1483" s="13" t="s">
        <v>128</v>
      </c>
      <c r="D1483" s="13">
        <v>42</v>
      </c>
      <c r="E1483" s="2" t="s">
        <v>140</v>
      </c>
      <c r="F1483" s="7">
        <v>1687</v>
      </c>
      <c r="G1483" s="3">
        <f>F1483+(VLOOKUP(D1483,'(Semelles.Monument.€HT)'!C:G,3,FALSE()))</f>
        <v>1958</v>
      </c>
      <c r="H1483" s="4">
        <f>F1483+(VLOOKUP(D1483,'(Semelles.Monument.€HT)'!C:G,4,FALSE()))</f>
        <v>2037</v>
      </c>
      <c r="I1483" s="5">
        <f>F1483+(VLOOKUP(D1483,'(Semelles.Monument.€HT)'!C:G,5,FALSE()))</f>
        <v>2120</v>
      </c>
    </row>
    <row r="1484" spans="1:9" ht="26" customHeight="1">
      <c r="A1484" s="17" t="s">
        <v>177</v>
      </c>
      <c r="B1484" s="18" t="s">
        <v>178</v>
      </c>
      <c r="C1484" s="18" t="s">
        <v>128</v>
      </c>
      <c r="D1484" s="18">
        <v>43</v>
      </c>
      <c r="E1484" s="17" t="s">
        <v>141</v>
      </c>
      <c r="F1484" s="19">
        <v>1687</v>
      </c>
      <c r="G1484" s="20">
        <f>F1484+(VLOOKUP(D1484,'(Semelles.Monument.€HT)'!C:G,3,FALSE()))</f>
        <v>1958</v>
      </c>
      <c r="H1484" s="21">
        <f>F1484+(VLOOKUP(D1484,'(Semelles.Monument.€HT)'!C:G,4,FALSE()))</f>
        <v>2037</v>
      </c>
      <c r="I1484" s="22">
        <f>F1484+(VLOOKUP(D1484,'(Semelles.Monument.€HT)'!C:G,5,FALSE()))</f>
        <v>2120</v>
      </c>
    </row>
    <row r="1485" spans="1:9" ht="26" customHeight="1">
      <c r="A1485" s="2" t="s">
        <v>177</v>
      </c>
      <c r="B1485" s="13" t="s">
        <v>178</v>
      </c>
      <c r="C1485" s="13" t="s">
        <v>128</v>
      </c>
      <c r="D1485" s="13">
        <v>44</v>
      </c>
      <c r="E1485" s="2" t="s">
        <v>142</v>
      </c>
      <c r="F1485" s="7">
        <v>1707</v>
      </c>
      <c r="G1485" s="3">
        <f>F1485+(VLOOKUP(D1485,'(Semelles.Monument.€HT)'!C:G,3,FALSE()))</f>
        <v>1982</v>
      </c>
      <c r="H1485" s="4">
        <f>F1485+(VLOOKUP(D1485,'(Semelles.Monument.€HT)'!C:G,4,FALSE()))</f>
        <v>2061</v>
      </c>
      <c r="I1485" s="5">
        <f>F1485+(VLOOKUP(D1485,'(Semelles.Monument.€HT)'!C:G,5,FALSE()))</f>
        <v>2145</v>
      </c>
    </row>
    <row r="1486" spans="1:9" ht="26" customHeight="1">
      <c r="A1486" s="17" t="s">
        <v>177</v>
      </c>
      <c r="B1486" s="18" t="s">
        <v>178</v>
      </c>
      <c r="C1486" s="18" t="s">
        <v>128</v>
      </c>
      <c r="D1486" s="18">
        <v>45</v>
      </c>
      <c r="E1486" s="17" t="s">
        <v>143</v>
      </c>
      <c r="F1486" s="19">
        <v>1727</v>
      </c>
      <c r="G1486" s="20">
        <f>F1486+(VLOOKUP(D1486,'(Semelles.Monument.€HT)'!C:G,3,FALSE()))</f>
        <v>2005</v>
      </c>
      <c r="H1486" s="21">
        <f>F1486+(VLOOKUP(D1486,'(Semelles.Monument.€HT)'!C:G,4,FALSE()))</f>
        <v>2085</v>
      </c>
      <c r="I1486" s="22">
        <f>F1486+(VLOOKUP(D1486,'(Semelles.Monument.€HT)'!C:G,5,FALSE()))</f>
        <v>2170</v>
      </c>
    </row>
    <row r="1487" spans="1:9" ht="26" customHeight="1">
      <c r="A1487" s="2" t="s">
        <v>177</v>
      </c>
      <c r="B1487" s="13" t="s">
        <v>178</v>
      </c>
      <c r="C1487" s="13" t="s">
        <v>128</v>
      </c>
      <c r="D1487" s="13">
        <v>46</v>
      </c>
      <c r="E1487" s="2" t="s">
        <v>144</v>
      </c>
      <c r="F1487" s="7">
        <v>1727</v>
      </c>
      <c r="G1487" s="3">
        <f>F1487+(VLOOKUP(D1487,'(Semelles.Monument.€HT)'!C:G,3,FALSE()))</f>
        <v>2005</v>
      </c>
      <c r="H1487" s="4">
        <f>F1487+(VLOOKUP(D1487,'(Semelles.Monument.€HT)'!C:G,4,FALSE()))</f>
        <v>2085</v>
      </c>
      <c r="I1487" s="5">
        <f>F1487+(VLOOKUP(D1487,'(Semelles.Monument.€HT)'!C:G,5,FALSE()))</f>
        <v>2170</v>
      </c>
    </row>
    <row r="1488" spans="1:9" ht="26" customHeight="1">
      <c r="A1488" s="17" t="s">
        <v>177</v>
      </c>
      <c r="B1488" s="18" t="s">
        <v>178</v>
      </c>
      <c r="C1488" s="18" t="s">
        <v>128</v>
      </c>
      <c r="D1488" s="18">
        <v>47</v>
      </c>
      <c r="E1488" s="17" t="s">
        <v>145</v>
      </c>
      <c r="F1488" s="19">
        <v>1763</v>
      </c>
      <c r="G1488" s="20">
        <f>F1488+(VLOOKUP(D1488,'(Semelles.Monument.€HT)'!C:G,3,FALSE()))</f>
        <v>2047</v>
      </c>
      <c r="H1488" s="21">
        <f>F1488+(VLOOKUP(D1488,'(Semelles.Monument.€HT)'!C:G,4,FALSE()))</f>
        <v>2129</v>
      </c>
      <c r="I1488" s="22">
        <f>F1488+(VLOOKUP(D1488,'(Semelles.Monument.€HT)'!C:G,5,FALSE()))</f>
        <v>2215</v>
      </c>
    </row>
    <row r="1489" spans="1:9" ht="26" customHeight="1">
      <c r="A1489" s="2" t="s">
        <v>177</v>
      </c>
      <c r="B1489" s="13" t="s">
        <v>178</v>
      </c>
      <c r="C1489" s="13" t="s">
        <v>128</v>
      </c>
      <c r="D1489" s="13">
        <v>48</v>
      </c>
      <c r="E1489" s="2" t="s">
        <v>146</v>
      </c>
      <c r="F1489" s="7">
        <v>1782</v>
      </c>
      <c r="G1489" s="3">
        <f>F1489+(VLOOKUP(D1489,'(Semelles.Monument.€HT)'!C:G,3,FALSE()))</f>
        <v>2069</v>
      </c>
      <c r="H1489" s="4">
        <f>F1489+(VLOOKUP(D1489,'(Semelles.Monument.€HT)'!C:G,4,FALSE()))</f>
        <v>2152</v>
      </c>
      <c r="I1489" s="5">
        <f>F1489+(VLOOKUP(D1489,'(Semelles.Monument.€HT)'!C:G,5,FALSE()))</f>
        <v>2239</v>
      </c>
    </row>
    <row r="1490" spans="1:9" ht="26" customHeight="1">
      <c r="A1490" s="17" t="s">
        <v>177</v>
      </c>
      <c r="B1490" s="18" t="s">
        <v>179</v>
      </c>
      <c r="C1490" s="18" t="s">
        <v>97</v>
      </c>
      <c r="D1490" s="18">
        <v>1</v>
      </c>
      <c r="E1490" s="17" t="s">
        <v>98</v>
      </c>
      <c r="F1490" s="19">
        <v>782</v>
      </c>
      <c r="G1490" s="20">
        <f>F1490+(VLOOKUP(D1490,'(Semelles.Monument.€HT)'!C:G,3,FALSE()))</f>
        <v>940</v>
      </c>
      <c r="H1490" s="21">
        <f>F1490+(VLOOKUP(D1490,'(Semelles.Monument.€HT)'!C:G,4,FALSE()))</f>
        <v>986</v>
      </c>
      <c r="I1490" s="22">
        <f>F1490+(VLOOKUP(D1490,'(Semelles.Monument.€HT)'!C:G,5,FALSE()))</f>
        <v>1034</v>
      </c>
    </row>
    <row r="1491" spans="1:9" ht="26" customHeight="1">
      <c r="A1491" s="2" t="s">
        <v>177</v>
      </c>
      <c r="B1491" s="13" t="s">
        <v>179</v>
      </c>
      <c r="C1491" s="13" t="s">
        <v>97</v>
      </c>
      <c r="D1491" s="13">
        <v>2</v>
      </c>
      <c r="E1491" s="2" t="s">
        <v>99</v>
      </c>
      <c r="F1491" s="7">
        <v>781</v>
      </c>
      <c r="G1491" s="3">
        <f>F1491+(VLOOKUP(D1491,'(Semelles.Monument.€HT)'!C:G,3,FALSE()))</f>
        <v>939</v>
      </c>
      <c r="H1491" s="4">
        <f>F1491+(VLOOKUP(D1491,'(Semelles.Monument.€HT)'!C:G,4,FALSE()))</f>
        <v>985</v>
      </c>
      <c r="I1491" s="5">
        <f>F1491+(VLOOKUP(D1491,'(Semelles.Monument.€HT)'!C:G,5,FALSE()))</f>
        <v>1033</v>
      </c>
    </row>
    <row r="1492" spans="1:9" ht="26" customHeight="1">
      <c r="A1492" s="17" t="s">
        <v>177</v>
      </c>
      <c r="B1492" s="18" t="s">
        <v>179</v>
      </c>
      <c r="C1492" s="18" t="s">
        <v>97</v>
      </c>
      <c r="D1492" s="18">
        <v>3</v>
      </c>
      <c r="E1492" s="17" t="s">
        <v>100</v>
      </c>
      <c r="F1492" s="19">
        <v>864</v>
      </c>
      <c r="G1492" s="20">
        <f>F1492+(VLOOKUP(D1492,'(Semelles.Monument.€HT)'!C:G,3,FALSE()))</f>
        <v>1040</v>
      </c>
      <c r="H1492" s="21">
        <f>F1492+(VLOOKUP(D1492,'(Semelles.Monument.€HT)'!C:G,4,FALSE()))</f>
        <v>1091</v>
      </c>
      <c r="I1492" s="22">
        <f>F1492+(VLOOKUP(D1492,'(Semelles.Monument.€HT)'!C:G,5,FALSE()))</f>
        <v>1144</v>
      </c>
    </row>
    <row r="1493" spans="1:9" ht="26" customHeight="1">
      <c r="A1493" s="2" t="s">
        <v>177</v>
      </c>
      <c r="B1493" s="13" t="s">
        <v>179</v>
      </c>
      <c r="C1493" s="13" t="s">
        <v>97</v>
      </c>
      <c r="D1493" s="13">
        <v>4</v>
      </c>
      <c r="E1493" s="2" t="s">
        <v>101</v>
      </c>
      <c r="F1493" s="7">
        <v>883</v>
      </c>
      <c r="G1493" s="3">
        <f>F1493+(VLOOKUP(D1493,'(Semelles.Monument.€HT)'!C:G,3,FALSE()))</f>
        <v>1062</v>
      </c>
      <c r="H1493" s="4">
        <f>F1493+(VLOOKUP(D1493,'(Semelles.Monument.€HT)'!C:G,4,FALSE()))</f>
        <v>1114</v>
      </c>
      <c r="I1493" s="5">
        <f>F1493+(VLOOKUP(D1493,'(Semelles.Monument.€HT)'!C:G,5,FALSE()))</f>
        <v>1168</v>
      </c>
    </row>
    <row r="1494" spans="1:9" ht="26" customHeight="1">
      <c r="A1494" s="17" t="s">
        <v>177</v>
      </c>
      <c r="B1494" s="18" t="s">
        <v>179</v>
      </c>
      <c r="C1494" s="18" t="s">
        <v>97</v>
      </c>
      <c r="D1494" s="18">
        <v>5</v>
      </c>
      <c r="E1494" s="17" t="s">
        <v>102</v>
      </c>
      <c r="F1494" s="19">
        <v>883</v>
      </c>
      <c r="G1494" s="20">
        <f>F1494+(VLOOKUP(D1494,'(Semelles.Monument.€HT)'!C:G,3,FALSE()))</f>
        <v>1062</v>
      </c>
      <c r="H1494" s="21">
        <f>F1494+(VLOOKUP(D1494,'(Semelles.Monument.€HT)'!C:G,4,FALSE()))</f>
        <v>1114</v>
      </c>
      <c r="I1494" s="22">
        <f>F1494+(VLOOKUP(D1494,'(Semelles.Monument.€HT)'!C:G,5,FALSE()))</f>
        <v>1168</v>
      </c>
    </row>
    <row r="1495" spans="1:9" ht="26" customHeight="1">
      <c r="A1495" s="2" t="s">
        <v>177</v>
      </c>
      <c r="B1495" s="13" t="s">
        <v>179</v>
      </c>
      <c r="C1495" s="13" t="s">
        <v>97</v>
      </c>
      <c r="D1495" s="13">
        <v>6</v>
      </c>
      <c r="E1495" s="2" t="s">
        <v>103</v>
      </c>
      <c r="F1495" s="7">
        <v>887</v>
      </c>
      <c r="G1495" s="3">
        <f>F1495+(VLOOKUP(D1495,'(Semelles.Monument.€HT)'!C:G,3,FALSE()))</f>
        <v>1067</v>
      </c>
      <c r="H1495" s="4">
        <f>F1495+(VLOOKUP(D1495,'(Semelles.Monument.€HT)'!C:G,4,FALSE()))</f>
        <v>1119</v>
      </c>
      <c r="I1495" s="5">
        <f>F1495+(VLOOKUP(D1495,'(Semelles.Monument.€HT)'!C:G,5,FALSE()))</f>
        <v>1174</v>
      </c>
    </row>
    <row r="1496" spans="1:9" ht="26" customHeight="1">
      <c r="A1496" s="17" t="s">
        <v>177</v>
      </c>
      <c r="B1496" s="18" t="s">
        <v>179</v>
      </c>
      <c r="C1496" s="18" t="s">
        <v>97</v>
      </c>
      <c r="D1496" s="18">
        <v>7</v>
      </c>
      <c r="E1496" s="17" t="s">
        <v>104</v>
      </c>
      <c r="F1496" s="19">
        <v>887</v>
      </c>
      <c r="G1496" s="20">
        <f>F1496+(VLOOKUP(D1496,'(Semelles.Monument.€HT)'!C:G,3,FALSE()))</f>
        <v>1067</v>
      </c>
      <c r="H1496" s="21">
        <f>F1496+(VLOOKUP(D1496,'(Semelles.Monument.€HT)'!C:G,4,FALSE()))</f>
        <v>1119</v>
      </c>
      <c r="I1496" s="22">
        <f>F1496+(VLOOKUP(D1496,'(Semelles.Monument.€HT)'!C:G,5,FALSE()))</f>
        <v>1174</v>
      </c>
    </row>
    <row r="1497" spans="1:9" ht="26" customHeight="1">
      <c r="A1497" s="2" t="s">
        <v>177</v>
      </c>
      <c r="B1497" s="13" t="s">
        <v>179</v>
      </c>
      <c r="C1497" s="13" t="s">
        <v>97</v>
      </c>
      <c r="D1497" s="13">
        <v>8</v>
      </c>
      <c r="E1497" s="2" t="s">
        <v>105</v>
      </c>
      <c r="F1497" s="7">
        <v>887</v>
      </c>
      <c r="G1497" s="3">
        <f>F1497+(VLOOKUP(D1497,'(Semelles.Monument.€HT)'!C:G,3,FALSE()))</f>
        <v>1067</v>
      </c>
      <c r="H1497" s="4">
        <f>F1497+(VLOOKUP(D1497,'(Semelles.Monument.€HT)'!C:G,4,FALSE()))</f>
        <v>1119</v>
      </c>
      <c r="I1497" s="5">
        <f>F1497+(VLOOKUP(D1497,'(Semelles.Monument.€HT)'!C:G,5,FALSE()))</f>
        <v>1174</v>
      </c>
    </row>
    <row r="1498" spans="1:9" ht="26" customHeight="1">
      <c r="A1498" s="17" t="s">
        <v>177</v>
      </c>
      <c r="B1498" s="18" t="s">
        <v>179</v>
      </c>
      <c r="C1498" s="18" t="s">
        <v>97</v>
      </c>
      <c r="D1498" s="18">
        <v>9</v>
      </c>
      <c r="E1498" s="17" t="s">
        <v>106</v>
      </c>
      <c r="F1498" s="19">
        <v>887</v>
      </c>
      <c r="G1498" s="20">
        <f>F1498+(VLOOKUP(D1498,'(Semelles.Monument.€HT)'!C:G,3,FALSE()))</f>
        <v>1067</v>
      </c>
      <c r="H1498" s="21">
        <f>F1498+(VLOOKUP(D1498,'(Semelles.Monument.€HT)'!C:G,4,FALSE()))</f>
        <v>1119</v>
      </c>
      <c r="I1498" s="22">
        <f>F1498+(VLOOKUP(D1498,'(Semelles.Monument.€HT)'!C:G,5,FALSE()))</f>
        <v>1174</v>
      </c>
    </row>
    <row r="1499" spans="1:9" ht="26" customHeight="1">
      <c r="A1499" s="2" t="s">
        <v>177</v>
      </c>
      <c r="B1499" s="13" t="s">
        <v>179</v>
      </c>
      <c r="C1499" s="13" t="s">
        <v>97</v>
      </c>
      <c r="D1499" s="13">
        <v>10</v>
      </c>
      <c r="E1499" s="2" t="s">
        <v>107</v>
      </c>
      <c r="F1499" s="7">
        <v>887</v>
      </c>
      <c r="G1499" s="3">
        <f>F1499+(VLOOKUP(D1499,'(Semelles.Monument.€HT)'!C:G,3,FALSE()))</f>
        <v>1067</v>
      </c>
      <c r="H1499" s="4">
        <f>F1499+(VLOOKUP(D1499,'(Semelles.Monument.€HT)'!C:G,4,FALSE()))</f>
        <v>1119</v>
      </c>
      <c r="I1499" s="5">
        <f>F1499+(VLOOKUP(D1499,'(Semelles.Monument.€HT)'!C:G,5,FALSE()))</f>
        <v>1174</v>
      </c>
    </row>
    <row r="1500" spans="1:9" ht="26" customHeight="1">
      <c r="A1500" s="17" t="s">
        <v>177</v>
      </c>
      <c r="B1500" s="18" t="s">
        <v>179</v>
      </c>
      <c r="C1500" s="18" t="s">
        <v>97</v>
      </c>
      <c r="D1500" s="18">
        <v>11</v>
      </c>
      <c r="E1500" s="17" t="s">
        <v>108</v>
      </c>
      <c r="F1500" s="19">
        <v>887</v>
      </c>
      <c r="G1500" s="20">
        <f>F1500+(VLOOKUP(D1500,'(Semelles.Monument.€HT)'!C:G,3,FALSE()))</f>
        <v>1067</v>
      </c>
      <c r="H1500" s="21">
        <f>F1500+(VLOOKUP(D1500,'(Semelles.Monument.€HT)'!C:G,4,FALSE()))</f>
        <v>1119</v>
      </c>
      <c r="I1500" s="22">
        <f>F1500+(VLOOKUP(D1500,'(Semelles.Monument.€HT)'!C:G,5,FALSE()))</f>
        <v>1174</v>
      </c>
    </row>
    <row r="1501" spans="1:9" ht="26" customHeight="1">
      <c r="A1501" s="2" t="s">
        <v>177</v>
      </c>
      <c r="B1501" s="13" t="s">
        <v>179</v>
      </c>
      <c r="C1501" s="13" t="s">
        <v>97</v>
      </c>
      <c r="D1501" s="13">
        <v>12</v>
      </c>
      <c r="E1501" s="2" t="s">
        <v>109</v>
      </c>
      <c r="F1501" s="7">
        <v>899</v>
      </c>
      <c r="G1501" s="3">
        <f>F1501+(VLOOKUP(D1501,'(Semelles.Monument.€HT)'!C:G,3,FALSE()))</f>
        <v>1081</v>
      </c>
      <c r="H1501" s="4">
        <f>F1501+(VLOOKUP(D1501,'(Semelles.Monument.€HT)'!C:G,4,FALSE()))</f>
        <v>1134</v>
      </c>
      <c r="I1501" s="5">
        <f>F1501+(VLOOKUP(D1501,'(Semelles.Monument.€HT)'!C:G,5,FALSE()))</f>
        <v>1190</v>
      </c>
    </row>
    <row r="1502" spans="1:9" ht="26" customHeight="1">
      <c r="A1502" s="17" t="s">
        <v>177</v>
      </c>
      <c r="B1502" s="18" t="s">
        <v>179</v>
      </c>
      <c r="C1502" s="18" t="s">
        <v>97</v>
      </c>
      <c r="D1502" s="18">
        <v>13</v>
      </c>
      <c r="E1502" s="17" t="s">
        <v>110</v>
      </c>
      <c r="F1502" s="19">
        <v>899</v>
      </c>
      <c r="G1502" s="20">
        <f>F1502+(VLOOKUP(D1502,'(Semelles.Monument.€HT)'!C:G,3,FALSE()))</f>
        <v>1081</v>
      </c>
      <c r="H1502" s="21">
        <f>F1502+(VLOOKUP(D1502,'(Semelles.Monument.€HT)'!C:G,4,FALSE()))</f>
        <v>1134</v>
      </c>
      <c r="I1502" s="22">
        <f>F1502+(VLOOKUP(D1502,'(Semelles.Monument.€HT)'!C:G,5,FALSE()))</f>
        <v>1190</v>
      </c>
    </row>
    <row r="1503" spans="1:9" ht="26" customHeight="1">
      <c r="A1503" s="2" t="s">
        <v>177</v>
      </c>
      <c r="B1503" s="13" t="s">
        <v>179</v>
      </c>
      <c r="C1503" s="13" t="s">
        <v>97</v>
      </c>
      <c r="D1503" s="13">
        <v>14</v>
      </c>
      <c r="E1503" s="2" t="s">
        <v>111</v>
      </c>
      <c r="F1503" s="7">
        <v>902</v>
      </c>
      <c r="G1503" s="3">
        <f>F1503+(VLOOKUP(D1503,'(Semelles.Monument.€HT)'!C:G,3,FALSE()))</f>
        <v>1085</v>
      </c>
      <c r="H1503" s="4">
        <f>F1503+(VLOOKUP(D1503,'(Semelles.Monument.€HT)'!C:G,4,FALSE()))</f>
        <v>1138</v>
      </c>
      <c r="I1503" s="5">
        <f>F1503+(VLOOKUP(D1503,'(Semelles.Monument.€HT)'!C:G,5,FALSE()))</f>
        <v>1194</v>
      </c>
    </row>
    <row r="1504" spans="1:9" ht="26" customHeight="1">
      <c r="A1504" s="17" t="s">
        <v>177</v>
      </c>
      <c r="B1504" s="18" t="s">
        <v>179</v>
      </c>
      <c r="C1504" s="18" t="s">
        <v>97</v>
      </c>
      <c r="D1504" s="18">
        <v>15</v>
      </c>
      <c r="E1504" s="17" t="s">
        <v>112</v>
      </c>
      <c r="F1504" s="19">
        <v>902</v>
      </c>
      <c r="G1504" s="20">
        <f>F1504+(VLOOKUP(D1504,'(Semelles.Monument.€HT)'!C:G,3,FALSE()))</f>
        <v>1085</v>
      </c>
      <c r="H1504" s="21">
        <f>F1504+(VLOOKUP(D1504,'(Semelles.Monument.€HT)'!C:G,4,FALSE()))</f>
        <v>1138</v>
      </c>
      <c r="I1504" s="22">
        <f>F1504+(VLOOKUP(D1504,'(Semelles.Monument.€HT)'!C:G,5,FALSE()))</f>
        <v>1194</v>
      </c>
    </row>
    <row r="1505" spans="1:9" ht="26" customHeight="1">
      <c r="A1505" s="2" t="s">
        <v>177</v>
      </c>
      <c r="B1505" s="13" t="s">
        <v>179</v>
      </c>
      <c r="C1505" s="13" t="s">
        <v>97</v>
      </c>
      <c r="D1505" s="13">
        <v>16</v>
      </c>
      <c r="E1505" s="2" t="s">
        <v>113</v>
      </c>
      <c r="F1505" s="7">
        <v>902</v>
      </c>
      <c r="G1505" s="3">
        <f>F1505+(VLOOKUP(D1505,'(Semelles.Monument.€HT)'!C:G,3,FALSE()))</f>
        <v>1085</v>
      </c>
      <c r="H1505" s="4">
        <f>F1505+(VLOOKUP(D1505,'(Semelles.Monument.€HT)'!C:G,4,FALSE()))</f>
        <v>1138</v>
      </c>
      <c r="I1505" s="5">
        <f>F1505+(VLOOKUP(D1505,'(Semelles.Monument.€HT)'!C:G,5,FALSE()))</f>
        <v>1194</v>
      </c>
    </row>
    <row r="1506" spans="1:9" ht="26" customHeight="1">
      <c r="A1506" s="17" t="s">
        <v>177</v>
      </c>
      <c r="B1506" s="18" t="s">
        <v>179</v>
      </c>
      <c r="C1506" s="18" t="s">
        <v>97</v>
      </c>
      <c r="D1506" s="18">
        <v>17</v>
      </c>
      <c r="E1506" s="17" t="s">
        <v>114</v>
      </c>
      <c r="F1506" s="19">
        <v>917</v>
      </c>
      <c r="G1506" s="20">
        <f>F1506+(VLOOKUP(D1506,'(Semelles.Monument.€HT)'!C:G,3,FALSE()))</f>
        <v>1103</v>
      </c>
      <c r="H1506" s="21">
        <f>F1506+(VLOOKUP(D1506,'(Semelles.Monument.€HT)'!C:G,4,FALSE()))</f>
        <v>1157</v>
      </c>
      <c r="I1506" s="22">
        <f>F1506+(VLOOKUP(D1506,'(Semelles.Monument.€HT)'!C:G,5,FALSE()))</f>
        <v>1214</v>
      </c>
    </row>
    <row r="1507" spans="1:9" ht="26" customHeight="1">
      <c r="A1507" s="2" t="s">
        <v>177</v>
      </c>
      <c r="B1507" s="13" t="s">
        <v>179</v>
      </c>
      <c r="C1507" s="13" t="s">
        <v>97</v>
      </c>
      <c r="D1507" s="13">
        <v>18</v>
      </c>
      <c r="E1507" s="2" t="s">
        <v>115</v>
      </c>
      <c r="F1507" s="7">
        <v>917</v>
      </c>
      <c r="G1507" s="3">
        <f>F1507+(VLOOKUP(D1507,'(Semelles.Monument.€HT)'!C:G,3,FALSE()))</f>
        <v>1103</v>
      </c>
      <c r="H1507" s="4">
        <f>F1507+(VLOOKUP(D1507,'(Semelles.Monument.€HT)'!C:G,4,FALSE()))</f>
        <v>1157</v>
      </c>
      <c r="I1507" s="5">
        <f>F1507+(VLOOKUP(D1507,'(Semelles.Monument.€HT)'!C:G,5,FALSE()))</f>
        <v>1214</v>
      </c>
    </row>
    <row r="1508" spans="1:9" ht="26" customHeight="1">
      <c r="A1508" s="17" t="s">
        <v>177</v>
      </c>
      <c r="B1508" s="18" t="s">
        <v>179</v>
      </c>
      <c r="C1508" s="18" t="s">
        <v>97</v>
      </c>
      <c r="D1508" s="18">
        <v>19</v>
      </c>
      <c r="E1508" s="17" t="s">
        <v>116</v>
      </c>
      <c r="F1508" s="19">
        <v>817</v>
      </c>
      <c r="G1508" s="20">
        <f>F1508+(VLOOKUP(D1508,'(Semelles.Monument.€HT)'!C:G,3,FALSE()))</f>
        <v>1003</v>
      </c>
      <c r="H1508" s="21">
        <f>F1508+(VLOOKUP(D1508,'(Semelles.Monument.€HT)'!C:G,4,FALSE()))</f>
        <v>1057</v>
      </c>
      <c r="I1508" s="22">
        <f>F1508+(VLOOKUP(D1508,'(Semelles.Monument.€HT)'!C:G,5,FALSE()))</f>
        <v>1114</v>
      </c>
    </row>
    <row r="1509" spans="1:9" ht="26" customHeight="1">
      <c r="A1509" s="2" t="s">
        <v>177</v>
      </c>
      <c r="B1509" s="13" t="s">
        <v>179</v>
      </c>
      <c r="C1509" s="13" t="s">
        <v>97</v>
      </c>
      <c r="D1509" s="13">
        <v>20</v>
      </c>
      <c r="E1509" s="2" t="s">
        <v>117</v>
      </c>
      <c r="F1509" s="7">
        <v>923</v>
      </c>
      <c r="G1509" s="3">
        <f>F1509+(VLOOKUP(D1509,'(Semelles.Monument.€HT)'!C:G,3,FALSE()))</f>
        <v>1111</v>
      </c>
      <c r="H1509" s="4">
        <f>F1509+(VLOOKUP(D1509,'(Semelles.Monument.€HT)'!C:G,4,FALSE()))</f>
        <v>1165</v>
      </c>
      <c r="I1509" s="5">
        <f>F1509+(VLOOKUP(D1509,'(Semelles.Monument.€HT)'!C:G,5,FALSE()))</f>
        <v>1222</v>
      </c>
    </row>
    <row r="1510" spans="1:9" ht="26" customHeight="1">
      <c r="A1510" s="17" t="s">
        <v>177</v>
      </c>
      <c r="B1510" s="18" t="s">
        <v>179</v>
      </c>
      <c r="C1510" s="18" t="s">
        <v>97</v>
      </c>
      <c r="D1510" s="18">
        <v>21</v>
      </c>
      <c r="E1510" s="17" t="s">
        <v>118</v>
      </c>
      <c r="F1510" s="19">
        <v>929</v>
      </c>
      <c r="G1510" s="20">
        <f>F1510+(VLOOKUP(D1510,'(Semelles.Monument.€HT)'!C:G,3,FALSE()))</f>
        <v>1118</v>
      </c>
      <c r="H1510" s="21">
        <f>F1510+(VLOOKUP(D1510,'(Semelles.Monument.€HT)'!C:G,4,FALSE()))</f>
        <v>1172</v>
      </c>
      <c r="I1510" s="22">
        <f>F1510+(VLOOKUP(D1510,'(Semelles.Monument.€HT)'!C:G,5,FALSE()))</f>
        <v>1230</v>
      </c>
    </row>
    <row r="1511" spans="1:9" ht="26" customHeight="1">
      <c r="A1511" s="2" t="s">
        <v>177</v>
      </c>
      <c r="B1511" s="13" t="s">
        <v>179</v>
      </c>
      <c r="C1511" s="13" t="s">
        <v>97</v>
      </c>
      <c r="D1511" s="13">
        <v>22</v>
      </c>
      <c r="E1511" s="2" t="s">
        <v>119</v>
      </c>
      <c r="F1511" s="7">
        <v>929</v>
      </c>
      <c r="G1511" s="3">
        <f>F1511+(VLOOKUP(D1511,'(Semelles.Monument.€HT)'!C:G,3,FALSE()))</f>
        <v>1118</v>
      </c>
      <c r="H1511" s="4">
        <f>F1511+(VLOOKUP(D1511,'(Semelles.Monument.€HT)'!C:G,4,FALSE()))</f>
        <v>1172</v>
      </c>
      <c r="I1511" s="5">
        <f>F1511+(VLOOKUP(D1511,'(Semelles.Monument.€HT)'!C:G,5,FALSE()))</f>
        <v>1230</v>
      </c>
    </row>
    <row r="1512" spans="1:9" ht="26" customHeight="1">
      <c r="A1512" s="17" t="s">
        <v>177</v>
      </c>
      <c r="B1512" s="18" t="s">
        <v>179</v>
      </c>
      <c r="C1512" s="18" t="s">
        <v>97</v>
      </c>
      <c r="D1512" s="18">
        <v>23</v>
      </c>
      <c r="E1512" s="17" t="s">
        <v>120</v>
      </c>
      <c r="F1512" s="19">
        <v>942</v>
      </c>
      <c r="G1512" s="20">
        <f>F1512+(VLOOKUP(D1512,'(Semelles.Monument.€HT)'!C:G,3,FALSE()))</f>
        <v>1134</v>
      </c>
      <c r="H1512" s="21">
        <f>F1512+(VLOOKUP(D1512,'(Semelles.Monument.€HT)'!C:G,4,FALSE()))</f>
        <v>1189</v>
      </c>
      <c r="I1512" s="22">
        <f>F1512+(VLOOKUP(D1512,'(Semelles.Monument.€HT)'!C:G,5,FALSE()))</f>
        <v>1247</v>
      </c>
    </row>
    <row r="1513" spans="1:9" ht="26" customHeight="1">
      <c r="A1513" s="2" t="s">
        <v>177</v>
      </c>
      <c r="B1513" s="13" t="s">
        <v>179</v>
      </c>
      <c r="C1513" s="13" t="s">
        <v>97</v>
      </c>
      <c r="D1513" s="13">
        <v>24</v>
      </c>
      <c r="E1513" s="2" t="s">
        <v>121</v>
      </c>
      <c r="F1513" s="7">
        <v>942</v>
      </c>
      <c r="G1513" s="3">
        <f>F1513+(VLOOKUP(D1513,'(Semelles.Monument.€HT)'!C:G,3,FALSE()))</f>
        <v>1134</v>
      </c>
      <c r="H1513" s="4">
        <f>F1513+(VLOOKUP(D1513,'(Semelles.Monument.€HT)'!C:G,4,FALSE()))</f>
        <v>1189</v>
      </c>
      <c r="I1513" s="5">
        <f>F1513+(VLOOKUP(D1513,'(Semelles.Monument.€HT)'!C:G,5,FALSE()))</f>
        <v>1247</v>
      </c>
    </row>
    <row r="1514" spans="1:9" ht="26" customHeight="1">
      <c r="A1514" s="17" t="s">
        <v>177</v>
      </c>
      <c r="B1514" s="18" t="s">
        <v>179</v>
      </c>
      <c r="C1514" s="18" t="s">
        <v>97</v>
      </c>
      <c r="D1514" s="18">
        <v>25</v>
      </c>
      <c r="E1514" s="17" t="s">
        <v>122</v>
      </c>
      <c r="F1514" s="19">
        <v>942</v>
      </c>
      <c r="G1514" s="20">
        <f>F1514+(VLOOKUP(D1514,'(Semelles.Monument.€HT)'!C:G,3,FALSE()))</f>
        <v>1134</v>
      </c>
      <c r="H1514" s="21">
        <f>F1514+(VLOOKUP(D1514,'(Semelles.Monument.€HT)'!C:G,4,FALSE()))</f>
        <v>1189</v>
      </c>
      <c r="I1514" s="22">
        <f>F1514+(VLOOKUP(D1514,'(Semelles.Monument.€HT)'!C:G,5,FALSE()))</f>
        <v>1247</v>
      </c>
    </row>
    <row r="1515" spans="1:9" ht="26" customHeight="1">
      <c r="A1515" s="2" t="s">
        <v>177</v>
      </c>
      <c r="B1515" s="13" t="s">
        <v>179</v>
      </c>
      <c r="C1515" s="13" t="s">
        <v>97</v>
      </c>
      <c r="D1515" s="13">
        <v>26</v>
      </c>
      <c r="E1515" s="2" t="s">
        <v>123</v>
      </c>
      <c r="F1515" s="7">
        <v>957</v>
      </c>
      <c r="G1515" s="3">
        <f>F1515+(VLOOKUP(D1515,'(Semelles.Monument.€HT)'!C:G,3,FALSE()))</f>
        <v>1152</v>
      </c>
      <c r="H1515" s="4">
        <f>F1515+(VLOOKUP(D1515,'(Semelles.Monument.€HT)'!C:G,4,FALSE()))</f>
        <v>1208</v>
      </c>
      <c r="I1515" s="5">
        <f>F1515+(VLOOKUP(D1515,'(Semelles.Monument.€HT)'!C:G,5,FALSE()))</f>
        <v>1267</v>
      </c>
    </row>
    <row r="1516" spans="1:9" ht="26" customHeight="1">
      <c r="A1516" s="17" t="s">
        <v>177</v>
      </c>
      <c r="B1516" s="18" t="s">
        <v>179</v>
      </c>
      <c r="C1516" s="18" t="s">
        <v>97</v>
      </c>
      <c r="D1516" s="18">
        <v>27</v>
      </c>
      <c r="E1516" s="17" t="s">
        <v>124</v>
      </c>
      <c r="F1516" s="19">
        <v>1016</v>
      </c>
      <c r="G1516" s="20">
        <f>F1516+(VLOOKUP(D1516,'(Semelles.Monument.€HT)'!C:G,3,FALSE()))</f>
        <v>1224</v>
      </c>
      <c r="H1516" s="21">
        <f>F1516+(VLOOKUP(D1516,'(Semelles.Monument.€HT)'!C:G,4,FALSE()))</f>
        <v>1284</v>
      </c>
      <c r="I1516" s="22">
        <f>F1516+(VLOOKUP(D1516,'(Semelles.Monument.€HT)'!C:G,5,FALSE()))</f>
        <v>1383</v>
      </c>
    </row>
    <row r="1517" spans="1:9" ht="26" customHeight="1">
      <c r="A1517" s="2" t="s">
        <v>177</v>
      </c>
      <c r="B1517" s="13" t="s">
        <v>179</v>
      </c>
      <c r="C1517" s="13" t="s">
        <v>97</v>
      </c>
      <c r="D1517" s="13">
        <v>28</v>
      </c>
      <c r="E1517" s="2" t="s">
        <v>125</v>
      </c>
      <c r="F1517" s="7">
        <v>1120</v>
      </c>
      <c r="G1517" s="3">
        <f>F1517+(VLOOKUP(D1517,'(Semelles.Monument.€HT)'!C:G,3,FALSE()))</f>
        <v>1350</v>
      </c>
      <c r="H1517" s="4">
        <f>F1517+(VLOOKUP(D1517,'(Semelles.Monument.€HT)'!C:G,4,FALSE()))</f>
        <v>1417</v>
      </c>
      <c r="I1517" s="5">
        <f>F1517+(VLOOKUP(D1517,'(Semelles.Monument.€HT)'!C:G,5,FALSE()))</f>
        <v>1487</v>
      </c>
    </row>
    <row r="1518" spans="1:9" ht="26" customHeight="1">
      <c r="A1518" s="17" t="s">
        <v>177</v>
      </c>
      <c r="B1518" s="18" t="s">
        <v>179</v>
      </c>
      <c r="C1518" s="18" t="s">
        <v>97</v>
      </c>
      <c r="D1518" s="18">
        <v>29</v>
      </c>
      <c r="E1518" s="17" t="s">
        <v>126</v>
      </c>
      <c r="F1518" s="19">
        <v>1164</v>
      </c>
      <c r="G1518" s="20">
        <f>F1518+(VLOOKUP(D1518,'(Semelles.Monument.€HT)'!C:G,3,FALSE()))</f>
        <v>1404</v>
      </c>
      <c r="H1518" s="21">
        <f>F1518+(VLOOKUP(D1518,'(Semelles.Monument.€HT)'!C:G,4,FALSE()))</f>
        <v>1473</v>
      </c>
      <c r="I1518" s="22">
        <f>F1518+(VLOOKUP(D1518,'(Semelles.Monument.€HT)'!C:G,5,FALSE()))</f>
        <v>1546</v>
      </c>
    </row>
    <row r="1519" spans="1:9" ht="26" customHeight="1">
      <c r="A1519" s="2" t="s">
        <v>177</v>
      </c>
      <c r="B1519" s="13" t="s">
        <v>179</v>
      </c>
      <c r="C1519" s="13" t="s">
        <v>97</v>
      </c>
      <c r="D1519" s="13">
        <v>30</v>
      </c>
      <c r="E1519" s="2" t="s">
        <v>127</v>
      </c>
      <c r="F1519" s="7">
        <v>1164</v>
      </c>
      <c r="G1519" s="3">
        <f>F1519+(VLOOKUP(D1519,'(Semelles.Monument.€HT)'!C:G,3,FALSE()))</f>
        <v>1404</v>
      </c>
      <c r="H1519" s="4">
        <f>F1519+(VLOOKUP(D1519,'(Semelles.Monument.€HT)'!C:G,4,FALSE()))</f>
        <v>1473</v>
      </c>
      <c r="I1519" s="5">
        <f>F1519+(VLOOKUP(D1519,'(Semelles.Monument.€HT)'!C:G,5,FALSE()))</f>
        <v>1546</v>
      </c>
    </row>
    <row r="1520" spans="1:9" ht="26" customHeight="1">
      <c r="A1520" s="17" t="s">
        <v>177</v>
      </c>
      <c r="B1520" s="18" t="s">
        <v>179</v>
      </c>
      <c r="C1520" s="18" t="s">
        <v>128</v>
      </c>
      <c r="D1520" s="18">
        <v>31</v>
      </c>
      <c r="E1520" s="17" t="s">
        <v>129</v>
      </c>
      <c r="F1520" s="19">
        <v>616</v>
      </c>
      <c r="G1520" s="20">
        <f>F1520+(VLOOKUP(D1520,'(Semelles.Monument.€HT)'!C:G,3,FALSE()))</f>
        <v>748</v>
      </c>
      <c r="H1520" s="21">
        <f>F1520+(VLOOKUP(D1520,'(Semelles.Monument.€HT)'!C:G,4,FALSE()))</f>
        <v>786</v>
      </c>
      <c r="I1520" s="22">
        <f>F1520+(VLOOKUP(D1520,'(Semelles.Monument.€HT)'!C:G,5,FALSE()))</f>
        <v>826</v>
      </c>
    </row>
    <row r="1521" spans="1:9" ht="26" customHeight="1">
      <c r="A1521" s="2" t="s">
        <v>177</v>
      </c>
      <c r="B1521" s="13" t="s">
        <v>179</v>
      </c>
      <c r="C1521" s="13" t="s">
        <v>128</v>
      </c>
      <c r="D1521" s="13">
        <v>32</v>
      </c>
      <c r="E1521" s="2" t="s">
        <v>130</v>
      </c>
      <c r="F1521" s="7">
        <v>625</v>
      </c>
      <c r="G1521" s="3">
        <f>F1521+(VLOOKUP(D1521,'(Semelles.Monument.€HT)'!C:G,3,FALSE()))</f>
        <v>759</v>
      </c>
      <c r="H1521" s="4">
        <f>F1521+(VLOOKUP(D1521,'(Semelles.Monument.€HT)'!C:G,4,FALSE()))</f>
        <v>798</v>
      </c>
      <c r="I1521" s="5">
        <f>F1521+(VLOOKUP(D1521,'(Semelles.Monument.€HT)'!C:G,5,FALSE()))</f>
        <v>838</v>
      </c>
    </row>
    <row r="1522" spans="1:9" ht="26" customHeight="1">
      <c r="A1522" s="17" t="s">
        <v>177</v>
      </c>
      <c r="B1522" s="18" t="s">
        <v>179</v>
      </c>
      <c r="C1522" s="18" t="s">
        <v>128</v>
      </c>
      <c r="D1522" s="18">
        <v>33</v>
      </c>
      <c r="E1522" s="17" t="s">
        <v>131</v>
      </c>
      <c r="F1522" s="19">
        <v>625</v>
      </c>
      <c r="G1522" s="20">
        <f>F1522+(VLOOKUP(D1522,'(Semelles.Monument.€HT)'!C:G,3,FALSE()))</f>
        <v>759</v>
      </c>
      <c r="H1522" s="21">
        <f>F1522+(VLOOKUP(D1522,'(Semelles.Monument.€HT)'!C:G,4,FALSE()))</f>
        <v>798</v>
      </c>
      <c r="I1522" s="22">
        <f>F1522+(VLOOKUP(D1522,'(Semelles.Monument.€HT)'!C:G,5,FALSE()))</f>
        <v>838</v>
      </c>
    </row>
    <row r="1523" spans="1:9" ht="26" customHeight="1">
      <c r="A1523" s="2" t="s">
        <v>177</v>
      </c>
      <c r="B1523" s="13" t="s">
        <v>179</v>
      </c>
      <c r="C1523" s="13" t="s">
        <v>128</v>
      </c>
      <c r="D1523" s="13">
        <v>34</v>
      </c>
      <c r="E1523" s="2" t="s">
        <v>132</v>
      </c>
      <c r="F1523" s="7">
        <v>631</v>
      </c>
      <c r="G1523" s="3">
        <f>F1523+(VLOOKUP(D1523,'(Semelles.Monument.€HT)'!C:G,3,FALSE()))</f>
        <v>766</v>
      </c>
      <c r="H1523" s="4">
        <f>F1523+(VLOOKUP(D1523,'(Semelles.Monument.€HT)'!C:G,4,FALSE()))</f>
        <v>805</v>
      </c>
      <c r="I1523" s="5">
        <f>F1523+(VLOOKUP(D1523,'(Semelles.Monument.€HT)'!C:G,5,FALSE()))</f>
        <v>846</v>
      </c>
    </row>
    <row r="1524" spans="1:9" ht="26" customHeight="1">
      <c r="A1524" s="17" t="s">
        <v>177</v>
      </c>
      <c r="B1524" s="18" t="s">
        <v>179</v>
      </c>
      <c r="C1524" s="18" t="s">
        <v>128</v>
      </c>
      <c r="D1524" s="18">
        <v>35</v>
      </c>
      <c r="E1524" s="17" t="s">
        <v>133</v>
      </c>
      <c r="F1524" s="19">
        <v>758</v>
      </c>
      <c r="G1524" s="20">
        <f>F1524+(VLOOKUP(D1524,'(Semelles.Monument.€HT)'!C:G,3,FALSE()))</f>
        <v>921</v>
      </c>
      <c r="H1524" s="21">
        <f>F1524+(VLOOKUP(D1524,'(Semelles.Monument.€HT)'!C:G,4,FALSE()))</f>
        <v>968</v>
      </c>
      <c r="I1524" s="22">
        <f>F1524+(VLOOKUP(D1524,'(Semelles.Monument.€HT)'!C:G,5,FALSE()))</f>
        <v>1017</v>
      </c>
    </row>
    <row r="1525" spans="1:9" ht="26" customHeight="1">
      <c r="A1525" s="2" t="s">
        <v>177</v>
      </c>
      <c r="B1525" s="13" t="s">
        <v>179</v>
      </c>
      <c r="C1525" s="13" t="s">
        <v>128</v>
      </c>
      <c r="D1525" s="13">
        <v>36</v>
      </c>
      <c r="E1525" s="2" t="s">
        <v>134</v>
      </c>
      <c r="F1525" s="7">
        <v>785</v>
      </c>
      <c r="G1525" s="3">
        <f>F1525+(VLOOKUP(D1525,'(Semelles.Monument.€HT)'!C:G,3,FALSE()))</f>
        <v>953</v>
      </c>
      <c r="H1525" s="4">
        <f>F1525+(VLOOKUP(D1525,'(Semelles.Monument.€HT)'!C:G,4,FALSE()))</f>
        <v>1002</v>
      </c>
      <c r="I1525" s="5">
        <f>F1525+(VLOOKUP(D1525,'(Semelles.Monument.€HT)'!C:G,5,FALSE()))</f>
        <v>1053</v>
      </c>
    </row>
    <row r="1526" spans="1:9" ht="26" customHeight="1">
      <c r="A1526" s="17" t="s">
        <v>177</v>
      </c>
      <c r="B1526" s="18" t="s">
        <v>179</v>
      </c>
      <c r="C1526" s="18" t="s">
        <v>128</v>
      </c>
      <c r="D1526" s="18">
        <v>37</v>
      </c>
      <c r="E1526" s="17" t="s">
        <v>135</v>
      </c>
      <c r="F1526" s="19">
        <v>968</v>
      </c>
      <c r="G1526" s="20">
        <f>F1526+(VLOOKUP(D1526,'(Semelles.Monument.€HT)'!C:G,3,FALSE()))</f>
        <v>1176</v>
      </c>
      <c r="H1526" s="21">
        <f>F1526+(VLOOKUP(D1526,'(Semelles.Monument.€HT)'!C:G,4,FALSE()))</f>
        <v>1236</v>
      </c>
      <c r="I1526" s="22">
        <f>F1526+(VLOOKUP(D1526,'(Semelles.Monument.€HT)'!C:G,5,FALSE()))</f>
        <v>1300</v>
      </c>
    </row>
    <row r="1527" spans="1:9" ht="26" customHeight="1">
      <c r="A1527" s="2" t="s">
        <v>177</v>
      </c>
      <c r="B1527" s="13" t="s">
        <v>179</v>
      </c>
      <c r="C1527" s="13" t="s">
        <v>128</v>
      </c>
      <c r="D1527" s="13">
        <v>38</v>
      </c>
      <c r="E1527" s="2" t="s">
        <v>136</v>
      </c>
      <c r="F1527" s="7">
        <v>1024</v>
      </c>
      <c r="G1527" s="3">
        <f>F1527+(VLOOKUP(D1527,'(Semelles.Monument.€HT)'!C:G,3,FALSE()))</f>
        <v>1244</v>
      </c>
      <c r="H1527" s="4">
        <f>F1527+(VLOOKUP(D1527,'(Semelles.Monument.€HT)'!C:G,4,FALSE()))</f>
        <v>1308</v>
      </c>
      <c r="I1527" s="5">
        <f>F1527+(VLOOKUP(D1527,'(Semelles.Monument.€HT)'!C:G,5,FALSE()))</f>
        <v>1375</v>
      </c>
    </row>
    <row r="1528" spans="1:9" ht="26" customHeight="1">
      <c r="A1528" s="17" t="s">
        <v>177</v>
      </c>
      <c r="B1528" s="18" t="s">
        <v>179</v>
      </c>
      <c r="C1528" s="18" t="s">
        <v>128</v>
      </c>
      <c r="D1528" s="18">
        <v>39</v>
      </c>
      <c r="E1528" s="17" t="s">
        <v>137</v>
      </c>
      <c r="F1528" s="19">
        <v>1051</v>
      </c>
      <c r="G1528" s="20">
        <f>F1528+(VLOOKUP(D1528,'(Semelles.Monument.€HT)'!C:G,3,FALSE()))</f>
        <v>1277</v>
      </c>
      <c r="H1528" s="21">
        <f>F1528+(VLOOKUP(D1528,'(Semelles.Monument.€HT)'!C:G,4,FALSE()))</f>
        <v>1342</v>
      </c>
      <c r="I1528" s="22">
        <f>F1528+(VLOOKUP(D1528,'(Semelles.Monument.€HT)'!C:G,5,FALSE()))</f>
        <v>1411</v>
      </c>
    </row>
    <row r="1529" spans="1:9" ht="26" customHeight="1">
      <c r="A1529" s="2" t="s">
        <v>177</v>
      </c>
      <c r="B1529" s="13" t="s">
        <v>179</v>
      </c>
      <c r="C1529" s="13" t="s">
        <v>128</v>
      </c>
      <c r="D1529" s="13">
        <v>40</v>
      </c>
      <c r="E1529" s="2" t="s">
        <v>138</v>
      </c>
      <c r="F1529" s="7">
        <v>1081</v>
      </c>
      <c r="G1529" s="3">
        <f>F1529+(VLOOKUP(D1529,'(Semelles.Monument.€HT)'!C:G,3,FALSE()))</f>
        <v>1313</v>
      </c>
      <c r="H1529" s="4">
        <f>F1529+(VLOOKUP(D1529,'(Semelles.Monument.€HT)'!C:G,4,FALSE()))</f>
        <v>1381</v>
      </c>
      <c r="I1529" s="5">
        <f>F1529+(VLOOKUP(D1529,'(Semelles.Monument.€HT)'!C:G,5,FALSE()))</f>
        <v>1451</v>
      </c>
    </row>
    <row r="1530" spans="1:9" ht="26" customHeight="1">
      <c r="A1530" s="17" t="s">
        <v>177</v>
      </c>
      <c r="B1530" s="18" t="s">
        <v>179</v>
      </c>
      <c r="C1530" s="18" t="s">
        <v>128</v>
      </c>
      <c r="D1530" s="18">
        <v>41</v>
      </c>
      <c r="E1530" s="17" t="s">
        <v>139</v>
      </c>
      <c r="F1530" s="19">
        <v>1149</v>
      </c>
      <c r="G1530" s="20">
        <f>F1530+(VLOOKUP(D1530,'(Semelles.Monument.€HT)'!C:G,3,FALSE()))</f>
        <v>1396</v>
      </c>
      <c r="H1530" s="21">
        <f>F1530+(VLOOKUP(D1530,'(Semelles.Monument.€HT)'!C:G,4,FALSE()))</f>
        <v>1468</v>
      </c>
      <c r="I1530" s="22">
        <f>F1530+(VLOOKUP(D1530,'(Semelles.Monument.€HT)'!C:G,5,FALSE()))</f>
        <v>1543</v>
      </c>
    </row>
    <row r="1531" spans="1:9" ht="26" customHeight="1">
      <c r="A1531" s="2" t="s">
        <v>177</v>
      </c>
      <c r="B1531" s="13" t="s">
        <v>179</v>
      </c>
      <c r="C1531" s="13" t="s">
        <v>128</v>
      </c>
      <c r="D1531" s="13">
        <v>42</v>
      </c>
      <c r="E1531" s="2" t="s">
        <v>140</v>
      </c>
      <c r="F1531" s="7">
        <v>1261</v>
      </c>
      <c r="G1531" s="3">
        <f>F1531+(VLOOKUP(D1531,'(Semelles.Monument.€HT)'!C:G,3,FALSE()))</f>
        <v>1532</v>
      </c>
      <c r="H1531" s="4">
        <f>F1531+(VLOOKUP(D1531,'(Semelles.Monument.€HT)'!C:G,4,FALSE()))</f>
        <v>1611</v>
      </c>
      <c r="I1531" s="5">
        <f>F1531+(VLOOKUP(D1531,'(Semelles.Monument.€HT)'!C:G,5,FALSE()))</f>
        <v>1694</v>
      </c>
    </row>
    <row r="1532" spans="1:9" ht="26" customHeight="1">
      <c r="A1532" s="17" t="s">
        <v>177</v>
      </c>
      <c r="B1532" s="18" t="s">
        <v>179</v>
      </c>
      <c r="C1532" s="18" t="s">
        <v>128</v>
      </c>
      <c r="D1532" s="18">
        <v>43</v>
      </c>
      <c r="E1532" s="17" t="s">
        <v>141</v>
      </c>
      <c r="F1532" s="19">
        <v>1261</v>
      </c>
      <c r="G1532" s="20">
        <f>F1532+(VLOOKUP(D1532,'(Semelles.Monument.€HT)'!C:G,3,FALSE()))</f>
        <v>1532</v>
      </c>
      <c r="H1532" s="21">
        <f>F1532+(VLOOKUP(D1532,'(Semelles.Monument.€HT)'!C:G,4,FALSE()))</f>
        <v>1611</v>
      </c>
      <c r="I1532" s="22">
        <f>F1532+(VLOOKUP(D1532,'(Semelles.Monument.€HT)'!C:G,5,FALSE()))</f>
        <v>1694</v>
      </c>
    </row>
    <row r="1533" spans="1:9" ht="26" customHeight="1">
      <c r="A1533" s="2" t="s">
        <v>177</v>
      </c>
      <c r="B1533" s="13" t="s">
        <v>179</v>
      </c>
      <c r="C1533" s="13" t="s">
        <v>128</v>
      </c>
      <c r="D1533" s="13">
        <v>44</v>
      </c>
      <c r="E1533" s="2" t="s">
        <v>142</v>
      </c>
      <c r="F1533" s="7">
        <v>1276</v>
      </c>
      <c r="G1533" s="3">
        <f>F1533+(VLOOKUP(D1533,'(Semelles.Monument.€HT)'!C:G,3,FALSE()))</f>
        <v>1551</v>
      </c>
      <c r="H1533" s="4">
        <f>F1533+(VLOOKUP(D1533,'(Semelles.Monument.€HT)'!C:G,4,FALSE()))</f>
        <v>1630</v>
      </c>
      <c r="I1533" s="5">
        <f>F1533+(VLOOKUP(D1533,'(Semelles.Monument.€HT)'!C:G,5,FALSE()))</f>
        <v>1714</v>
      </c>
    </row>
    <row r="1534" spans="1:9" ht="26" customHeight="1">
      <c r="A1534" s="17" t="s">
        <v>177</v>
      </c>
      <c r="B1534" s="18" t="s">
        <v>179</v>
      </c>
      <c r="C1534" s="18" t="s">
        <v>128</v>
      </c>
      <c r="D1534" s="18">
        <v>45</v>
      </c>
      <c r="E1534" s="17" t="s">
        <v>143</v>
      </c>
      <c r="F1534" s="19">
        <v>1291</v>
      </c>
      <c r="G1534" s="20">
        <f>F1534+(VLOOKUP(D1534,'(Semelles.Monument.€HT)'!C:G,3,FALSE()))</f>
        <v>1569</v>
      </c>
      <c r="H1534" s="21">
        <f>F1534+(VLOOKUP(D1534,'(Semelles.Monument.€HT)'!C:G,4,FALSE()))</f>
        <v>1649</v>
      </c>
      <c r="I1534" s="22">
        <f>F1534+(VLOOKUP(D1534,'(Semelles.Monument.€HT)'!C:G,5,FALSE()))</f>
        <v>1734</v>
      </c>
    </row>
    <row r="1535" spans="1:9" ht="26" customHeight="1">
      <c r="A1535" s="2" t="s">
        <v>177</v>
      </c>
      <c r="B1535" s="13" t="s">
        <v>179</v>
      </c>
      <c r="C1535" s="13" t="s">
        <v>128</v>
      </c>
      <c r="D1535" s="13">
        <v>46</v>
      </c>
      <c r="E1535" s="2" t="s">
        <v>144</v>
      </c>
      <c r="F1535" s="7">
        <v>1291</v>
      </c>
      <c r="G1535" s="3">
        <f>F1535+(VLOOKUP(D1535,'(Semelles.Monument.€HT)'!C:G,3,FALSE()))</f>
        <v>1569</v>
      </c>
      <c r="H1535" s="4">
        <f>F1535+(VLOOKUP(D1535,'(Semelles.Monument.€HT)'!C:G,4,FALSE()))</f>
        <v>1649</v>
      </c>
      <c r="I1535" s="5">
        <f>F1535+(VLOOKUP(D1535,'(Semelles.Monument.€HT)'!C:G,5,FALSE()))</f>
        <v>1734</v>
      </c>
    </row>
    <row r="1536" spans="1:9" ht="26" customHeight="1">
      <c r="A1536" s="17" t="s">
        <v>177</v>
      </c>
      <c r="B1536" s="18" t="s">
        <v>179</v>
      </c>
      <c r="C1536" s="18" t="s">
        <v>128</v>
      </c>
      <c r="D1536" s="18">
        <v>47</v>
      </c>
      <c r="E1536" s="17" t="s">
        <v>145</v>
      </c>
      <c r="F1536" s="19">
        <v>1317</v>
      </c>
      <c r="G1536" s="20">
        <f>F1536+(VLOOKUP(D1536,'(Semelles.Monument.€HT)'!C:G,3,FALSE()))</f>
        <v>1601</v>
      </c>
      <c r="H1536" s="21">
        <f>F1536+(VLOOKUP(D1536,'(Semelles.Monument.€HT)'!C:G,4,FALSE()))</f>
        <v>1683</v>
      </c>
      <c r="I1536" s="22">
        <f>F1536+(VLOOKUP(D1536,'(Semelles.Monument.€HT)'!C:G,5,FALSE()))</f>
        <v>1769</v>
      </c>
    </row>
    <row r="1537" spans="1:9" ht="26" customHeight="1">
      <c r="A1537" s="2" t="s">
        <v>177</v>
      </c>
      <c r="B1537" s="13" t="s">
        <v>179</v>
      </c>
      <c r="C1537" s="13" t="s">
        <v>128</v>
      </c>
      <c r="D1537" s="13">
        <v>48</v>
      </c>
      <c r="E1537" s="2" t="s">
        <v>146</v>
      </c>
      <c r="F1537" s="7">
        <v>1332</v>
      </c>
      <c r="G1537" s="3">
        <f>F1537+(VLOOKUP(D1537,'(Semelles.Monument.€HT)'!C:G,3,FALSE()))</f>
        <v>1619</v>
      </c>
      <c r="H1537" s="4">
        <f>F1537+(VLOOKUP(D1537,'(Semelles.Monument.€HT)'!C:G,4,FALSE()))</f>
        <v>1702</v>
      </c>
      <c r="I1537" s="5">
        <f>F1537+(VLOOKUP(D1537,'(Semelles.Monument.€HT)'!C:G,5,FALSE()))</f>
        <v>1789</v>
      </c>
    </row>
    <row r="1538" spans="1:9" ht="26" customHeight="1">
      <c r="A1538" s="17" t="s">
        <v>177</v>
      </c>
      <c r="B1538" s="18" t="s">
        <v>180</v>
      </c>
      <c r="C1538" s="18" t="s">
        <v>97</v>
      </c>
      <c r="D1538" s="18">
        <v>1</v>
      </c>
      <c r="E1538" s="17" t="s">
        <v>98</v>
      </c>
      <c r="F1538" s="19">
        <v>925</v>
      </c>
      <c r="G1538" s="20">
        <f>F1538+(VLOOKUP(D1538,'(Semelles.Monument.€HT)'!C:G,3,FALSE()))</f>
        <v>1083</v>
      </c>
      <c r="H1538" s="21">
        <f>F1538+(VLOOKUP(D1538,'(Semelles.Monument.€HT)'!C:G,4,FALSE()))</f>
        <v>1129</v>
      </c>
      <c r="I1538" s="22">
        <f>F1538+(VLOOKUP(D1538,'(Semelles.Monument.€HT)'!C:G,5,FALSE()))</f>
        <v>1177</v>
      </c>
    </row>
    <row r="1539" spans="1:9" ht="26" customHeight="1">
      <c r="A1539" s="2" t="s">
        <v>177</v>
      </c>
      <c r="B1539" s="13" t="s">
        <v>180</v>
      </c>
      <c r="C1539" s="13" t="s">
        <v>97</v>
      </c>
      <c r="D1539" s="13">
        <v>2</v>
      </c>
      <c r="E1539" s="2" t="s">
        <v>99</v>
      </c>
      <c r="F1539" s="7">
        <v>924</v>
      </c>
      <c r="G1539" s="3">
        <f>F1539+(VLOOKUP(D1539,'(Semelles.Monument.€HT)'!C:G,3,FALSE()))</f>
        <v>1082</v>
      </c>
      <c r="H1539" s="4">
        <f>F1539+(VLOOKUP(D1539,'(Semelles.Monument.€HT)'!C:G,4,FALSE()))</f>
        <v>1128</v>
      </c>
      <c r="I1539" s="5">
        <f>F1539+(VLOOKUP(D1539,'(Semelles.Monument.€HT)'!C:G,5,FALSE()))</f>
        <v>1176</v>
      </c>
    </row>
    <row r="1540" spans="1:9" ht="26" customHeight="1">
      <c r="A1540" s="17" t="s">
        <v>177</v>
      </c>
      <c r="B1540" s="18" t="s">
        <v>180</v>
      </c>
      <c r="C1540" s="18" t="s">
        <v>97</v>
      </c>
      <c r="D1540" s="18">
        <v>3</v>
      </c>
      <c r="E1540" s="17" t="s">
        <v>100</v>
      </c>
      <c r="F1540" s="19">
        <v>1023</v>
      </c>
      <c r="G1540" s="20">
        <f>F1540+(VLOOKUP(D1540,'(Semelles.Monument.€HT)'!C:G,3,FALSE()))</f>
        <v>1199</v>
      </c>
      <c r="H1540" s="21">
        <f>F1540+(VLOOKUP(D1540,'(Semelles.Monument.€HT)'!C:G,4,FALSE()))</f>
        <v>1250</v>
      </c>
      <c r="I1540" s="22">
        <f>F1540+(VLOOKUP(D1540,'(Semelles.Monument.€HT)'!C:G,5,FALSE()))</f>
        <v>1303</v>
      </c>
    </row>
    <row r="1541" spans="1:9" ht="26" customHeight="1">
      <c r="A1541" s="2" t="s">
        <v>177</v>
      </c>
      <c r="B1541" s="13" t="s">
        <v>180</v>
      </c>
      <c r="C1541" s="13" t="s">
        <v>97</v>
      </c>
      <c r="D1541" s="13">
        <v>4</v>
      </c>
      <c r="E1541" s="2" t="s">
        <v>101</v>
      </c>
      <c r="F1541" s="7">
        <v>1046</v>
      </c>
      <c r="G1541" s="3">
        <f>F1541+(VLOOKUP(D1541,'(Semelles.Monument.€HT)'!C:G,3,FALSE()))</f>
        <v>1225</v>
      </c>
      <c r="H1541" s="4">
        <f>F1541+(VLOOKUP(D1541,'(Semelles.Monument.€HT)'!C:G,4,FALSE()))</f>
        <v>1277</v>
      </c>
      <c r="I1541" s="5">
        <f>F1541+(VLOOKUP(D1541,'(Semelles.Monument.€HT)'!C:G,5,FALSE()))</f>
        <v>1331</v>
      </c>
    </row>
    <row r="1542" spans="1:9" ht="26" customHeight="1">
      <c r="A1542" s="17" t="s">
        <v>177</v>
      </c>
      <c r="B1542" s="18" t="s">
        <v>180</v>
      </c>
      <c r="C1542" s="18" t="s">
        <v>97</v>
      </c>
      <c r="D1542" s="18">
        <v>5</v>
      </c>
      <c r="E1542" s="17" t="s">
        <v>102</v>
      </c>
      <c r="F1542" s="19">
        <v>1046</v>
      </c>
      <c r="G1542" s="20">
        <f>F1542+(VLOOKUP(D1542,'(Semelles.Monument.€HT)'!C:G,3,FALSE()))</f>
        <v>1225</v>
      </c>
      <c r="H1542" s="21">
        <f>F1542+(VLOOKUP(D1542,'(Semelles.Monument.€HT)'!C:G,4,FALSE()))</f>
        <v>1277</v>
      </c>
      <c r="I1542" s="22">
        <f>F1542+(VLOOKUP(D1542,'(Semelles.Monument.€HT)'!C:G,5,FALSE()))</f>
        <v>1331</v>
      </c>
    </row>
    <row r="1543" spans="1:9" ht="26" customHeight="1">
      <c r="A1543" s="2" t="s">
        <v>177</v>
      </c>
      <c r="B1543" s="13" t="s">
        <v>180</v>
      </c>
      <c r="C1543" s="13" t="s">
        <v>97</v>
      </c>
      <c r="D1543" s="13">
        <v>6</v>
      </c>
      <c r="E1543" s="2" t="s">
        <v>103</v>
      </c>
      <c r="F1543" s="7">
        <v>1052</v>
      </c>
      <c r="G1543" s="3">
        <f>F1543+(VLOOKUP(D1543,'(Semelles.Monument.€HT)'!C:G,3,FALSE()))</f>
        <v>1232</v>
      </c>
      <c r="H1543" s="4">
        <f>F1543+(VLOOKUP(D1543,'(Semelles.Monument.€HT)'!C:G,4,FALSE()))</f>
        <v>1284</v>
      </c>
      <c r="I1543" s="5">
        <f>F1543+(VLOOKUP(D1543,'(Semelles.Monument.€HT)'!C:G,5,FALSE()))</f>
        <v>1339</v>
      </c>
    </row>
    <row r="1544" spans="1:9" ht="26" customHeight="1">
      <c r="A1544" s="17" t="s">
        <v>177</v>
      </c>
      <c r="B1544" s="18" t="s">
        <v>180</v>
      </c>
      <c r="C1544" s="18" t="s">
        <v>97</v>
      </c>
      <c r="D1544" s="18">
        <v>7</v>
      </c>
      <c r="E1544" s="17" t="s">
        <v>104</v>
      </c>
      <c r="F1544" s="19">
        <v>1052</v>
      </c>
      <c r="G1544" s="20">
        <f>F1544+(VLOOKUP(D1544,'(Semelles.Monument.€HT)'!C:G,3,FALSE()))</f>
        <v>1232</v>
      </c>
      <c r="H1544" s="21">
        <f>F1544+(VLOOKUP(D1544,'(Semelles.Monument.€HT)'!C:G,4,FALSE()))</f>
        <v>1284</v>
      </c>
      <c r="I1544" s="22">
        <f>F1544+(VLOOKUP(D1544,'(Semelles.Monument.€HT)'!C:G,5,FALSE()))</f>
        <v>1339</v>
      </c>
    </row>
    <row r="1545" spans="1:9" ht="26" customHeight="1">
      <c r="A1545" s="2" t="s">
        <v>177</v>
      </c>
      <c r="B1545" s="13" t="s">
        <v>180</v>
      </c>
      <c r="C1545" s="13" t="s">
        <v>97</v>
      </c>
      <c r="D1545" s="13">
        <v>8</v>
      </c>
      <c r="E1545" s="2" t="s">
        <v>105</v>
      </c>
      <c r="F1545" s="7">
        <v>1052</v>
      </c>
      <c r="G1545" s="3">
        <f>F1545+(VLOOKUP(D1545,'(Semelles.Monument.€HT)'!C:G,3,FALSE()))</f>
        <v>1232</v>
      </c>
      <c r="H1545" s="4">
        <f>F1545+(VLOOKUP(D1545,'(Semelles.Monument.€HT)'!C:G,4,FALSE()))</f>
        <v>1284</v>
      </c>
      <c r="I1545" s="5">
        <f>F1545+(VLOOKUP(D1545,'(Semelles.Monument.€HT)'!C:G,5,FALSE()))</f>
        <v>1339</v>
      </c>
    </row>
    <row r="1546" spans="1:9" ht="26" customHeight="1">
      <c r="A1546" s="17" t="s">
        <v>177</v>
      </c>
      <c r="B1546" s="18" t="s">
        <v>180</v>
      </c>
      <c r="C1546" s="18" t="s">
        <v>97</v>
      </c>
      <c r="D1546" s="18">
        <v>9</v>
      </c>
      <c r="E1546" s="17" t="s">
        <v>106</v>
      </c>
      <c r="F1546" s="19">
        <v>1052</v>
      </c>
      <c r="G1546" s="20">
        <f>F1546+(VLOOKUP(D1546,'(Semelles.Monument.€HT)'!C:G,3,FALSE()))</f>
        <v>1232</v>
      </c>
      <c r="H1546" s="21">
        <f>F1546+(VLOOKUP(D1546,'(Semelles.Monument.€HT)'!C:G,4,FALSE()))</f>
        <v>1284</v>
      </c>
      <c r="I1546" s="22">
        <f>F1546+(VLOOKUP(D1546,'(Semelles.Monument.€HT)'!C:G,5,FALSE()))</f>
        <v>1339</v>
      </c>
    </row>
    <row r="1547" spans="1:9" ht="26" customHeight="1">
      <c r="A1547" s="2" t="s">
        <v>177</v>
      </c>
      <c r="B1547" s="13" t="s">
        <v>180</v>
      </c>
      <c r="C1547" s="13" t="s">
        <v>97</v>
      </c>
      <c r="D1547" s="13">
        <v>10</v>
      </c>
      <c r="E1547" s="2" t="s">
        <v>107</v>
      </c>
      <c r="F1547" s="7">
        <v>1052</v>
      </c>
      <c r="G1547" s="3">
        <f>F1547+(VLOOKUP(D1547,'(Semelles.Monument.€HT)'!C:G,3,FALSE()))</f>
        <v>1232</v>
      </c>
      <c r="H1547" s="4">
        <f>F1547+(VLOOKUP(D1547,'(Semelles.Monument.€HT)'!C:G,4,FALSE()))</f>
        <v>1284</v>
      </c>
      <c r="I1547" s="5">
        <f>F1547+(VLOOKUP(D1547,'(Semelles.Monument.€HT)'!C:G,5,FALSE()))</f>
        <v>1339</v>
      </c>
    </row>
    <row r="1548" spans="1:9" ht="26" customHeight="1">
      <c r="A1548" s="17" t="s">
        <v>177</v>
      </c>
      <c r="B1548" s="18" t="s">
        <v>180</v>
      </c>
      <c r="C1548" s="18" t="s">
        <v>97</v>
      </c>
      <c r="D1548" s="18">
        <v>11</v>
      </c>
      <c r="E1548" s="17" t="s">
        <v>108</v>
      </c>
      <c r="F1548" s="19">
        <v>1052</v>
      </c>
      <c r="G1548" s="20">
        <f>F1548+(VLOOKUP(D1548,'(Semelles.Monument.€HT)'!C:G,3,FALSE()))</f>
        <v>1232</v>
      </c>
      <c r="H1548" s="21">
        <f>F1548+(VLOOKUP(D1548,'(Semelles.Monument.€HT)'!C:G,4,FALSE()))</f>
        <v>1284</v>
      </c>
      <c r="I1548" s="22">
        <f>F1548+(VLOOKUP(D1548,'(Semelles.Monument.€HT)'!C:G,5,FALSE()))</f>
        <v>1339</v>
      </c>
    </row>
    <row r="1549" spans="1:9" ht="26" customHeight="1">
      <c r="A1549" s="2" t="s">
        <v>177</v>
      </c>
      <c r="B1549" s="13" t="s">
        <v>180</v>
      </c>
      <c r="C1549" s="13" t="s">
        <v>97</v>
      </c>
      <c r="D1549" s="13">
        <v>12</v>
      </c>
      <c r="E1549" s="2" t="s">
        <v>109</v>
      </c>
      <c r="F1549" s="7">
        <v>1066</v>
      </c>
      <c r="G1549" s="3">
        <f>F1549+(VLOOKUP(D1549,'(Semelles.Monument.€HT)'!C:G,3,FALSE()))</f>
        <v>1248</v>
      </c>
      <c r="H1549" s="4">
        <f>F1549+(VLOOKUP(D1549,'(Semelles.Monument.€HT)'!C:G,4,FALSE()))</f>
        <v>1301</v>
      </c>
      <c r="I1549" s="5">
        <f>F1549+(VLOOKUP(D1549,'(Semelles.Monument.€HT)'!C:G,5,FALSE()))</f>
        <v>1357</v>
      </c>
    </row>
    <row r="1550" spans="1:9" ht="26" customHeight="1">
      <c r="A1550" s="17" t="s">
        <v>177</v>
      </c>
      <c r="B1550" s="18" t="s">
        <v>180</v>
      </c>
      <c r="C1550" s="18" t="s">
        <v>97</v>
      </c>
      <c r="D1550" s="18">
        <v>13</v>
      </c>
      <c r="E1550" s="17" t="s">
        <v>110</v>
      </c>
      <c r="F1550" s="19">
        <v>1066</v>
      </c>
      <c r="G1550" s="20">
        <f>F1550+(VLOOKUP(D1550,'(Semelles.Monument.€HT)'!C:G,3,FALSE()))</f>
        <v>1248</v>
      </c>
      <c r="H1550" s="21">
        <f>F1550+(VLOOKUP(D1550,'(Semelles.Monument.€HT)'!C:G,4,FALSE()))</f>
        <v>1301</v>
      </c>
      <c r="I1550" s="22">
        <f>F1550+(VLOOKUP(D1550,'(Semelles.Monument.€HT)'!C:G,5,FALSE()))</f>
        <v>1357</v>
      </c>
    </row>
    <row r="1551" spans="1:9" ht="26" customHeight="1">
      <c r="A1551" s="2" t="s">
        <v>177</v>
      </c>
      <c r="B1551" s="13" t="s">
        <v>180</v>
      </c>
      <c r="C1551" s="13" t="s">
        <v>97</v>
      </c>
      <c r="D1551" s="13">
        <v>14</v>
      </c>
      <c r="E1551" s="2" t="s">
        <v>111</v>
      </c>
      <c r="F1551" s="7">
        <v>1070</v>
      </c>
      <c r="G1551" s="3">
        <f>F1551+(VLOOKUP(D1551,'(Semelles.Monument.€HT)'!C:G,3,FALSE()))</f>
        <v>1253</v>
      </c>
      <c r="H1551" s="4">
        <f>F1551+(VLOOKUP(D1551,'(Semelles.Monument.€HT)'!C:G,4,FALSE()))</f>
        <v>1306</v>
      </c>
      <c r="I1551" s="5">
        <f>F1551+(VLOOKUP(D1551,'(Semelles.Monument.€HT)'!C:G,5,FALSE()))</f>
        <v>1362</v>
      </c>
    </row>
    <row r="1552" spans="1:9" ht="26" customHeight="1">
      <c r="A1552" s="17" t="s">
        <v>177</v>
      </c>
      <c r="B1552" s="18" t="s">
        <v>180</v>
      </c>
      <c r="C1552" s="18" t="s">
        <v>97</v>
      </c>
      <c r="D1552" s="18">
        <v>15</v>
      </c>
      <c r="E1552" s="17" t="s">
        <v>112</v>
      </c>
      <c r="F1552" s="19">
        <v>1070</v>
      </c>
      <c r="G1552" s="20">
        <f>F1552+(VLOOKUP(D1552,'(Semelles.Monument.€HT)'!C:G,3,FALSE()))</f>
        <v>1253</v>
      </c>
      <c r="H1552" s="21">
        <f>F1552+(VLOOKUP(D1552,'(Semelles.Monument.€HT)'!C:G,4,FALSE()))</f>
        <v>1306</v>
      </c>
      <c r="I1552" s="22">
        <f>F1552+(VLOOKUP(D1552,'(Semelles.Monument.€HT)'!C:G,5,FALSE()))</f>
        <v>1362</v>
      </c>
    </row>
    <row r="1553" spans="1:9" ht="26" customHeight="1">
      <c r="A1553" s="2" t="s">
        <v>177</v>
      </c>
      <c r="B1553" s="13" t="s">
        <v>180</v>
      </c>
      <c r="C1553" s="13" t="s">
        <v>97</v>
      </c>
      <c r="D1553" s="13">
        <v>16</v>
      </c>
      <c r="E1553" s="2" t="s">
        <v>113</v>
      </c>
      <c r="F1553" s="7">
        <v>1070</v>
      </c>
      <c r="G1553" s="3">
        <f>F1553+(VLOOKUP(D1553,'(Semelles.Monument.€HT)'!C:G,3,FALSE()))</f>
        <v>1253</v>
      </c>
      <c r="H1553" s="4">
        <f>F1553+(VLOOKUP(D1553,'(Semelles.Monument.€HT)'!C:G,4,FALSE()))</f>
        <v>1306</v>
      </c>
      <c r="I1553" s="5">
        <f>F1553+(VLOOKUP(D1553,'(Semelles.Monument.€HT)'!C:G,5,FALSE()))</f>
        <v>1362</v>
      </c>
    </row>
    <row r="1554" spans="1:9" ht="26" customHeight="1">
      <c r="A1554" s="17" t="s">
        <v>177</v>
      </c>
      <c r="B1554" s="18" t="s">
        <v>180</v>
      </c>
      <c r="C1554" s="18" t="s">
        <v>97</v>
      </c>
      <c r="D1554" s="18">
        <v>17</v>
      </c>
      <c r="E1554" s="17" t="s">
        <v>114</v>
      </c>
      <c r="F1554" s="19">
        <v>1087</v>
      </c>
      <c r="G1554" s="20">
        <f>F1554+(VLOOKUP(D1554,'(Semelles.Monument.€HT)'!C:G,3,FALSE()))</f>
        <v>1273</v>
      </c>
      <c r="H1554" s="21">
        <f>F1554+(VLOOKUP(D1554,'(Semelles.Monument.€HT)'!C:G,4,FALSE()))</f>
        <v>1327</v>
      </c>
      <c r="I1554" s="22">
        <f>F1554+(VLOOKUP(D1554,'(Semelles.Monument.€HT)'!C:G,5,FALSE()))</f>
        <v>1384</v>
      </c>
    </row>
    <row r="1555" spans="1:9" ht="26" customHeight="1">
      <c r="A1555" s="2" t="s">
        <v>177</v>
      </c>
      <c r="B1555" s="13" t="s">
        <v>180</v>
      </c>
      <c r="C1555" s="13" t="s">
        <v>97</v>
      </c>
      <c r="D1555" s="13">
        <v>18</v>
      </c>
      <c r="E1555" s="2" t="s">
        <v>115</v>
      </c>
      <c r="F1555" s="7">
        <v>1087</v>
      </c>
      <c r="G1555" s="3">
        <f>F1555+(VLOOKUP(D1555,'(Semelles.Monument.€HT)'!C:G,3,FALSE()))</f>
        <v>1273</v>
      </c>
      <c r="H1555" s="4">
        <f>F1555+(VLOOKUP(D1555,'(Semelles.Monument.€HT)'!C:G,4,FALSE()))</f>
        <v>1327</v>
      </c>
      <c r="I1555" s="5">
        <f>F1555+(VLOOKUP(D1555,'(Semelles.Monument.€HT)'!C:G,5,FALSE()))</f>
        <v>1384</v>
      </c>
    </row>
    <row r="1556" spans="1:9" ht="26" customHeight="1">
      <c r="A1556" s="17" t="s">
        <v>177</v>
      </c>
      <c r="B1556" s="18" t="s">
        <v>180</v>
      </c>
      <c r="C1556" s="18" t="s">
        <v>97</v>
      </c>
      <c r="D1556" s="18">
        <v>19</v>
      </c>
      <c r="E1556" s="17" t="s">
        <v>116</v>
      </c>
      <c r="F1556" s="19">
        <v>1087</v>
      </c>
      <c r="G1556" s="20">
        <f>F1556+(VLOOKUP(D1556,'(Semelles.Monument.€HT)'!C:G,3,FALSE()))</f>
        <v>1273</v>
      </c>
      <c r="H1556" s="21">
        <f>F1556+(VLOOKUP(D1556,'(Semelles.Monument.€HT)'!C:G,4,FALSE()))</f>
        <v>1327</v>
      </c>
      <c r="I1556" s="22">
        <f>F1556+(VLOOKUP(D1556,'(Semelles.Monument.€HT)'!C:G,5,FALSE()))</f>
        <v>1384</v>
      </c>
    </row>
    <row r="1557" spans="1:9" ht="26" customHeight="1">
      <c r="A1557" s="2" t="s">
        <v>177</v>
      </c>
      <c r="B1557" s="13" t="s">
        <v>180</v>
      </c>
      <c r="C1557" s="13" t="s">
        <v>97</v>
      </c>
      <c r="D1557" s="13">
        <v>20</v>
      </c>
      <c r="E1557" s="2" t="s">
        <v>117</v>
      </c>
      <c r="F1557" s="7">
        <v>1095</v>
      </c>
      <c r="G1557" s="3">
        <f>F1557+(VLOOKUP(D1557,'(Semelles.Monument.€HT)'!C:G,3,FALSE()))</f>
        <v>1283</v>
      </c>
      <c r="H1557" s="4">
        <f>F1557+(VLOOKUP(D1557,'(Semelles.Monument.€HT)'!C:G,4,FALSE()))</f>
        <v>1337</v>
      </c>
      <c r="I1557" s="5">
        <f>F1557+(VLOOKUP(D1557,'(Semelles.Monument.€HT)'!C:G,5,FALSE()))</f>
        <v>1394</v>
      </c>
    </row>
    <row r="1558" spans="1:9" ht="26" customHeight="1">
      <c r="A1558" s="17" t="s">
        <v>177</v>
      </c>
      <c r="B1558" s="18" t="s">
        <v>180</v>
      </c>
      <c r="C1558" s="18" t="s">
        <v>97</v>
      </c>
      <c r="D1558" s="18">
        <v>21</v>
      </c>
      <c r="E1558" s="17" t="s">
        <v>118</v>
      </c>
      <c r="F1558" s="19">
        <v>1102</v>
      </c>
      <c r="G1558" s="20">
        <f>F1558+(VLOOKUP(D1558,'(Semelles.Monument.€HT)'!C:G,3,FALSE()))</f>
        <v>1291</v>
      </c>
      <c r="H1558" s="21">
        <f>F1558+(VLOOKUP(D1558,'(Semelles.Monument.€HT)'!C:G,4,FALSE()))</f>
        <v>1345</v>
      </c>
      <c r="I1558" s="22">
        <f>F1558+(VLOOKUP(D1558,'(Semelles.Monument.€HT)'!C:G,5,FALSE()))</f>
        <v>1403</v>
      </c>
    </row>
    <row r="1559" spans="1:9" ht="26" customHeight="1">
      <c r="A1559" s="2" t="s">
        <v>177</v>
      </c>
      <c r="B1559" s="13" t="s">
        <v>180</v>
      </c>
      <c r="C1559" s="13" t="s">
        <v>97</v>
      </c>
      <c r="D1559" s="13">
        <v>22</v>
      </c>
      <c r="E1559" s="2" t="s">
        <v>119</v>
      </c>
      <c r="F1559" s="7">
        <v>1102</v>
      </c>
      <c r="G1559" s="3">
        <f>F1559+(VLOOKUP(D1559,'(Semelles.Monument.€HT)'!C:G,3,FALSE()))</f>
        <v>1291</v>
      </c>
      <c r="H1559" s="4">
        <f>F1559+(VLOOKUP(D1559,'(Semelles.Monument.€HT)'!C:G,4,FALSE()))</f>
        <v>1345</v>
      </c>
      <c r="I1559" s="5">
        <f>F1559+(VLOOKUP(D1559,'(Semelles.Monument.€HT)'!C:G,5,FALSE()))</f>
        <v>1403</v>
      </c>
    </row>
    <row r="1560" spans="1:9" ht="26" customHeight="1">
      <c r="A1560" s="17" t="s">
        <v>177</v>
      </c>
      <c r="B1560" s="18" t="s">
        <v>180</v>
      </c>
      <c r="C1560" s="18" t="s">
        <v>97</v>
      </c>
      <c r="D1560" s="18">
        <v>23</v>
      </c>
      <c r="E1560" s="17" t="s">
        <v>120</v>
      </c>
      <c r="F1560" s="19">
        <v>1118</v>
      </c>
      <c r="G1560" s="20">
        <f>F1560+(VLOOKUP(D1560,'(Semelles.Monument.€HT)'!C:G,3,FALSE()))</f>
        <v>1310</v>
      </c>
      <c r="H1560" s="21">
        <f>F1560+(VLOOKUP(D1560,'(Semelles.Monument.€HT)'!C:G,4,FALSE()))</f>
        <v>1365</v>
      </c>
      <c r="I1560" s="22">
        <f>F1560+(VLOOKUP(D1560,'(Semelles.Monument.€HT)'!C:G,5,FALSE()))</f>
        <v>1423</v>
      </c>
    </row>
    <row r="1561" spans="1:9" ht="26" customHeight="1">
      <c r="A1561" s="2" t="s">
        <v>177</v>
      </c>
      <c r="B1561" s="13" t="s">
        <v>180</v>
      </c>
      <c r="C1561" s="13" t="s">
        <v>97</v>
      </c>
      <c r="D1561" s="13">
        <v>24</v>
      </c>
      <c r="E1561" s="2" t="s">
        <v>121</v>
      </c>
      <c r="F1561" s="7">
        <v>1118</v>
      </c>
      <c r="G1561" s="3">
        <f>F1561+(VLOOKUP(D1561,'(Semelles.Monument.€HT)'!C:G,3,FALSE()))</f>
        <v>1310</v>
      </c>
      <c r="H1561" s="4">
        <f>F1561+(VLOOKUP(D1561,'(Semelles.Monument.€HT)'!C:G,4,FALSE()))</f>
        <v>1365</v>
      </c>
      <c r="I1561" s="5">
        <f>F1561+(VLOOKUP(D1561,'(Semelles.Monument.€HT)'!C:G,5,FALSE()))</f>
        <v>1423</v>
      </c>
    </row>
    <row r="1562" spans="1:9" ht="26" customHeight="1">
      <c r="A1562" s="17" t="s">
        <v>177</v>
      </c>
      <c r="B1562" s="18" t="s">
        <v>180</v>
      </c>
      <c r="C1562" s="18" t="s">
        <v>97</v>
      </c>
      <c r="D1562" s="18">
        <v>25</v>
      </c>
      <c r="E1562" s="17" t="s">
        <v>122</v>
      </c>
      <c r="F1562" s="19">
        <v>1118</v>
      </c>
      <c r="G1562" s="20">
        <f>F1562+(VLOOKUP(D1562,'(Semelles.Monument.€HT)'!C:G,3,FALSE()))</f>
        <v>1310</v>
      </c>
      <c r="H1562" s="21">
        <f>F1562+(VLOOKUP(D1562,'(Semelles.Monument.€HT)'!C:G,4,FALSE()))</f>
        <v>1365</v>
      </c>
      <c r="I1562" s="22">
        <f>F1562+(VLOOKUP(D1562,'(Semelles.Monument.€HT)'!C:G,5,FALSE()))</f>
        <v>1423</v>
      </c>
    </row>
    <row r="1563" spans="1:9" ht="26" customHeight="1">
      <c r="A1563" s="2" t="s">
        <v>177</v>
      </c>
      <c r="B1563" s="13" t="s">
        <v>180</v>
      </c>
      <c r="C1563" s="13" t="s">
        <v>97</v>
      </c>
      <c r="D1563" s="13">
        <v>26</v>
      </c>
      <c r="E1563" s="2" t="s">
        <v>123</v>
      </c>
      <c r="F1563" s="7">
        <v>1136</v>
      </c>
      <c r="G1563" s="3">
        <f>F1563+(VLOOKUP(D1563,'(Semelles.Monument.€HT)'!C:G,3,FALSE()))</f>
        <v>1331</v>
      </c>
      <c r="H1563" s="4">
        <f>F1563+(VLOOKUP(D1563,'(Semelles.Monument.€HT)'!C:G,4,FALSE()))</f>
        <v>1387</v>
      </c>
      <c r="I1563" s="5">
        <f>F1563+(VLOOKUP(D1563,'(Semelles.Monument.€HT)'!C:G,5,FALSE()))</f>
        <v>1446</v>
      </c>
    </row>
    <row r="1564" spans="1:9" ht="26" customHeight="1">
      <c r="A1564" s="17" t="s">
        <v>177</v>
      </c>
      <c r="B1564" s="18" t="s">
        <v>180</v>
      </c>
      <c r="C1564" s="18" t="s">
        <v>97</v>
      </c>
      <c r="D1564" s="18">
        <v>27</v>
      </c>
      <c r="E1564" s="17" t="s">
        <v>124</v>
      </c>
      <c r="F1564" s="19">
        <v>1207</v>
      </c>
      <c r="G1564" s="20">
        <f>F1564+(VLOOKUP(D1564,'(Semelles.Monument.€HT)'!C:G,3,FALSE()))</f>
        <v>1415</v>
      </c>
      <c r="H1564" s="21">
        <f>F1564+(VLOOKUP(D1564,'(Semelles.Monument.€HT)'!C:G,4,FALSE()))</f>
        <v>1475</v>
      </c>
      <c r="I1564" s="22">
        <f>F1564+(VLOOKUP(D1564,'(Semelles.Monument.€HT)'!C:G,5,FALSE()))</f>
        <v>1574</v>
      </c>
    </row>
    <row r="1565" spans="1:9" ht="26" customHeight="1">
      <c r="A1565" s="2" t="s">
        <v>177</v>
      </c>
      <c r="B1565" s="13" t="s">
        <v>180</v>
      </c>
      <c r="C1565" s="13" t="s">
        <v>97</v>
      </c>
      <c r="D1565" s="13">
        <v>28</v>
      </c>
      <c r="E1565" s="2" t="s">
        <v>125</v>
      </c>
      <c r="F1565" s="7">
        <v>1332</v>
      </c>
      <c r="G1565" s="3">
        <f>F1565+(VLOOKUP(D1565,'(Semelles.Monument.€HT)'!C:G,3,FALSE()))</f>
        <v>1562</v>
      </c>
      <c r="H1565" s="4">
        <f>F1565+(VLOOKUP(D1565,'(Semelles.Monument.€HT)'!C:G,4,FALSE()))</f>
        <v>1629</v>
      </c>
      <c r="I1565" s="5">
        <f>F1565+(VLOOKUP(D1565,'(Semelles.Monument.€HT)'!C:G,5,FALSE()))</f>
        <v>1699</v>
      </c>
    </row>
    <row r="1566" spans="1:9" ht="26" customHeight="1">
      <c r="A1566" s="17" t="s">
        <v>177</v>
      </c>
      <c r="B1566" s="18" t="s">
        <v>180</v>
      </c>
      <c r="C1566" s="18" t="s">
        <v>97</v>
      </c>
      <c r="D1566" s="18">
        <v>29</v>
      </c>
      <c r="E1566" s="17" t="s">
        <v>126</v>
      </c>
      <c r="F1566" s="19">
        <v>1164</v>
      </c>
      <c r="G1566" s="20">
        <f>F1566+(VLOOKUP(D1566,'(Semelles.Monument.€HT)'!C:G,3,FALSE()))</f>
        <v>1404</v>
      </c>
      <c r="H1566" s="21">
        <f>F1566+(VLOOKUP(D1566,'(Semelles.Monument.€HT)'!C:G,4,FALSE()))</f>
        <v>1473</v>
      </c>
      <c r="I1566" s="22">
        <f>F1566+(VLOOKUP(D1566,'(Semelles.Monument.€HT)'!C:G,5,FALSE()))</f>
        <v>1546</v>
      </c>
    </row>
    <row r="1567" spans="1:9" ht="26" customHeight="1">
      <c r="A1567" s="2" t="s">
        <v>177</v>
      </c>
      <c r="B1567" s="13" t="s">
        <v>180</v>
      </c>
      <c r="C1567" s="13" t="s">
        <v>97</v>
      </c>
      <c r="D1567" s="13">
        <v>30</v>
      </c>
      <c r="E1567" s="2" t="s">
        <v>127</v>
      </c>
      <c r="F1567" s="7">
        <v>1164</v>
      </c>
      <c r="G1567" s="3">
        <f>F1567+(VLOOKUP(D1567,'(Semelles.Monument.€HT)'!C:G,3,FALSE()))</f>
        <v>1404</v>
      </c>
      <c r="H1567" s="4">
        <f>F1567+(VLOOKUP(D1567,'(Semelles.Monument.€HT)'!C:G,4,FALSE()))</f>
        <v>1473</v>
      </c>
      <c r="I1567" s="5">
        <f>F1567+(VLOOKUP(D1567,'(Semelles.Monument.€HT)'!C:G,5,FALSE()))</f>
        <v>1546</v>
      </c>
    </row>
    <row r="1568" spans="1:9" ht="26" customHeight="1">
      <c r="A1568" s="17" t="s">
        <v>177</v>
      </c>
      <c r="B1568" s="18" t="s">
        <v>180</v>
      </c>
      <c r="C1568" s="18" t="s">
        <v>128</v>
      </c>
      <c r="D1568" s="18">
        <v>31</v>
      </c>
      <c r="E1568" s="17" t="s">
        <v>129</v>
      </c>
      <c r="F1568" s="19">
        <v>744</v>
      </c>
      <c r="G1568" s="20">
        <f>F1568+(VLOOKUP(D1568,'(Semelles.Monument.€HT)'!C:G,3,FALSE()))</f>
        <v>876</v>
      </c>
      <c r="H1568" s="21">
        <f>F1568+(VLOOKUP(D1568,'(Semelles.Monument.€HT)'!C:G,4,FALSE()))</f>
        <v>914</v>
      </c>
      <c r="I1568" s="22">
        <f>F1568+(VLOOKUP(D1568,'(Semelles.Monument.€HT)'!C:G,5,FALSE()))</f>
        <v>954</v>
      </c>
    </row>
    <row r="1569" spans="1:9" ht="26" customHeight="1">
      <c r="A1569" s="2" t="s">
        <v>177</v>
      </c>
      <c r="B1569" s="13" t="s">
        <v>180</v>
      </c>
      <c r="C1569" s="13" t="s">
        <v>128</v>
      </c>
      <c r="D1569" s="13">
        <v>32</v>
      </c>
      <c r="E1569" s="2" t="s">
        <v>130</v>
      </c>
      <c r="F1569" s="7">
        <v>755</v>
      </c>
      <c r="G1569" s="3">
        <f>F1569+(VLOOKUP(D1569,'(Semelles.Monument.€HT)'!C:G,3,FALSE()))</f>
        <v>889</v>
      </c>
      <c r="H1569" s="4">
        <f>F1569+(VLOOKUP(D1569,'(Semelles.Monument.€HT)'!C:G,4,FALSE()))</f>
        <v>928</v>
      </c>
      <c r="I1569" s="5">
        <f>F1569+(VLOOKUP(D1569,'(Semelles.Monument.€HT)'!C:G,5,FALSE()))</f>
        <v>968</v>
      </c>
    </row>
    <row r="1570" spans="1:9" ht="26" customHeight="1">
      <c r="A1570" s="17" t="s">
        <v>177</v>
      </c>
      <c r="B1570" s="18" t="s">
        <v>180</v>
      </c>
      <c r="C1570" s="18" t="s">
        <v>128</v>
      </c>
      <c r="D1570" s="18">
        <v>33</v>
      </c>
      <c r="E1570" s="17" t="s">
        <v>131</v>
      </c>
      <c r="F1570" s="19">
        <v>755</v>
      </c>
      <c r="G1570" s="20">
        <f>F1570+(VLOOKUP(D1570,'(Semelles.Monument.€HT)'!C:G,3,FALSE()))</f>
        <v>889</v>
      </c>
      <c r="H1570" s="21">
        <f>F1570+(VLOOKUP(D1570,'(Semelles.Monument.€HT)'!C:G,4,FALSE()))</f>
        <v>928</v>
      </c>
      <c r="I1570" s="22">
        <f>F1570+(VLOOKUP(D1570,'(Semelles.Monument.€HT)'!C:G,5,FALSE()))</f>
        <v>968</v>
      </c>
    </row>
    <row r="1571" spans="1:9" ht="26" customHeight="1">
      <c r="A1571" s="2" t="s">
        <v>177</v>
      </c>
      <c r="B1571" s="13" t="s">
        <v>180</v>
      </c>
      <c r="C1571" s="13" t="s">
        <v>128</v>
      </c>
      <c r="D1571" s="13">
        <v>34</v>
      </c>
      <c r="E1571" s="2" t="s">
        <v>132</v>
      </c>
      <c r="F1571" s="7">
        <v>762</v>
      </c>
      <c r="G1571" s="3">
        <f>F1571+(VLOOKUP(D1571,'(Semelles.Monument.€HT)'!C:G,3,FALSE()))</f>
        <v>897</v>
      </c>
      <c r="H1571" s="4">
        <f>F1571+(VLOOKUP(D1571,'(Semelles.Monument.€HT)'!C:G,4,FALSE()))</f>
        <v>936</v>
      </c>
      <c r="I1571" s="5">
        <f>F1571+(VLOOKUP(D1571,'(Semelles.Monument.€HT)'!C:G,5,FALSE()))</f>
        <v>977</v>
      </c>
    </row>
    <row r="1572" spans="1:9" ht="26" customHeight="1">
      <c r="A1572" s="17" t="s">
        <v>177</v>
      </c>
      <c r="B1572" s="18" t="s">
        <v>180</v>
      </c>
      <c r="C1572" s="18" t="s">
        <v>128</v>
      </c>
      <c r="D1572" s="18">
        <v>35</v>
      </c>
      <c r="E1572" s="17" t="s">
        <v>133</v>
      </c>
      <c r="F1572" s="19">
        <v>916</v>
      </c>
      <c r="G1572" s="20">
        <f>F1572+(VLOOKUP(D1572,'(Semelles.Monument.€HT)'!C:G,3,FALSE()))</f>
        <v>1079</v>
      </c>
      <c r="H1572" s="21">
        <f>F1572+(VLOOKUP(D1572,'(Semelles.Monument.€HT)'!C:G,4,FALSE()))</f>
        <v>1126</v>
      </c>
      <c r="I1572" s="22">
        <f>F1572+(VLOOKUP(D1572,'(Semelles.Monument.€HT)'!C:G,5,FALSE()))</f>
        <v>1175</v>
      </c>
    </row>
    <row r="1573" spans="1:9" ht="26" customHeight="1">
      <c r="A1573" s="2" t="s">
        <v>177</v>
      </c>
      <c r="B1573" s="13" t="s">
        <v>180</v>
      </c>
      <c r="C1573" s="13" t="s">
        <v>128</v>
      </c>
      <c r="D1573" s="13">
        <v>36</v>
      </c>
      <c r="E1573" s="2" t="s">
        <v>134</v>
      </c>
      <c r="F1573" s="7">
        <v>948</v>
      </c>
      <c r="G1573" s="3">
        <f>F1573+(VLOOKUP(D1573,'(Semelles.Monument.€HT)'!C:G,3,FALSE()))</f>
        <v>1116</v>
      </c>
      <c r="H1573" s="4">
        <f>F1573+(VLOOKUP(D1573,'(Semelles.Monument.€HT)'!C:G,4,FALSE()))</f>
        <v>1165</v>
      </c>
      <c r="I1573" s="5">
        <f>F1573+(VLOOKUP(D1573,'(Semelles.Monument.€HT)'!C:G,5,FALSE()))</f>
        <v>1216</v>
      </c>
    </row>
    <row r="1574" spans="1:9" ht="26" customHeight="1">
      <c r="A1574" s="17" t="s">
        <v>177</v>
      </c>
      <c r="B1574" s="18" t="s">
        <v>180</v>
      </c>
      <c r="C1574" s="18" t="s">
        <v>128</v>
      </c>
      <c r="D1574" s="18">
        <v>37</v>
      </c>
      <c r="E1574" s="17" t="s">
        <v>135</v>
      </c>
      <c r="F1574" s="19">
        <v>1170</v>
      </c>
      <c r="G1574" s="20">
        <f>F1574+(VLOOKUP(D1574,'(Semelles.Monument.€HT)'!C:G,3,FALSE()))</f>
        <v>1378</v>
      </c>
      <c r="H1574" s="21">
        <f>F1574+(VLOOKUP(D1574,'(Semelles.Monument.€HT)'!C:G,4,FALSE()))</f>
        <v>1438</v>
      </c>
      <c r="I1574" s="22">
        <f>F1574+(VLOOKUP(D1574,'(Semelles.Monument.€HT)'!C:G,5,FALSE()))</f>
        <v>1502</v>
      </c>
    </row>
    <row r="1575" spans="1:9" ht="26" customHeight="1">
      <c r="A1575" s="2" t="s">
        <v>177</v>
      </c>
      <c r="B1575" s="13" t="s">
        <v>180</v>
      </c>
      <c r="C1575" s="13" t="s">
        <v>128</v>
      </c>
      <c r="D1575" s="13">
        <v>38</v>
      </c>
      <c r="E1575" s="2" t="s">
        <v>136</v>
      </c>
      <c r="F1575" s="7">
        <v>1238</v>
      </c>
      <c r="G1575" s="3">
        <f>F1575+(VLOOKUP(D1575,'(Semelles.Monument.€HT)'!C:G,3,FALSE()))</f>
        <v>1458</v>
      </c>
      <c r="H1575" s="4">
        <f>F1575+(VLOOKUP(D1575,'(Semelles.Monument.€HT)'!C:G,4,FALSE()))</f>
        <v>1522</v>
      </c>
      <c r="I1575" s="5">
        <f>F1575+(VLOOKUP(D1575,'(Semelles.Monument.€HT)'!C:G,5,FALSE()))</f>
        <v>1589</v>
      </c>
    </row>
    <row r="1576" spans="1:9" ht="26" customHeight="1">
      <c r="A1576" s="17" t="s">
        <v>177</v>
      </c>
      <c r="B1576" s="18" t="s">
        <v>180</v>
      </c>
      <c r="C1576" s="18" t="s">
        <v>128</v>
      </c>
      <c r="D1576" s="18">
        <v>39</v>
      </c>
      <c r="E1576" s="17" t="s">
        <v>137</v>
      </c>
      <c r="F1576" s="19">
        <v>1270</v>
      </c>
      <c r="G1576" s="20">
        <f>F1576+(VLOOKUP(D1576,'(Semelles.Monument.€HT)'!C:G,3,FALSE()))</f>
        <v>1496</v>
      </c>
      <c r="H1576" s="21">
        <f>F1576+(VLOOKUP(D1576,'(Semelles.Monument.€HT)'!C:G,4,FALSE()))</f>
        <v>1561</v>
      </c>
      <c r="I1576" s="22">
        <f>F1576+(VLOOKUP(D1576,'(Semelles.Monument.€HT)'!C:G,5,FALSE()))</f>
        <v>1630</v>
      </c>
    </row>
    <row r="1577" spans="1:9" ht="26" customHeight="1">
      <c r="A1577" s="2" t="s">
        <v>177</v>
      </c>
      <c r="B1577" s="13" t="s">
        <v>180</v>
      </c>
      <c r="C1577" s="13" t="s">
        <v>128</v>
      </c>
      <c r="D1577" s="13">
        <v>40</v>
      </c>
      <c r="E1577" s="2" t="s">
        <v>138</v>
      </c>
      <c r="F1577" s="7">
        <v>1306</v>
      </c>
      <c r="G1577" s="3">
        <f>F1577+(VLOOKUP(D1577,'(Semelles.Monument.€HT)'!C:G,3,FALSE()))</f>
        <v>1538</v>
      </c>
      <c r="H1577" s="4">
        <f>F1577+(VLOOKUP(D1577,'(Semelles.Monument.€HT)'!C:G,4,FALSE()))</f>
        <v>1606</v>
      </c>
      <c r="I1577" s="5">
        <f>F1577+(VLOOKUP(D1577,'(Semelles.Monument.€HT)'!C:G,5,FALSE()))</f>
        <v>1676</v>
      </c>
    </row>
    <row r="1578" spans="1:9" ht="26" customHeight="1">
      <c r="A1578" s="17" t="s">
        <v>177</v>
      </c>
      <c r="B1578" s="18" t="s">
        <v>180</v>
      </c>
      <c r="C1578" s="18" t="s">
        <v>128</v>
      </c>
      <c r="D1578" s="18">
        <v>41</v>
      </c>
      <c r="E1578" s="17" t="s">
        <v>139</v>
      </c>
      <c r="F1578" s="19">
        <v>1388</v>
      </c>
      <c r="G1578" s="20">
        <f>F1578+(VLOOKUP(D1578,'(Semelles.Monument.€HT)'!C:G,3,FALSE()))</f>
        <v>1635</v>
      </c>
      <c r="H1578" s="21">
        <f>F1578+(VLOOKUP(D1578,'(Semelles.Monument.€HT)'!C:G,4,FALSE()))</f>
        <v>1707</v>
      </c>
      <c r="I1578" s="22">
        <f>F1578+(VLOOKUP(D1578,'(Semelles.Monument.€HT)'!C:G,5,FALSE()))</f>
        <v>1782</v>
      </c>
    </row>
    <row r="1579" spans="1:9" ht="26" customHeight="1">
      <c r="A1579" s="2" t="s">
        <v>177</v>
      </c>
      <c r="B1579" s="13" t="s">
        <v>180</v>
      </c>
      <c r="C1579" s="13" t="s">
        <v>128</v>
      </c>
      <c r="D1579" s="13">
        <v>42</v>
      </c>
      <c r="E1579" s="2" t="s">
        <v>140</v>
      </c>
      <c r="F1579" s="7">
        <v>1524</v>
      </c>
      <c r="G1579" s="3">
        <f>F1579+(VLOOKUP(D1579,'(Semelles.Monument.€HT)'!C:G,3,FALSE()))</f>
        <v>1795</v>
      </c>
      <c r="H1579" s="4">
        <f>F1579+(VLOOKUP(D1579,'(Semelles.Monument.€HT)'!C:G,4,FALSE()))</f>
        <v>1874</v>
      </c>
      <c r="I1579" s="5">
        <f>F1579+(VLOOKUP(D1579,'(Semelles.Monument.€HT)'!C:G,5,FALSE()))</f>
        <v>1957</v>
      </c>
    </row>
    <row r="1580" spans="1:9" ht="26" customHeight="1">
      <c r="A1580" s="17" t="s">
        <v>177</v>
      </c>
      <c r="B1580" s="18" t="s">
        <v>180</v>
      </c>
      <c r="C1580" s="18" t="s">
        <v>128</v>
      </c>
      <c r="D1580" s="18">
        <v>43</v>
      </c>
      <c r="E1580" s="17" t="s">
        <v>141</v>
      </c>
      <c r="F1580" s="19">
        <v>1524</v>
      </c>
      <c r="G1580" s="20">
        <f>F1580+(VLOOKUP(D1580,'(Semelles.Monument.€HT)'!C:G,3,FALSE()))</f>
        <v>1795</v>
      </c>
      <c r="H1580" s="21">
        <f>F1580+(VLOOKUP(D1580,'(Semelles.Monument.€HT)'!C:G,4,FALSE()))</f>
        <v>1874</v>
      </c>
      <c r="I1580" s="22">
        <f>F1580+(VLOOKUP(D1580,'(Semelles.Monument.€HT)'!C:G,5,FALSE()))</f>
        <v>1957</v>
      </c>
    </row>
    <row r="1581" spans="1:9" ht="26" customHeight="1">
      <c r="A1581" s="2" t="s">
        <v>177</v>
      </c>
      <c r="B1581" s="13" t="s">
        <v>180</v>
      </c>
      <c r="C1581" s="13" t="s">
        <v>128</v>
      </c>
      <c r="D1581" s="13">
        <v>44</v>
      </c>
      <c r="E1581" s="2" t="s">
        <v>142</v>
      </c>
      <c r="F1581" s="7">
        <v>1542</v>
      </c>
      <c r="G1581" s="3">
        <f>F1581+(VLOOKUP(D1581,'(Semelles.Monument.€HT)'!C:G,3,FALSE()))</f>
        <v>1817</v>
      </c>
      <c r="H1581" s="4">
        <f>F1581+(VLOOKUP(D1581,'(Semelles.Monument.€HT)'!C:G,4,FALSE()))</f>
        <v>1896</v>
      </c>
      <c r="I1581" s="5">
        <f>F1581+(VLOOKUP(D1581,'(Semelles.Monument.€HT)'!C:G,5,FALSE()))</f>
        <v>1980</v>
      </c>
    </row>
    <row r="1582" spans="1:9" ht="26" customHeight="1">
      <c r="A1582" s="17" t="s">
        <v>177</v>
      </c>
      <c r="B1582" s="18" t="s">
        <v>180</v>
      </c>
      <c r="C1582" s="18" t="s">
        <v>128</v>
      </c>
      <c r="D1582" s="18">
        <v>45</v>
      </c>
      <c r="E1582" s="17" t="s">
        <v>143</v>
      </c>
      <c r="F1582" s="19">
        <v>1559</v>
      </c>
      <c r="G1582" s="20">
        <f>F1582+(VLOOKUP(D1582,'(Semelles.Monument.€HT)'!C:G,3,FALSE()))</f>
        <v>1837</v>
      </c>
      <c r="H1582" s="21">
        <f>F1582+(VLOOKUP(D1582,'(Semelles.Monument.€HT)'!C:G,4,FALSE()))</f>
        <v>1917</v>
      </c>
      <c r="I1582" s="22">
        <f>F1582+(VLOOKUP(D1582,'(Semelles.Monument.€HT)'!C:G,5,FALSE()))</f>
        <v>2002</v>
      </c>
    </row>
    <row r="1583" spans="1:9" ht="26" customHeight="1">
      <c r="A1583" s="2" t="s">
        <v>177</v>
      </c>
      <c r="B1583" s="13" t="s">
        <v>180</v>
      </c>
      <c r="C1583" s="13" t="s">
        <v>128</v>
      </c>
      <c r="D1583" s="13">
        <v>46</v>
      </c>
      <c r="E1583" s="2" t="s">
        <v>144</v>
      </c>
      <c r="F1583" s="7">
        <v>1559</v>
      </c>
      <c r="G1583" s="3">
        <f>F1583+(VLOOKUP(D1583,'(Semelles.Monument.€HT)'!C:G,3,FALSE()))</f>
        <v>1837</v>
      </c>
      <c r="H1583" s="4">
        <f>F1583+(VLOOKUP(D1583,'(Semelles.Monument.€HT)'!C:G,4,FALSE()))</f>
        <v>1917</v>
      </c>
      <c r="I1583" s="5">
        <f>F1583+(VLOOKUP(D1583,'(Semelles.Monument.€HT)'!C:G,5,FALSE()))</f>
        <v>2002</v>
      </c>
    </row>
    <row r="1584" spans="1:9" ht="26" customHeight="1">
      <c r="A1584" s="17" t="s">
        <v>177</v>
      </c>
      <c r="B1584" s="18" t="s">
        <v>180</v>
      </c>
      <c r="C1584" s="18" t="s">
        <v>128</v>
      </c>
      <c r="D1584" s="18">
        <v>47</v>
      </c>
      <c r="E1584" s="17" t="s">
        <v>145</v>
      </c>
      <c r="F1584" s="19">
        <v>1592</v>
      </c>
      <c r="G1584" s="20">
        <f>F1584+(VLOOKUP(D1584,'(Semelles.Monument.€HT)'!C:G,3,FALSE()))</f>
        <v>1876</v>
      </c>
      <c r="H1584" s="21">
        <f>F1584+(VLOOKUP(D1584,'(Semelles.Monument.€HT)'!C:G,4,FALSE()))</f>
        <v>1958</v>
      </c>
      <c r="I1584" s="22">
        <f>F1584+(VLOOKUP(D1584,'(Semelles.Monument.€HT)'!C:G,5,FALSE()))</f>
        <v>2044</v>
      </c>
    </row>
    <row r="1585" spans="1:9" ht="26" customHeight="1">
      <c r="A1585" s="2" t="s">
        <v>177</v>
      </c>
      <c r="B1585" s="13" t="s">
        <v>180</v>
      </c>
      <c r="C1585" s="13" t="s">
        <v>128</v>
      </c>
      <c r="D1585" s="13">
        <v>48</v>
      </c>
      <c r="E1585" s="2" t="s">
        <v>146</v>
      </c>
      <c r="F1585" s="7">
        <v>1610</v>
      </c>
      <c r="G1585" s="3">
        <f>F1585+(VLOOKUP(D1585,'(Semelles.Monument.€HT)'!C:G,3,FALSE()))</f>
        <v>1897</v>
      </c>
      <c r="H1585" s="4">
        <f>F1585+(VLOOKUP(D1585,'(Semelles.Monument.€HT)'!C:G,4,FALSE()))</f>
        <v>1980</v>
      </c>
      <c r="I1585" s="5">
        <f>F1585+(VLOOKUP(D1585,'(Semelles.Monument.€HT)'!C:G,5,FALSE()))</f>
        <v>2067</v>
      </c>
    </row>
    <row r="1586" spans="1:9" ht="26" customHeight="1">
      <c r="A1586" s="17" t="s">
        <v>181</v>
      </c>
      <c r="B1586" s="18" t="s">
        <v>182</v>
      </c>
      <c r="C1586" s="18" t="s">
        <v>97</v>
      </c>
      <c r="D1586" s="18">
        <v>1</v>
      </c>
      <c r="E1586" s="17" t="s">
        <v>98</v>
      </c>
      <c r="F1586" s="19">
        <v>552</v>
      </c>
      <c r="G1586" s="20">
        <f>F1586+(VLOOKUP(D1586,'(Semelles.Monument.€HT)'!C:G,3,FALSE()))</f>
        <v>710</v>
      </c>
      <c r="H1586" s="21">
        <f>F1586+(VLOOKUP(D1586,'(Semelles.Monument.€HT)'!C:G,4,FALSE()))</f>
        <v>756</v>
      </c>
      <c r="I1586" s="22">
        <f>F1586+(VLOOKUP(D1586,'(Semelles.Monument.€HT)'!C:G,5,FALSE()))</f>
        <v>804</v>
      </c>
    </row>
    <row r="1587" spans="1:9" ht="26" customHeight="1">
      <c r="A1587" s="2" t="s">
        <v>181</v>
      </c>
      <c r="B1587" s="13" t="s">
        <v>182</v>
      </c>
      <c r="C1587" s="13" t="s">
        <v>97</v>
      </c>
      <c r="D1587" s="13">
        <v>2</v>
      </c>
      <c r="E1587" s="2" t="s">
        <v>99</v>
      </c>
      <c r="F1587" s="7">
        <v>551</v>
      </c>
      <c r="G1587" s="3">
        <f>F1587+(VLOOKUP(D1587,'(Semelles.Monument.€HT)'!C:G,3,FALSE()))</f>
        <v>709</v>
      </c>
      <c r="H1587" s="4">
        <f>F1587+(VLOOKUP(D1587,'(Semelles.Monument.€HT)'!C:G,4,FALSE()))</f>
        <v>755</v>
      </c>
      <c r="I1587" s="5">
        <f>F1587+(VLOOKUP(D1587,'(Semelles.Monument.€HT)'!C:G,5,FALSE()))</f>
        <v>803</v>
      </c>
    </row>
    <row r="1588" spans="1:9" ht="26" customHeight="1">
      <c r="A1588" s="17" t="s">
        <v>181</v>
      </c>
      <c r="B1588" s="18" t="s">
        <v>182</v>
      </c>
      <c r="C1588" s="18" t="s">
        <v>97</v>
      </c>
      <c r="D1588" s="18">
        <v>3</v>
      </c>
      <c r="E1588" s="17" t="s">
        <v>100</v>
      </c>
      <c r="F1588" s="19">
        <v>613</v>
      </c>
      <c r="G1588" s="20">
        <f>F1588+(VLOOKUP(D1588,'(Semelles.Monument.€HT)'!C:G,3,FALSE()))</f>
        <v>789</v>
      </c>
      <c r="H1588" s="21">
        <f>F1588+(VLOOKUP(D1588,'(Semelles.Monument.€HT)'!C:G,4,FALSE()))</f>
        <v>840</v>
      </c>
      <c r="I1588" s="22">
        <f>F1588+(VLOOKUP(D1588,'(Semelles.Monument.€HT)'!C:G,5,FALSE()))</f>
        <v>893</v>
      </c>
    </row>
    <row r="1589" spans="1:9" ht="26" customHeight="1">
      <c r="A1589" s="2" t="s">
        <v>181</v>
      </c>
      <c r="B1589" s="13" t="s">
        <v>182</v>
      </c>
      <c r="C1589" s="13" t="s">
        <v>97</v>
      </c>
      <c r="D1589" s="13">
        <v>4</v>
      </c>
      <c r="E1589" s="2" t="s">
        <v>101</v>
      </c>
      <c r="F1589" s="7">
        <v>628</v>
      </c>
      <c r="G1589" s="3">
        <f>F1589+(VLOOKUP(D1589,'(Semelles.Monument.€HT)'!C:G,3,FALSE()))</f>
        <v>807</v>
      </c>
      <c r="H1589" s="4">
        <f>F1589+(VLOOKUP(D1589,'(Semelles.Monument.€HT)'!C:G,4,FALSE()))</f>
        <v>859</v>
      </c>
      <c r="I1589" s="5">
        <f>F1589+(VLOOKUP(D1589,'(Semelles.Monument.€HT)'!C:G,5,FALSE()))</f>
        <v>913</v>
      </c>
    </row>
    <row r="1590" spans="1:9" ht="26" customHeight="1">
      <c r="A1590" s="17" t="s">
        <v>181</v>
      </c>
      <c r="B1590" s="18" t="s">
        <v>182</v>
      </c>
      <c r="C1590" s="18" t="s">
        <v>97</v>
      </c>
      <c r="D1590" s="18">
        <v>5</v>
      </c>
      <c r="E1590" s="17" t="s">
        <v>102</v>
      </c>
      <c r="F1590" s="19">
        <v>628</v>
      </c>
      <c r="G1590" s="20">
        <f>F1590+(VLOOKUP(D1590,'(Semelles.Monument.€HT)'!C:G,3,FALSE()))</f>
        <v>807</v>
      </c>
      <c r="H1590" s="21">
        <f>F1590+(VLOOKUP(D1590,'(Semelles.Monument.€HT)'!C:G,4,FALSE()))</f>
        <v>859</v>
      </c>
      <c r="I1590" s="22">
        <f>F1590+(VLOOKUP(D1590,'(Semelles.Monument.€HT)'!C:G,5,FALSE()))</f>
        <v>913</v>
      </c>
    </row>
    <row r="1591" spans="1:9" ht="26" customHeight="1">
      <c r="A1591" s="2" t="s">
        <v>181</v>
      </c>
      <c r="B1591" s="13" t="s">
        <v>182</v>
      </c>
      <c r="C1591" s="13" t="s">
        <v>97</v>
      </c>
      <c r="D1591" s="13">
        <v>6</v>
      </c>
      <c r="E1591" s="2" t="s">
        <v>103</v>
      </c>
      <c r="F1591" s="7">
        <v>631</v>
      </c>
      <c r="G1591" s="3">
        <f>F1591+(VLOOKUP(D1591,'(Semelles.Monument.€HT)'!C:G,3,FALSE()))</f>
        <v>811</v>
      </c>
      <c r="H1591" s="4">
        <f>F1591+(VLOOKUP(D1591,'(Semelles.Monument.€HT)'!C:G,4,FALSE()))</f>
        <v>863</v>
      </c>
      <c r="I1591" s="5">
        <f>F1591+(VLOOKUP(D1591,'(Semelles.Monument.€HT)'!C:G,5,FALSE()))</f>
        <v>918</v>
      </c>
    </row>
    <row r="1592" spans="1:9" ht="26" customHeight="1">
      <c r="A1592" s="17" t="s">
        <v>181</v>
      </c>
      <c r="B1592" s="18" t="s">
        <v>182</v>
      </c>
      <c r="C1592" s="18" t="s">
        <v>97</v>
      </c>
      <c r="D1592" s="18">
        <v>7</v>
      </c>
      <c r="E1592" s="17" t="s">
        <v>104</v>
      </c>
      <c r="F1592" s="19">
        <v>631</v>
      </c>
      <c r="G1592" s="20">
        <f>F1592+(VLOOKUP(D1592,'(Semelles.Monument.€HT)'!C:G,3,FALSE()))</f>
        <v>811</v>
      </c>
      <c r="H1592" s="21">
        <f>F1592+(VLOOKUP(D1592,'(Semelles.Monument.€HT)'!C:G,4,FALSE()))</f>
        <v>863</v>
      </c>
      <c r="I1592" s="22">
        <f>F1592+(VLOOKUP(D1592,'(Semelles.Monument.€HT)'!C:G,5,FALSE()))</f>
        <v>918</v>
      </c>
    </row>
    <row r="1593" spans="1:9" ht="26" customHeight="1">
      <c r="A1593" s="2" t="s">
        <v>181</v>
      </c>
      <c r="B1593" s="13" t="s">
        <v>182</v>
      </c>
      <c r="C1593" s="13" t="s">
        <v>97</v>
      </c>
      <c r="D1593" s="13">
        <v>8</v>
      </c>
      <c r="E1593" s="2" t="s">
        <v>105</v>
      </c>
      <c r="F1593" s="7">
        <v>631</v>
      </c>
      <c r="G1593" s="3">
        <f>F1593+(VLOOKUP(D1593,'(Semelles.Monument.€HT)'!C:G,3,FALSE()))</f>
        <v>811</v>
      </c>
      <c r="H1593" s="4">
        <f>F1593+(VLOOKUP(D1593,'(Semelles.Monument.€HT)'!C:G,4,FALSE()))</f>
        <v>863</v>
      </c>
      <c r="I1593" s="5">
        <f>F1593+(VLOOKUP(D1593,'(Semelles.Monument.€HT)'!C:G,5,FALSE()))</f>
        <v>918</v>
      </c>
    </row>
    <row r="1594" spans="1:9" ht="26" customHeight="1">
      <c r="A1594" s="17" t="s">
        <v>181</v>
      </c>
      <c r="B1594" s="18" t="s">
        <v>182</v>
      </c>
      <c r="C1594" s="18" t="s">
        <v>97</v>
      </c>
      <c r="D1594" s="18">
        <v>9</v>
      </c>
      <c r="E1594" s="17" t="s">
        <v>106</v>
      </c>
      <c r="F1594" s="19">
        <v>631</v>
      </c>
      <c r="G1594" s="20">
        <f>F1594+(VLOOKUP(D1594,'(Semelles.Monument.€HT)'!C:G,3,FALSE()))</f>
        <v>811</v>
      </c>
      <c r="H1594" s="21">
        <f>F1594+(VLOOKUP(D1594,'(Semelles.Monument.€HT)'!C:G,4,FALSE()))</f>
        <v>863</v>
      </c>
      <c r="I1594" s="22">
        <f>F1594+(VLOOKUP(D1594,'(Semelles.Monument.€HT)'!C:G,5,FALSE()))</f>
        <v>918</v>
      </c>
    </row>
    <row r="1595" spans="1:9" ht="26" customHeight="1">
      <c r="A1595" s="2" t="s">
        <v>181</v>
      </c>
      <c r="B1595" s="13" t="s">
        <v>182</v>
      </c>
      <c r="C1595" s="13" t="s">
        <v>97</v>
      </c>
      <c r="D1595" s="13">
        <v>10</v>
      </c>
      <c r="E1595" s="2" t="s">
        <v>107</v>
      </c>
      <c r="F1595" s="7">
        <v>631</v>
      </c>
      <c r="G1595" s="3">
        <f>F1595+(VLOOKUP(D1595,'(Semelles.Monument.€HT)'!C:G,3,FALSE()))</f>
        <v>811</v>
      </c>
      <c r="H1595" s="4">
        <f>F1595+(VLOOKUP(D1595,'(Semelles.Monument.€HT)'!C:G,4,FALSE()))</f>
        <v>863</v>
      </c>
      <c r="I1595" s="5">
        <f>F1595+(VLOOKUP(D1595,'(Semelles.Monument.€HT)'!C:G,5,FALSE()))</f>
        <v>918</v>
      </c>
    </row>
    <row r="1596" spans="1:9" ht="26" customHeight="1">
      <c r="A1596" s="17" t="s">
        <v>181</v>
      </c>
      <c r="B1596" s="18" t="s">
        <v>182</v>
      </c>
      <c r="C1596" s="18" t="s">
        <v>97</v>
      </c>
      <c r="D1596" s="18">
        <v>11</v>
      </c>
      <c r="E1596" s="17" t="s">
        <v>108</v>
      </c>
      <c r="F1596" s="19">
        <v>631</v>
      </c>
      <c r="G1596" s="20">
        <f>F1596+(VLOOKUP(D1596,'(Semelles.Monument.€HT)'!C:G,3,FALSE()))</f>
        <v>811</v>
      </c>
      <c r="H1596" s="21">
        <f>F1596+(VLOOKUP(D1596,'(Semelles.Monument.€HT)'!C:G,4,FALSE()))</f>
        <v>863</v>
      </c>
      <c r="I1596" s="22">
        <f>F1596+(VLOOKUP(D1596,'(Semelles.Monument.€HT)'!C:G,5,FALSE()))</f>
        <v>918</v>
      </c>
    </row>
    <row r="1597" spans="1:9" ht="26" customHeight="1">
      <c r="A1597" s="2" t="s">
        <v>181</v>
      </c>
      <c r="B1597" s="13" t="s">
        <v>182</v>
      </c>
      <c r="C1597" s="13" t="s">
        <v>97</v>
      </c>
      <c r="D1597" s="13">
        <v>12</v>
      </c>
      <c r="E1597" s="2" t="s">
        <v>109</v>
      </c>
      <c r="F1597" s="7">
        <v>640</v>
      </c>
      <c r="G1597" s="3">
        <f>F1597+(VLOOKUP(D1597,'(Semelles.Monument.€HT)'!C:G,3,FALSE()))</f>
        <v>822</v>
      </c>
      <c r="H1597" s="4">
        <f>F1597+(VLOOKUP(D1597,'(Semelles.Monument.€HT)'!C:G,4,FALSE()))</f>
        <v>875</v>
      </c>
      <c r="I1597" s="5">
        <f>F1597+(VLOOKUP(D1597,'(Semelles.Monument.€HT)'!C:G,5,FALSE()))</f>
        <v>931</v>
      </c>
    </row>
    <row r="1598" spans="1:9" ht="26" customHeight="1">
      <c r="A1598" s="17" t="s">
        <v>181</v>
      </c>
      <c r="B1598" s="18" t="s">
        <v>182</v>
      </c>
      <c r="C1598" s="18" t="s">
        <v>97</v>
      </c>
      <c r="D1598" s="18">
        <v>13</v>
      </c>
      <c r="E1598" s="17" t="s">
        <v>110</v>
      </c>
      <c r="F1598" s="19">
        <v>640</v>
      </c>
      <c r="G1598" s="20">
        <f>F1598+(VLOOKUP(D1598,'(Semelles.Monument.€HT)'!C:G,3,FALSE()))</f>
        <v>822</v>
      </c>
      <c r="H1598" s="21">
        <f>F1598+(VLOOKUP(D1598,'(Semelles.Monument.€HT)'!C:G,4,FALSE()))</f>
        <v>875</v>
      </c>
      <c r="I1598" s="22">
        <f>F1598+(VLOOKUP(D1598,'(Semelles.Monument.€HT)'!C:G,5,FALSE()))</f>
        <v>931</v>
      </c>
    </row>
    <row r="1599" spans="1:9" ht="26" customHeight="1">
      <c r="A1599" s="2" t="s">
        <v>181</v>
      </c>
      <c r="B1599" s="13" t="s">
        <v>182</v>
      </c>
      <c r="C1599" s="13" t="s">
        <v>97</v>
      </c>
      <c r="D1599" s="13">
        <v>14</v>
      </c>
      <c r="E1599" s="2" t="s">
        <v>111</v>
      </c>
      <c r="F1599" s="7">
        <v>642</v>
      </c>
      <c r="G1599" s="3">
        <f>F1599+(VLOOKUP(D1599,'(Semelles.Monument.€HT)'!C:G,3,FALSE()))</f>
        <v>825</v>
      </c>
      <c r="H1599" s="4">
        <f>F1599+(VLOOKUP(D1599,'(Semelles.Monument.€HT)'!C:G,4,FALSE()))</f>
        <v>878</v>
      </c>
      <c r="I1599" s="5">
        <f>F1599+(VLOOKUP(D1599,'(Semelles.Monument.€HT)'!C:G,5,FALSE()))</f>
        <v>934</v>
      </c>
    </row>
    <row r="1600" spans="1:9" ht="26" customHeight="1">
      <c r="A1600" s="17" t="s">
        <v>181</v>
      </c>
      <c r="B1600" s="18" t="s">
        <v>182</v>
      </c>
      <c r="C1600" s="18" t="s">
        <v>97</v>
      </c>
      <c r="D1600" s="18">
        <v>15</v>
      </c>
      <c r="E1600" s="17" t="s">
        <v>112</v>
      </c>
      <c r="F1600" s="19">
        <v>642</v>
      </c>
      <c r="G1600" s="20">
        <f>F1600+(VLOOKUP(D1600,'(Semelles.Monument.€HT)'!C:G,3,FALSE()))</f>
        <v>825</v>
      </c>
      <c r="H1600" s="21">
        <f>F1600+(VLOOKUP(D1600,'(Semelles.Monument.€HT)'!C:G,4,FALSE()))</f>
        <v>878</v>
      </c>
      <c r="I1600" s="22">
        <f>F1600+(VLOOKUP(D1600,'(Semelles.Monument.€HT)'!C:G,5,FALSE()))</f>
        <v>934</v>
      </c>
    </row>
    <row r="1601" spans="1:9" ht="26" customHeight="1">
      <c r="A1601" s="2" t="s">
        <v>181</v>
      </c>
      <c r="B1601" s="13" t="s">
        <v>182</v>
      </c>
      <c r="C1601" s="13" t="s">
        <v>97</v>
      </c>
      <c r="D1601" s="13">
        <v>16</v>
      </c>
      <c r="E1601" s="2" t="s">
        <v>113</v>
      </c>
      <c r="F1601" s="7">
        <v>642</v>
      </c>
      <c r="G1601" s="3">
        <f>F1601+(VLOOKUP(D1601,'(Semelles.Monument.€HT)'!C:G,3,FALSE()))</f>
        <v>825</v>
      </c>
      <c r="H1601" s="4">
        <f>F1601+(VLOOKUP(D1601,'(Semelles.Monument.€HT)'!C:G,4,FALSE()))</f>
        <v>878</v>
      </c>
      <c r="I1601" s="5">
        <f>F1601+(VLOOKUP(D1601,'(Semelles.Monument.€HT)'!C:G,5,FALSE()))</f>
        <v>934</v>
      </c>
    </row>
    <row r="1602" spans="1:9" ht="26" customHeight="1">
      <c r="A1602" s="17" t="s">
        <v>181</v>
      </c>
      <c r="B1602" s="18" t="s">
        <v>182</v>
      </c>
      <c r="C1602" s="18" t="s">
        <v>97</v>
      </c>
      <c r="D1602" s="18">
        <v>17</v>
      </c>
      <c r="E1602" s="17" t="s">
        <v>114</v>
      </c>
      <c r="F1602" s="19">
        <v>653</v>
      </c>
      <c r="G1602" s="20">
        <f>F1602+(VLOOKUP(D1602,'(Semelles.Monument.€HT)'!C:G,3,FALSE()))</f>
        <v>839</v>
      </c>
      <c r="H1602" s="21">
        <f>F1602+(VLOOKUP(D1602,'(Semelles.Monument.€HT)'!C:G,4,FALSE()))</f>
        <v>893</v>
      </c>
      <c r="I1602" s="22">
        <f>F1602+(VLOOKUP(D1602,'(Semelles.Monument.€HT)'!C:G,5,FALSE()))</f>
        <v>950</v>
      </c>
    </row>
    <row r="1603" spans="1:9" ht="26" customHeight="1">
      <c r="A1603" s="2" t="s">
        <v>181</v>
      </c>
      <c r="B1603" s="13" t="s">
        <v>182</v>
      </c>
      <c r="C1603" s="13" t="s">
        <v>97</v>
      </c>
      <c r="D1603" s="13">
        <v>18</v>
      </c>
      <c r="E1603" s="2" t="s">
        <v>115</v>
      </c>
      <c r="F1603" s="7">
        <v>653</v>
      </c>
      <c r="G1603" s="3">
        <f>F1603+(VLOOKUP(D1603,'(Semelles.Monument.€HT)'!C:G,3,FALSE()))</f>
        <v>839</v>
      </c>
      <c r="H1603" s="4">
        <f>F1603+(VLOOKUP(D1603,'(Semelles.Monument.€HT)'!C:G,4,FALSE()))</f>
        <v>893</v>
      </c>
      <c r="I1603" s="5">
        <f>F1603+(VLOOKUP(D1603,'(Semelles.Monument.€HT)'!C:G,5,FALSE()))</f>
        <v>950</v>
      </c>
    </row>
    <row r="1604" spans="1:9" ht="26" customHeight="1">
      <c r="A1604" s="17" t="s">
        <v>181</v>
      </c>
      <c r="B1604" s="18" t="s">
        <v>182</v>
      </c>
      <c r="C1604" s="18" t="s">
        <v>97</v>
      </c>
      <c r="D1604" s="18">
        <v>19</v>
      </c>
      <c r="E1604" s="17" t="s">
        <v>116</v>
      </c>
      <c r="F1604" s="19">
        <v>653</v>
      </c>
      <c r="G1604" s="20">
        <f>F1604+(VLOOKUP(D1604,'(Semelles.Monument.€HT)'!C:G,3,FALSE()))</f>
        <v>839</v>
      </c>
      <c r="H1604" s="21">
        <f>F1604+(VLOOKUP(D1604,'(Semelles.Monument.€HT)'!C:G,4,FALSE()))</f>
        <v>893</v>
      </c>
      <c r="I1604" s="22">
        <f>F1604+(VLOOKUP(D1604,'(Semelles.Monument.€HT)'!C:G,5,FALSE()))</f>
        <v>950</v>
      </c>
    </row>
    <row r="1605" spans="1:9" ht="26" customHeight="1">
      <c r="A1605" s="2" t="s">
        <v>181</v>
      </c>
      <c r="B1605" s="13" t="s">
        <v>182</v>
      </c>
      <c r="C1605" s="13" t="s">
        <v>97</v>
      </c>
      <c r="D1605" s="13">
        <v>20</v>
      </c>
      <c r="E1605" s="2" t="s">
        <v>117</v>
      </c>
      <c r="F1605" s="7">
        <v>658</v>
      </c>
      <c r="G1605" s="3">
        <f>F1605+(VLOOKUP(D1605,'(Semelles.Monument.€HT)'!C:G,3,FALSE()))</f>
        <v>846</v>
      </c>
      <c r="H1605" s="4">
        <f>F1605+(VLOOKUP(D1605,'(Semelles.Monument.€HT)'!C:G,4,FALSE()))</f>
        <v>900</v>
      </c>
      <c r="I1605" s="5">
        <f>F1605+(VLOOKUP(D1605,'(Semelles.Monument.€HT)'!C:G,5,FALSE()))</f>
        <v>957</v>
      </c>
    </row>
    <row r="1606" spans="1:9" ht="26" customHeight="1">
      <c r="A1606" s="17" t="s">
        <v>181</v>
      </c>
      <c r="B1606" s="18" t="s">
        <v>182</v>
      </c>
      <c r="C1606" s="18" t="s">
        <v>97</v>
      </c>
      <c r="D1606" s="18">
        <v>21</v>
      </c>
      <c r="E1606" s="17" t="s">
        <v>118</v>
      </c>
      <c r="F1606" s="19">
        <v>662</v>
      </c>
      <c r="G1606" s="20">
        <f>F1606+(VLOOKUP(D1606,'(Semelles.Monument.€HT)'!C:G,3,FALSE()))</f>
        <v>851</v>
      </c>
      <c r="H1606" s="21">
        <f>F1606+(VLOOKUP(D1606,'(Semelles.Monument.€HT)'!C:G,4,FALSE()))</f>
        <v>905</v>
      </c>
      <c r="I1606" s="22">
        <f>F1606+(VLOOKUP(D1606,'(Semelles.Monument.€HT)'!C:G,5,FALSE()))</f>
        <v>963</v>
      </c>
    </row>
    <row r="1607" spans="1:9" ht="26" customHeight="1">
      <c r="A1607" s="2" t="s">
        <v>181</v>
      </c>
      <c r="B1607" s="13" t="s">
        <v>182</v>
      </c>
      <c r="C1607" s="13" t="s">
        <v>97</v>
      </c>
      <c r="D1607" s="13">
        <v>22</v>
      </c>
      <c r="E1607" s="2" t="s">
        <v>119</v>
      </c>
      <c r="F1607" s="7">
        <v>662</v>
      </c>
      <c r="G1607" s="3">
        <f>F1607+(VLOOKUP(D1607,'(Semelles.Monument.€HT)'!C:G,3,FALSE()))</f>
        <v>851</v>
      </c>
      <c r="H1607" s="4">
        <f>F1607+(VLOOKUP(D1607,'(Semelles.Monument.€HT)'!C:G,4,FALSE()))</f>
        <v>905</v>
      </c>
      <c r="I1607" s="5">
        <f>F1607+(VLOOKUP(D1607,'(Semelles.Monument.€HT)'!C:G,5,FALSE()))</f>
        <v>963</v>
      </c>
    </row>
    <row r="1608" spans="1:9" ht="26" customHeight="1">
      <c r="A1608" s="17" t="s">
        <v>181</v>
      </c>
      <c r="B1608" s="18" t="s">
        <v>182</v>
      </c>
      <c r="C1608" s="18" t="s">
        <v>97</v>
      </c>
      <c r="D1608" s="18">
        <v>23</v>
      </c>
      <c r="E1608" s="17" t="s">
        <v>120</v>
      </c>
      <c r="F1608" s="19">
        <v>672</v>
      </c>
      <c r="G1608" s="20">
        <f>F1608+(VLOOKUP(D1608,'(Semelles.Monument.€HT)'!C:G,3,FALSE()))</f>
        <v>864</v>
      </c>
      <c r="H1608" s="21">
        <f>F1608+(VLOOKUP(D1608,'(Semelles.Monument.€HT)'!C:G,4,FALSE()))</f>
        <v>919</v>
      </c>
      <c r="I1608" s="22">
        <f>F1608+(VLOOKUP(D1608,'(Semelles.Monument.€HT)'!C:G,5,FALSE()))</f>
        <v>977</v>
      </c>
    </row>
    <row r="1609" spans="1:9" ht="26" customHeight="1">
      <c r="A1609" s="2" t="s">
        <v>181</v>
      </c>
      <c r="B1609" s="13" t="s">
        <v>182</v>
      </c>
      <c r="C1609" s="13" t="s">
        <v>97</v>
      </c>
      <c r="D1609" s="13">
        <v>24</v>
      </c>
      <c r="E1609" s="2" t="s">
        <v>121</v>
      </c>
      <c r="F1609" s="7">
        <v>672</v>
      </c>
      <c r="G1609" s="3">
        <f>F1609+(VLOOKUP(D1609,'(Semelles.Monument.€HT)'!C:G,3,FALSE()))</f>
        <v>864</v>
      </c>
      <c r="H1609" s="4">
        <f>F1609+(VLOOKUP(D1609,'(Semelles.Monument.€HT)'!C:G,4,FALSE()))</f>
        <v>919</v>
      </c>
      <c r="I1609" s="5">
        <f>F1609+(VLOOKUP(D1609,'(Semelles.Monument.€HT)'!C:G,5,FALSE()))</f>
        <v>977</v>
      </c>
    </row>
    <row r="1610" spans="1:9" ht="26" customHeight="1">
      <c r="A1610" s="17" t="s">
        <v>181</v>
      </c>
      <c r="B1610" s="18" t="s">
        <v>182</v>
      </c>
      <c r="C1610" s="18" t="s">
        <v>97</v>
      </c>
      <c r="D1610" s="18">
        <v>25</v>
      </c>
      <c r="E1610" s="17" t="s">
        <v>122</v>
      </c>
      <c r="F1610" s="19">
        <v>672</v>
      </c>
      <c r="G1610" s="20">
        <f>F1610+(VLOOKUP(D1610,'(Semelles.Monument.€HT)'!C:G,3,FALSE()))</f>
        <v>864</v>
      </c>
      <c r="H1610" s="21">
        <f>F1610+(VLOOKUP(D1610,'(Semelles.Monument.€HT)'!C:G,4,FALSE()))</f>
        <v>919</v>
      </c>
      <c r="I1610" s="22">
        <f>F1610+(VLOOKUP(D1610,'(Semelles.Monument.€HT)'!C:G,5,FALSE()))</f>
        <v>977</v>
      </c>
    </row>
    <row r="1611" spans="1:9" ht="26" customHeight="1">
      <c r="A1611" s="2" t="s">
        <v>181</v>
      </c>
      <c r="B1611" s="13" t="s">
        <v>182</v>
      </c>
      <c r="C1611" s="13" t="s">
        <v>97</v>
      </c>
      <c r="D1611" s="13">
        <v>26</v>
      </c>
      <c r="E1611" s="2" t="s">
        <v>123</v>
      </c>
      <c r="F1611" s="7">
        <v>683</v>
      </c>
      <c r="G1611" s="3">
        <f>F1611+(VLOOKUP(D1611,'(Semelles.Monument.€HT)'!C:G,3,FALSE()))</f>
        <v>878</v>
      </c>
      <c r="H1611" s="4">
        <f>F1611+(VLOOKUP(D1611,'(Semelles.Monument.€HT)'!C:G,4,FALSE()))</f>
        <v>934</v>
      </c>
      <c r="I1611" s="5">
        <f>F1611+(VLOOKUP(D1611,'(Semelles.Monument.€HT)'!C:G,5,FALSE()))</f>
        <v>993</v>
      </c>
    </row>
    <row r="1612" spans="1:9" ht="26" customHeight="1">
      <c r="A1612" s="17" t="s">
        <v>181</v>
      </c>
      <c r="B1612" s="18" t="s">
        <v>182</v>
      </c>
      <c r="C1612" s="18" t="s">
        <v>97</v>
      </c>
      <c r="D1612" s="18">
        <v>27</v>
      </c>
      <c r="E1612" s="17" t="s">
        <v>124</v>
      </c>
      <c r="F1612" s="19">
        <v>728</v>
      </c>
      <c r="G1612" s="20">
        <f>F1612+(VLOOKUP(D1612,'(Semelles.Monument.€HT)'!C:G,3,FALSE()))</f>
        <v>936</v>
      </c>
      <c r="H1612" s="21">
        <f>F1612+(VLOOKUP(D1612,'(Semelles.Monument.€HT)'!C:G,4,FALSE()))</f>
        <v>996</v>
      </c>
      <c r="I1612" s="22">
        <f>F1612+(VLOOKUP(D1612,'(Semelles.Monument.€HT)'!C:G,5,FALSE()))</f>
        <v>1095</v>
      </c>
    </row>
    <row r="1613" spans="1:9" ht="26" customHeight="1">
      <c r="A1613" s="2" t="s">
        <v>181</v>
      </c>
      <c r="B1613" s="13" t="s">
        <v>182</v>
      </c>
      <c r="C1613" s="13" t="s">
        <v>97</v>
      </c>
      <c r="D1613" s="13">
        <v>28</v>
      </c>
      <c r="E1613" s="2" t="s">
        <v>125</v>
      </c>
      <c r="F1613" s="7">
        <v>806</v>
      </c>
      <c r="G1613" s="3">
        <f>F1613+(VLOOKUP(D1613,'(Semelles.Monument.€HT)'!C:G,3,FALSE()))</f>
        <v>1036</v>
      </c>
      <c r="H1613" s="4">
        <f>F1613+(VLOOKUP(D1613,'(Semelles.Monument.€HT)'!C:G,4,FALSE()))</f>
        <v>1103</v>
      </c>
      <c r="I1613" s="5">
        <f>F1613+(VLOOKUP(D1613,'(Semelles.Monument.€HT)'!C:G,5,FALSE()))</f>
        <v>1173</v>
      </c>
    </row>
    <row r="1614" spans="1:9" ht="26" customHeight="1">
      <c r="A1614" s="17" t="s">
        <v>181</v>
      </c>
      <c r="B1614" s="18" t="s">
        <v>182</v>
      </c>
      <c r="C1614" s="18" t="s">
        <v>97</v>
      </c>
      <c r="D1614" s="18">
        <v>29</v>
      </c>
      <c r="E1614" s="17" t="s">
        <v>126</v>
      </c>
      <c r="F1614" s="19">
        <v>839</v>
      </c>
      <c r="G1614" s="20">
        <f>F1614+(VLOOKUP(D1614,'(Semelles.Monument.€HT)'!C:G,3,FALSE()))</f>
        <v>1079</v>
      </c>
      <c r="H1614" s="21">
        <f>F1614+(VLOOKUP(D1614,'(Semelles.Monument.€HT)'!C:G,4,FALSE()))</f>
        <v>1148</v>
      </c>
      <c r="I1614" s="22">
        <f>F1614+(VLOOKUP(D1614,'(Semelles.Monument.€HT)'!C:G,5,FALSE()))</f>
        <v>1221</v>
      </c>
    </row>
    <row r="1615" spans="1:9" ht="26" customHeight="1">
      <c r="A1615" s="2" t="s">
        <v>181</v>
      </c>
      <c r="B1615" s="13" t="s">
        <v>182</v>
      </c>
      <c r="C1615" s="13" t="s">
        <v>97</v>
      </c>
      <c r="D1615" s="13">
        <v>30</v>
      </c>
      <c r="E1615" s="2" t="s">
        <v>127</v>
      </c>
      <c r="F1615" s="7">
        <v>839</v>
      </c>
      <c r="G1615" s="3">
        <f>F1615+(VLOOKUP(D1615,'(Semelles.Monument.€HT)'!C:G,3,FALSE()))</f>
        <v>1079</v>
      </c>
      <c r="H1615" s="4">
        <f>F1615+(VLOOKUP(D1615,'(Semelles.Monument.€HT)'!C:G,4,FALSE()))</f>
        <v>1148</v>
      </c>
      <c r="I1615" s="5">
        <f>F1615+(VLOOKUP(D1615,'(Semelles.Monument.€HT)'!C:G,5,FALSE()))</f>
        <v>1221</v>
      </c>
    </row>
    <row r="1616" spans="1:9" ht="26" customHeight="1">
      <c r="A1616" s="17" t="s">
        <v>181</v>
      </c>
      <c r="B1616" s="18" t="s">
        <v>182</v>
      </c>
      <c r="C1616" s="18" t="s">
        <v>128</v>
      </c>
      <c r="D1616" s="18">
        <v>31</v>
      </c>
      <c r="E1616" s="17" t="s">
        <v>129</v>
      </c>
      <c r="F1616" s="19">
        <v>464</v>
      </c>
      <c r="G1616" s="20">
        <f>F1616+(VLOOKUP(D1616,'(Semelles.Monument.€HT)'!C:G,3,FALSE()))</f>
        <v>596</v>
      </c>
      <c r="H1616" s="21">
        <f>F1616+(VLOOKUP(D1616,'(Semelles.Monument.€HT)'!C:G,4,FALSE()))</f>
        <v>634</v>
      </c>
      <c r="I1616" s="22">
        <f>F1616+(VLOOKUP(D1616,'(Semelles.Monument.€HT)'!C:G,5,FALSE()))</f>
        <v>674</v>
      </c>
    </row>
    <row r="1617" spans="1:9" ht="26" customHeight="1">
      <c r="A1617" s="2" t="s">
        <v>181</v>
      </c>
      <c r="B1617" s="13" t="s">
        <v>182</v>
      </c>
      <c r="C1617" s="13" t="s">
        <v>128</v>
      </c>
      <c r="D1617" s="13">
        <v>32</v>
      </c>
      <c r="E1617" s="2" t="s">
        <v>130</v>
      </c>
      <c r="F1617" s="7">
        <v>471</v>
      </c>
      <c r="G1617" s="3">
        <f>F1617+(VLOOKUP(D1617,'(Semelles.Monument.€HT)'!C:G,3,FALSE()))</f>
        <v>605</v>
      </c>
      <c r="H1617" s="4">
        <f>F1617+(VLOOKUP(D1617,'(Semelles.Monument.€HT)'!C:G,4,FALSE()))</f>
        <v>644</v>
      </c>
      <c r="I1617" s="5">
        <f>F1617+(VLOOKUP(D1617,'(Semelles.Monument.€HT)'!C:G,5,FALSE()))</f>
        <v>684</v>
      </c>
    </row>
    <row r="1618" spans="1:9" ht="26" customHeight="1">
      <c r="A1618" s="17" t="s">
        <v>181</v>
      </c>
      <c r="B1618" s="18" t="s">
        <v>182</v>
      </c>
      <c r="C1618" s="18" t="s">
        <v>128</v>
      </c>
      <c r="D1618" s="18">
        <v>33</v>
      </c>
      <c r="E1618" s="17" t="s">
        <v>131</v>
      </c>
      <c r="F1618" s="19">
        <v>471</v>
      </c>
      <c r="G1618" s="20">
        <f>F1618+(VLOOKUP(D1618,'(Semelles.Monument.€HT)'!C:G,3,FALSE()))</f>
        <v>605</v>
      </c>
      <c r="H1618" s="21">
        <f>F1618+(VLOOKUP(D1618,'(Semelles.Monument.€HT)'!C:G,4,FALSE()))</f>
        <v>644</v>
      </c>
      <c r="I1618" s="22">
        <f>F1618+(VLOOKUP(D1618,'(Semelles.Monument.€HT)'!C:G,5,FALSE()))</f>
        <v>684</v>
      </c>
    </row>
    <row r="1619" spans="1:9" ht="26" customHeight="1">
      <c r="A1619" s="2" t="s">
        <v>181</v>
      </c>
      <c r="B1619" s="13" t="s">
        <v>182</v>
      </c>
      <c r="C1619" s="13" t="s">
        <v>128</v>
      </c>
      <c r="D1619" s="13">
        <v>34</v>
      </c>
      <c r="E1619" s="2" t="s">
        <v>132</v>
      </c>
      <c r="F1619" s="7">
        <v>475</v>
      </c>
      <c r="G1619" s="3">
        <f>F1619+(VLOOKUP(D1619,'(Semelles.Monument.€HT)'!C:G,3,FALSE()))</f>
        <v>610</v>
      </c>
      <c r="H1619" s="4">
        <f>F1619+(VLOOKUP(D1619,'(Semelles.Monument.€HT)'!C:G,4,FALSE()))</f>
        <v>649</v>
      </c>
      <c r="I1619" s="5">
        <f>F1619+(VLOOKUP(D1619,'(Semelles.Monument.€HT)'!C:G,5,FALSE()))</f>
        <v>690</v>
      </c>
    </row>
    <row r="1620" spans="1:9" ht="26" customHeight="1">
      <c r="A1620" s="17" t="s">
        <v>181</v>
      </c>
      <c r="B1620" s="18" t="s">
        <v>182</v>
      </c>
      <c r="C1620" s="18" t="s">
        <v>128</v>
      </c>
      <c r="D1620" s="18">
        <v>35</v>
      </c>
      <c r="E1620" s="17" t="s">
        <v>133</v>
      </c>
      <c r="F1620" s="19">
        <v>571</v>
      </c>
      <c r="G1620" s="20">
        <f>F1620+(VLOOKUP(D1620,'(Semelles.Monument.€HT)'!C:G,3,FALSE()))</f>
        <v>734</v>
      </c>
      <c r="H1620" s="21">
        <f>F1620+(VLOOKUP(D1620,'(Semelles.Monument.€HT)'!C:G,4,FALSE()))</f>
        <v>781</v>
      </c>
      <c r="I1620" s="22">
        <f>F1620+(VLOOKUP(D1620,'(Semelles.Monument.€HT)'!C:G,5,FALSE()))</f>
        <v>830</v>
      </c>
    </row>
    <row r="1621" spans="1:9" ht="26" customHeight="1">
      <c r="A1621" s="2" t="s">
        <v>181</v>
      </c>
      <c r="B1621" s="13" t="s">
        <v>182</v>
      </c>
      <c r="C1621" s="13" t="s">
        <v>128</v>
      </c>
      <c r="D1621" s="13">
        <v>36</v>
      </c>
      <c r="E1621" s="2" t="s">
        <v>134</v>
      </c>
      <c r="F1621" s="7">
        <v>591</v>
      </c>
      <c r="G1621" s="3">
        <f>F1621+(VLOOKUP(D1621,'(Semelles.Monument.€HT)'!C:G,3,FALSE()))</f>
        <v>759</v>
      </c>
      <c r="H1621" s="4">
        <f>F1621+(VLOOKUP(D1621,'(Semelles.Monument.€HT)'!C:G,4,FALSE()))</f>
        <v>808</v>
      </c>
      <c r="I1621" s="5">
        <f>F1621+(VLOOKUP(D1621,'(Semelles.Monument.€HT)'!C:G,5,FALSE()))</f>
        <v>859</v>
      </c>
    </row>
    <row r="1622" spans="1:9" ht="26" customHeight="1">
      <c r="A1622" s="17" t="s">
        <v>181</v>
      </c>
      <c r="B1622" s="18" t="s">
        <v>182</v>
      </c>
      <c r="C1622" s="18" t="s">
        <v>128</v>
      </c>
      <c r="D1622" s="18">
        <v>37</v>
      </c>
      <c r="E1622" s="17" t="s">
        <v>135</v>
      </c>
      <c r="F1622" s="19">
        <v>729</v>
      </c>
      <c r="G1622" s="20">
        <f>F1622+(VLOOKUP(D1622,'(Semelles.Monument.€HT)'!C:G,3,FALSE()))</f>
        <v>937</v>
      </c>
      <c r="H1622" s="21">
        <f>F1622+(VLOOKUP(D1622,'(Semelles.Monument.€HT)'!C:G,4,FALSE()))</f>
        <v>997</v>
      </c>
      <c r="I1622" s="22">
        <f>F1622+(VLOOKUP(D1622,'(Semelles.Monument.€HT)'!C:G,5,FALSE()))</f>
        <v>1061</v>
      </c>
    </row>
    <row r="1623" spans="1:9" ht="26" customHeight="1">
      <c r="A1623" s="2" t="s">
        <v>181</v>
      </c>
      <c r="B1623" s="13" t="s">
        <v>182</v>
      </c>
      <c r="C1623" s="13" t="s">
        <v>128</v>
      </c>
      <c r="D1623" s="13">
        <v>38</v>
      </c>
      <c r="E1623" s="2" t="s">
        <v>136</v>
      </c>
      <c r="F1623" s="7">
        <v>772</v>
      </c>
      <c r="G1623" s="3">
        <f>F1623+(VLOOKUP(D1623,'(Semelles.Monument.€HT)'!C:G,3,FALSE()))</f>
        <v>992</v>
      </c>
      <c r="H1623" s="4">
        <f>F1623+(VLOOKUP(D1623,'(Semelles.Monument.€HT)'!C:G,4,FALSE()))</f>
        <v>1056</v>
      </c>
      <c r="I1623" s="5">
        <f>F1623+(VLOOKUP(D1623,'(Semelles.Monument.€HT)'!C:G,5,FALSE()))</f>
        <v>1123</v>
      </c>
    </row>
    <row r="1624" spans="1:9" ht="26" customHeight="1">
      <c r="A1624" s="17" t="s">
        <v>181</v>
      </c>
      <c r="B1624" s="18" t="s">
        <v>182</v>
      </c>
      <c r="C1624" s="18" t="s">
        <v>128</v>
      </c>
      <c r="D1624" s="18">
        <v>39</v>
      </c>
      <c r="E1624" s="17" t="s">
        <v>137</v>
      </c>
      <c r="F1624" s="19">
        <v>792</v>
      </c>
      <c r="G1624" s="20">
        <f>F1624+(VLOOKUP(D1624,'(Semelles.Monument.€HT)'!C:G,3,FALSE()))</f>
        <v>1018</v>
      </c>
      <c r="H1624" s="21">
        <f>F1624+(VLOOKUP(D1624,'(Semelles.Monument.€HT)'!C:G,4,FALSE()))</f>
        <v>1083</v>
      </c>
      <c r="I1624" s="22">
        <f>F1624+(VLOOKUP(D1624,'(Semelles.Monument.€HT)'!C:G,5,FALSE()))</f>
        <v>1152</v>
      </c>
    </row>
    <row r="1625" spans="1:9" ht="26" customHeight="1">
      <c r="A1625" s="2" t="s">
        <v>181</v>
      </c>
      <c r="B1625" s="13" t="s">
        <v>182</v>
      </c>
      <c r="C1625" s="13" t="s">
        <v>128</v>
      </c>
      <c r="D1625" s="13">
        <v>40</v>
      </c>
      <c r="E1625" s="2" t="s">
        <v>138</v>
      </c>
      <c r="F1625" s="7">
        <v>814</v>
      </c>
      <c r="G1625" s="3">
        <f>F1625+(VLOOKUP(D1625,'(Semelles.Monument.€HT)'!C:G,3,FALSE()))</f>
        <v>1046</v>
      </c>
      <c r="H1625" s="4">
        <f>F1625+(VLOOKUP(D1625,'(Semelles.Monument.€HT)'!C:G,4,FALSE()))</f>
        <v>1114</v>
      </c>
      <c r="I1625" s="5">
        <f>F1625+(VLOOKUP(D1625,'(Semelles.Monument.€HT)'!C:G,5,FALSE()))</f>
        <v>1184</v>
      </c>
    </row>
    <row r="1626" spans="1:9" ht="26" customHeight="1">
      <c r="A1626" s="17" t="s">
        <v>181</v>
      </c>
      <c r="B1626" s="18" t="s">
        <v>182</v>
      </c>
      <c r="C1626" s="18" t="s">
        <v>128</v>
      </c>
      <c r="D1626" s="18">
        <v>41</v>
      </c>
      <c r="E1626" s="17" t="s">
        <v>139</v>
      </c>
      <c r="F1626" s="19">
        <v>865</v>
      </c>
      <c r="G1626" s="20">
        <f>F1626+(VLOOKUP(D1626,'(Semelles.Monument.€HT)'!C:G,3,FALSE()))</f>
        <v>1112</v>
      </c>
      <c r="H1626" s="21">
        <f>F1626+(VLOOKUP(D1626,'(Semelles.Monument.€HT)'!C:G,4,FALSE()))</f>
        <v>1184</v>
      </c>
      <c r="I1626" s="22">
        <f>F1626+(VLOOKUP(D1626,'(Semelles.Monument.€HT)'!C:G,5,FALSE()))</f>
        <v>1259</v>
      </c>
    </row>
    <row r="1627" spans="1:9" ht="26" customHeight="1">
      <c r="A1627" s="2" t="s">
        <v>181</v>
      </c>
      <c r="B1627" s="13" t="s">
        <v>182</v>
      </c>
      <c r="C1627" s="13" t="s">
        <v>128</v>
      </c>
      <c r="D1627" s="13">
        <v>42</v>
      </c>
      <c r="E1627" s="2" t="s">
        <v>140</v>
      </c>
      <c r="F1627" s="7">
        <v>950</v>
      </c>
      <c r="G1627" s="3">
        <f>F1627+(VLOOKUP(D1627,'(Semelles.Monument.€HT)'!C:G,3,FALSE()))</f>
        <v>1221</v>
      </c>
      <c r="H1627" s="4">
        <f>F1627+(VLOOKUP(D1627,'(Semelles.Monument.€HT)'!C:G,4,FALSE()))</f>
        <v>1300</v>
      </c>
      <c r="I1627" s="5">
        <f>F1627+(VLOOKUP(D1627,'(Semelles.Monument.€HT)'!C:G,5,FALSE()))</f>
        <v>1383</v>
      </c>
    </row>
    <row r="1628" spans="1:9" ht="26" customHeight="1">
      <c r="A1628" s="17" t="s">
        <v>181</v>
      </c>
      <c r="B1628" s="18" t="s">
        <v>182</v>
      </c>
      <c r="C1628" s="18" t="s">
        <v>128</v>
      </c>
      <c r="D1628" s="18">
        <v>43</v>
      </c>
      <c r="E1628" s="17" t="s">
        <v>141</v>
      </c>
      <c r="F1628" s="19">
        <v>950</v>
      </c>
      <c r="G1628" s="20">
        <f>F1628+(VLOOKUP(D1628,'(Semelles.Monument.€HT)'!C:G,3,FALSE()))</f>
        <v>1221</v>
      </c>
      <c r="H1628" s="21">
        <f>F1628+(VLOOKUP(D1628,'(Semelles.Monument.€HT)'!C:G,4,FALSE()))</f>
        <v>1300</v>
      </c>
      <c r="I1628" s="22">
        <f>F1628+(VLOOKUP(D1628,'(Semelles.Monument.€HT)'!C:G,5,FALSE()))</f>
        <v>1383</v>
      </c>
    </row>
    <row r="1629" spans="1:9" ht="26" customHeight="1">
      <c r="A1629" s="2" t="s">
        <v>181</v>
      </c>
      <c r="B1629" s="13" t="s">
        <v>182</v>
      </c>
      <c r="C1629" s="13" t="s">
        <v>128</v>
      </c>
      <c r="D1629" s="13">
        <v>44</v>
      </c>
      <c r="E1629" s="2" t="s">
        <v>142</v>
      </c>
      <c r="F1629" s="7">
        <v>961</v>
      </c>
      <c r="G1629" s="3">
        <f>F1629+(VLOOKUP(D1629,'(Semelles.Monument.€HT)'!C:G,3,FALSE()))</f>
        <v>1236</v>
      </c>
      <c r="H1629" s="4">
        <f>F1629+(VLOOKUP(D1629,'(Semelles.Monument.€HT)'!C:G,4,FALSE()))</f>
        <v>1315</v>
      </c>
      <c r="I1629" s="5">
        <f>F1629+(VLOOKUP(D1629,'(Semelles.Monument.€HT)'!C:G,5,FALSE()))</f>
        <v>1399</v>
      </c>
    </row>
    <row r="1630" spans="1:9" ht="26" customHeight="1">
      <c r="A1630" s="17" t="s">
        <v>181</v>
      </c>
      <c r="B1630" s="18" t="s">
        <v>182</v>
      </c>
      <c r="C1630" s="18" t="s">
        <v>128</v>
      </c>
      <c r="D1630" s="18">
        <v>45</v>
      </c>
      <c r="E1630" s="17" t="s">
        <v>143</v>
      </c>
      <c r="F1630" s="19">
        <v>973</v>
      </c>
      <c r="G1630" s="20">
        <f>F1630+(VLOOKUP(D1630,'(Semelles.Monument.€HT)'!C:G,3,FALSE()))</f>
        <v>1251</v>
      </c>
      <c r="H1630" s="21">
        <f>F1630+(VLOOKUP(D1630,'(Semelles.Monument.€HT)'!C:G,4,FALSE()))</f>
        <v>1331</v>
      </c>
      <c r="I1630" s="22">
        <f>F1630+(VLOOKUP(D1630,'(Semelles.Monument.€HT)'!C:G,5,FALSE()))</f>
        <v>1416</v>
      </c>
    </row>
    <row r="1631" spans="1:9" ht="26" customHeight="1">
      <c r="A1631" s="2" t="s">
        <v>181</v>
      </c>
      <c r="B1631" s="13" t="s">
        <v>182</v>
      </c>
      <c r="C1631" s="13" t="s">
        <v>128</v>
      </c>
      <c r="D1631" s="13">
        <v>46</v>
      </c>
      <c r="E1631" s="2" t="s">
        <v>144</v>
      </c>
      <c r="F1631" s="7">
        <v>973</v>
      </c>
      <c r="G1631" s="3">
        <f>F1631+(VLOOKUP(D1631,'(Semelles.Monument.€HT)'!C:G,3,FALSE()))</f>
        <v>1251</v>
      </c>
      <c r="H1631" s="4">
        <f>F1631+(VLOOKUP(D1631,'(Semelles.Monument.€HT)'!C:G,4,FALSE()))</f>
        <v>1331</v>
      </c>
      <c r="I1631" s="5">
        <f>F1631+(VLOOKUP(D1631,'(Semelles.Monument.€HT)'!C:G,5,FALSE()))</f>
        <v>1416</v>
      </c>
    </row>
    <row r="1632" spans="1:9" ht="26" customHeight="1">
      <c r="A1632" s="17" t="s">
        <v>181</v>
      </c>
      <c r="B1632" s="18" t="s">
        <v>182</v>
      </c>
      <c r="C1632" s="18" t="s">
        <v>128</v>
      </c>
      <c r="D1632" s="18">
        <v>47</v>
      </c>
      <c r="E1632" s="17" t="s">
        <v>145</v>
      </c>
      <c r="F1632" s="19">
        <v>993</v>
      </c>
      <c r="G1632" s="20">
        <f>F1632+(VLOOKUP(D1632,'(Semelles.Monument.€HT)'!C:G,3,FALSE()))</f>
        <v>1277</v>
      </c>
      <c r="H1632" s="21">
        <f>F1632+(VLOOKUP(D1632,'(Semelles.Monument.€HT)'!C:G,4,FALSE()))</f>
        <v>1359</v>
      </c>
      <c r="I1632" s="22">
        <f>F1632+(VLOOKUP(D1632,'(Semelles.Monument.€HT)'!C:G,5,FALSE()))</f>
        <v>1445</v>
      </c>
    </row>
    <row r="1633" spans="1:9" ht="26" customHeight="1">
      <c r="A1633" s="2" t="s">
        <v>181</v>
      </c>
      <c r="B1633" s="13" t="s">
        <v>182</v>
      </c>
      <c r="C1633" s="13" t="s">
        <v>128</v>
      </c>
      <c r="D1633" s="13">
        <v>48</v>
      </c>
      <c r="E1633" s="2" t="s">
        <v>146</v>
      </c>
      <c r="F1633" s="7">
        <v>1004</v>
      </c>
      <c r="G1633" s="3">
        <f>F1633+(VLOOKUP(D1633,'(Semelles.Monument.€HT)'!C:G,3,FALSE()))</f>
        <v>1291</v>
      </c>
      <c r="H1633" s="4">
        <f>F1633+(VLOOKUP(D1633,'(Semelles.Monument.€HT)'!C:G,4,FALSE()))</f>
        <v>1374</v>
      </c>
      <c r="I1633" s="5">
        <f>F1633+(VLOOKUP(D1633,'(Semelles.Monument.€HT)'!C:G,5,FALSE()))</f>
        <v>1461</v>
      </c>
    </row>
    <row r="1634" spans="1:9" ht="26" customHeight="1">
      <c r="A1634" s="17" t="s">
        <v>181</v>
      </c>
      <c r="B1634" s="18" t="s">
        <v>183</v>
      </c>
      <c r="C1634" s="18" t="s">
        <v>97</v>
      </c>
      <c r="D1634" s="18">
        <v>1</v>
      </c>
      <c r="E1634" s="17" t="s">
        <v>98</v>
      </c>
      <c r="F1634" s="19">
        <v>671</v>
      </c>
      <c r="G1634" s="20">
        <f>F1634+(VLOOKUP(D1634,'(Semelles.Monument.€HT)'!C:G,3,FALSE()))</f>
        <v>829</v>
      </c>
      <c r="H1634" s="21">
        <f>F1634+(VLOOKUP(D1634,'(Semelles.Monument.€HT)'!C:G,4,FALSE()))</f>
        <v>875</v>
      </c>
      <c r="I1634" s="22">
        <f>F1634+(VLOOKUP(D1634,'(Semelles.Monument.€HT)'!C:G,5,FALSE()))</f>
        <v>923</v>
      </c>
    </row>
    <row r="1635" spans="1:9" ht="26" customHeight="1">
      <c r="A1635" s="2" t="s">
        <v>181</v>
      </c>
      <c r="B1635" s="13" t="s">
        <v>183</v>
      </c>
      <c r="C1635" s="13" t="s">
        <v>97</v>
      </c>
      <c r="D1635" s="13">
        <v>2</v>
      </c>
      <c r="E1635" s="2" t="s">
        <v>99</v>
      </c>
      <c r="F1635" s="7">
        <v>670</v>
      </c>
      <c r="G1635" s="3">
        <f>F1635+(VLOOKUP(D1635,'(Semelles.Monument.€HT)'!C:G,3,FALSE()))</f>
        <v>828</v>
      </c>
      <c r="H1635" s="4">
        <f>F1635+(VLOOKUP(D1635,'(Semelles.Monument.€HT)'!C:G,4,FALSE()))</f>
        <v>874</v>
      </c>
      <c r="I1635" s="5">
        <f>F1635+(VLOOKUP(D1635,'(Semelles.Monument.€HT)'!C:G,5,FALSE()))</f>
        <v>922</v>
      </c>
    </row>
    <row r="1636" spans="1:9" ht="26" customHeight="1">
      <c r="A1636" s="17" t="s">
        <v>181</v>
      </c>
      <c r="B1636" s="18" t="s">
        <v>183</v>
      </c>
      <c r="C1636" s="18" t="s">
        <v>97</v>
      </c>
      <c r="D1636" s="18">
        <v>3</v>
      </c>
      <c r="E1636" s="17" t="s">
        <v>100</v>
      </c>
      <c r="F1636" s="19">
        <v>743</v>
      </c>
      <c r="G1636" s="20">
        <f>F1636+(VLOOKUP(D1636,'(Semelles.Monument.€HT)'!C:G,3,FALSE()))</f>
        <v>919</v>
      </c>
      <c r="H1636" s="21">
        <f>F1636+(VLOOKUP(D1636,'(Semelles.Monument.€HT)'!C:G,4,FALSE()))</f>
        <v>970</v>
      </c>
      <c r="I1636" s="22">
        <f>F1636+(VLOOKUP(D1636,'(Semelles.Monument.€HT)'!C:G,5,FALSE()))</f>
        <v>1023</v>
      </c>
    </row>
    <row r="1637" spans="1:9" ht="26" customHeight="1">
      <c r="A1637" s="2" t="s">
        <v>181</v>
      </c>
      <c r="B1637" s="13" t="s">
        <v>183</v>
      </c>
      <c r="C1637" s="13" t="s">
        <v>97</v>
      </c>
      <c r="D1637" s="13">
        <v>4</v>
      </c>
      <c r="E1637" s="2" t="s">
        <v>101</v>
      </c>
      <c r="F1637" s="7">
        <v>760</v>
      </c>
      <c r="G1637" s="3">
        <f>F1637+(VLOOKUP(D1637,'(Semelles.Monument.€HT)'!C:G,3,FALSE()))</f>
        <v>939</v>
      </c>
      <c r="H1637" s="4">
        <f>F1637+(VLOOKUP(D1637,'(Semelles.Monument.€HT)'!C:G,4,FALSE()))</f>
        <v>991</v>
      </c>
      <c r="I1637" s="5">
        <f>F1637+(VLOOKUP(D1637,'(Semelles.Monument.€HT)'!C:G,5,FALSE()))</f>
        <v>1045</v>
      </c>
    </row>
    <row r="1638" spans="1:9" ht="26" customHeight="1">
      <c r="A1638" s="17" t="s">
        <v>181</v>
      </c>
      <c r="B1638" s="18" t="s">
        <v>183</v>
      </c>
      <c r="C1638" s="18" t="s">
        <v>97</v>
      </c>
      <c r="D1638" s="18">
        <v>5</v>
      </c>
      <c r="E1638" s="17" t="s">
        <v>102</v>
      </c>
      <c r="F1638" s="19">
        <v>760</v>
      </c>
      <c r="G1638" s="20">
        <f>F1638+(VLOOKUP(D1638,'(Semelles.Monument.€HT)'!C:G,3,FALSE()))</f>
        <v>939</v>
      </c>
      <c r="H1638" s="21">
        <f>F1638+(VLOOKUP(D1638,'(Semelles.Monument.€HT)'!C:G,4,FALSE()))</f>
        <v>991</v>
      </c>
      <c r="I1638" s="22">
        <f>F1638+(VLOOKUP(D1638,'(Semelles.Monument.€HT)'!C:G,5,FALSE()))</f>
        <v>1045</v>
      </c>
    </row>
    <row r="1639" spans="1:9" ht="26" customHeight="1">
      <c r="A1639" s="2" t="s">
        <v>181</v>
      </c>
      <c r="B1639" s="13" t="s">
        <v>183</v>
      </c>
      <c r="C1639" s="13" t="s">
        <v>97</v>
      </c>
      <c r="D1639" s="13">
        <v>6</v>
      </c>
      <c r="E1639" s="2" t="s">
        <v>103</v>
      </c>
      <c r="F1639" s="7">
        <v>764</v>
      </c>
      <c r="G1639" s="3">
        <f>F1639+(VLOOKUP(D1639,'(Semelles.Monument.€HT)'!C:G,3,FALSE()))</f>
        <v>944</v>
      </c>
      <c r="H1639" s="4">
        <f>F1639+(VLOOKUP(D1639,'(Semelles.Monument.€HT)'!C:G,4,FALSE()))</f>
        <v>996</v>
      </c>
      <c r="I1639" s="5">
        <f>F1639+(VLOOKUP(D1639,'(Semelles.Monument.€HT)'!C:G,5,FALSE()))</f>
        <v>1051</v>
      </c>
    </row>
    <row r="1640" spans="1:9" ht="26" customHeight="1">
      <c r="A1640" s="17" t="s">
        <v>181</v>
      </c>
      <c r="B1640" s="18" t="s">
        <v>183</v>
      </c>
      <c r="C1640" s="18" t="s">
        <v>97</v>
      </c>
      <c r="D1640" s="18">
        <v>7</v>
      </c>
      <c r="E1640" s="17" t="s">
        <v>104</v>
      </c>
      <c r="F1640" s="19">
        <v>764</v>
      </c>
      <c r="G1640" s="20">
        <f>F1640+(VLOOKUP(D1640,'(Semelles.Monument.€HT)'!C:G,3,FALSE()))</f>
        <v>944</v>
      </c>
      <c r="H1640" s="21">
        <f>F1640+(VLOOKUP(D1640,'(Semelles.Monument.€HT)'!C:G,4,FALSE()))</f>
        <v>996</v>
      </c>
      <c r="I1640" s="22">
        <f>F1640+(VLOOKUP(D1640,'(Semelles.Monument.€HT)'!C:G,5,FALSE()))</f>
        <v>1051</v>
      </c>
    </row>
    <row r="1641" spans="1:9" ht="26" customHeight="1">
      <c r="A1641" s="2" t="s">
        <v>181</v>
      </c>
      <c r="B1641" s="13" t="s">
        <v>183</v>
      </c>
      <c r="C1641" s="13" t="s">
        <v>97</v>
      </c>
      <c r="D1641" s="13">
        <v>8</v>
      </c>
      <c r="E1641" s="2" t="s">
        <v>105</v>
      </c>
      <c r="F1641" s="7">
        <v>764</v>
      </c>
      <c r="G1641" s="3">
        <f>F1641+(VLOOKUP(D1641,'(Semelles.Monument.€HT)'!C:G,3,FALSE()))</f>
        <v>944</v>
      </c>
      <c r="H1641" s="4">
        <f>F1641+(VLOOKUP(D1641,'(Semelles.Monument.€HT)'!C:G,4,FALSE()))</f>
        <v>996</v>
      </c>
      <c r="I1641" s="5">
        <f>F1641+(VLOOKUP(D1641,'(Semelles.Monument.€HT)'!C:G,5,FALSE()))</f>
        <v>1051</v>
      </c>
    </row>
    <row r="1642" spans="1:9" ht="26" customHeight="1">
      <c r="A1642" s="17" t="s">
        <v>181</v>
      </c>
      <c r="B1642" s="18" t="s">
        <v>183</v>
      </c>
      <c r="C1642" s="18" t="s">
        <v>97</v>
      </c>
      <c r="D1642" s="18">
        <v>9</v>
      </c>
      <c r="E1642" s="17" t="s">
        <v>106</v>
      </c>
      <c r="F1642" s="19">
        <v>764</v>
      </c>
      <c r="G1642" s="20">
        <f>F1642+(VLOOKUP(D1642,'(Semelles.Monument.€HT)'!C:G,3,FALSE()))</f>
        <v>944</v>
      </c>
      <c r="H1642" s="21">
        <f>F1642+(VLOOKUP(D1642,'(Semelles.Monument.€HT)'!C:G,4,FALSE()))</f>
        <v>996</v>
      </c>
      <c r="I1642" s="22">
        <f>F1642+(VLOOKUP(D1642,'(Semelles.Monument.€HT)'!C:G,5,FALSE()))</f>
        <v>1051</v>
      </c>
    </row>
    <row r="1643" spans="1:9" ht="26" customHeight="1">
      <c r="A1643" s="2" t="s">
        <v>181</v>
      </c>
      <c r="B1643" s="13" t="s">
        <v>183</v>
      </c>
      <c r="C1643" s="13" t="s">
        <v>97</v>
      </c>
      <c r="D1643" s="13">
        <v>10</v>
      </c>
      <c r="E1643" s="2" t="s">
        <v>107</v>
      </c>
      <c r="F1643" s="7">
        <v>764</v>
      </c>
      <c r="G1643" s="3">
        <f>F1643+(VLOOKUP(D1643,'(Semelles.Monument.€HT)'!C:G,3,FALSE()))</f>
        <v>944</v>
      </c>
      <c r="H1643" s="4">
        <f>F1643+(VLOOKUP(D1643,'(Semelles.Monument.€HT)'!C:G,4,FALSE()))</f>
        <v>996</v>
      </c>
      <c r="I1643" s="5">
        <f>F1643+(VLOOKUP(D1643,'(Semelles.Monument.€HT)'!C:G,5,FALSE()))</f>
        <v>1051</v>
      </c>
    </row>
    <row r="1644" spans="1:9" ht="26" customHeight="1">
      <c r="A1644" s="17" t="s">
        <v>181</v>
      </c>
      <c r="B1644" s="18" t="s">
        <v>183</v>
      </c>
      <c r="C1644" s="18" t="s">
        <v>97</v>
      </c>
      <c r="D1644" s="18">
        <v>11</v>
      </c>
      <c r="E1644" s="17" t="s">
        <v>108</v>
      </c>
      <c r="F1644" s="19">
        <v>764</v>
      </c>
      <c r="G1644" s="20">
        <f>F1644+(VLOOKUP(D1644,'(Semelles.Monument.€HT)'!C:G,3,FALSE()))</f>
        <v>944</v>
      </c>
      <c r="H1644" s="21">
        <f>F1644+(VLOOKUP(D1644,'(Semelles.Monument.€HT)'!C:G,4,FALSE()))</f>
        <v>996</v>
      </c>
      <c r="I1644" s="22">
        <f>F1644+(VLOOKUP(D1644,'(Semelles.Monument.€HT)'!C:G,5,FALSE()))</f>
        <v>1051</v>
      </c>
    </row>
    <row r="1645" spans="1:9" ht="26" customHeight="1">
      <c r="A1645" s="2" t="s">
        <v>181</v>
      </c>
      <c r="B1645" s="13" t="s">
        <v>183</v>
      </c>
      <c r="C1645" s="13" t="s">
        <v>97</v>
      </c>
      <c r="D1645" s="13">
        <v>12</v>
      </c>
      <c r="E1645" s="2" t="s">
        <v>109</v>
      </c>
      <c r="F1645" s="7">
        <v>775</v>
      </c>
      <c r="G1645" s="3">
        <f>F1645+(VLOOKUP(D1645,'(Semelles.Monument.€HT)'!C:G,3,FALSE()))</f>
        <v>957</v>
      </c>
      <c r="H1645" s="4">
        <f>F1645+(VLOOKUP(D1645,'(Semelles.Monument.€HT)'!C:G,4,FALSE()))</f>
        <v>1010</v>
      </c>
      <c r="I1645" s="5">
        <f>F1645+(VLOOKUP(D1645,'(Semelles.Monument.€HT)'!C:G,5,FALSE()))</f>
        <v>1066</v>
      </c>
    </row>
    <row r="1646" spans="1:9" ht="26" customHeight="1">
      <c r="A1646" s="17" t="s">
        <v>181</v>
      </c>
      <c r="B1646" s="18" t="s">
        <v>183</v>
      </c>
      <c r="C1646" s="18" t="s">
        <v>97</v>
      </c>
      <c r="D1646" s="18">
        <v>13</v>
      </c>
      <c r="E1646" s="17" t="s">
        <v>110</v>
      </c>
      <c r="F1646" s="19">
        <v>775</v>
      </c>
      <c r="G1646" s="20">
        <f>F1646+(VLOOKUP(D1646,'(Semelles.Monument.€HT)'!C:G,3,FALSE()))</f>
        <v>957</v>
      </c>
      <c r="H1646" s="21">
        <f>F1646+(VLOOKUP(D1646,'(Semelles.Monument.€HT)'!C:G,4,FALSE()))</f>
        <v>1010</v>
      </c>
      <c r="I1646" s="22">
        <f>F1646+(VLOOKUP(D1646,'(Semelles.Monument.€HT)'!C:G,5,FALSE()))</f>
        <v>1066</v>
      </c>
    </row>
    <row r="1647" spans="1:9" ht="26" customHeight="1">
      <c r="A1647" s="2" t="s">
        <v>181</v>
      </c>
      <c r="B1647" s="13" t="s">
        <v>183</v>
      </c>
      <c r="C1647" s="13" t="s">
        <v>97</v>
      </c>
      <c r="D1647" s="13">
        <v>14</v>
      </c>
      <c r="E1647" s="2" t="s">
        <v>111</v>
      </c>
      <c r="F1647" s="7">
        <v>777</v>
      </c>
      <c r="G1647" s="3">
        <f>F1647+(VLOOKUP(D1647,'(Semelles.Monument.€HT)'!C:G,3,FALSE()))</f>
        <v>960</v>
      </c>
      <c r="H1647" s="4">
        <f>F1647+(VLOOKUP(D1647,'(Semelles.Monument.€HT)'!C:G,4,FALSE()))</f>
        <v>1013</v>
      </c>
      <c r="I1647" s="5">
        <f>F1647+(VLOOKUP(D1647,'(Semelles.Monument.€HT)'!C:G,5,FALSE()))</f>
        <v>1069</v>
      </c>
    </row>
    <row r="1648" spans="1:9" ht="26" customHeight="1">
      <c r="A1648" s="17" t="s">
        <v>181</v>
      </c>
      <c r="B1648" s="18" t="s">
        <v>183</v>
      </c>
      <c r="C1648" s="18" t="s">
        <v>97</v>
      </c>
      <c r="D1648" s="18">
        <v>15</v>
      </c>
      <c r="E1648" s="17" t="s">
        <v>112</v>
      </c>
      <c r="F1648" s="19">
        <v>777</v>
      </c>
      <c r="G1648" s="20">
        <f>F1648+(VLOOKUP(D1648,'(Semelles.Monument.€HT)'!C:G,3,FALSE()))</f>
        <v>960</v>
      </c>
      <c r="H1648" s="21">
        <f>F1648+(VLOOKUP(D1648,'(Semelles.Monument.€HT)'!C:G,4,FALSE()))</f>
        <v>1013</v>
      </c>
      <c r="I1648" s="22">
        <f>F1648+(VLOOKUP(D1648,'(Semelles.Monument.€HT)'!C:G,5,FALSE()))</f>
        <v>1069</v>
      </c>
    </row>
    <row r="1649" spans="1:9" ht="26" customHeight="1">
      <c r="A1649" s="2" t="s">
        <v>181</v>
      </c>
      <c r="B1649" s="13" t="s">
        <v>183</v>
      </c>
      <c r="C1649" s="13" t="s">
        <v>97</v>
      </c>
      <c r="D1649" s="13">
        <v>16</v>
      </c>
      <c r="E1649" s="2" t="s">
        <v>113</v>
      </c>
      <c r="F1649" s="7">
        <v>777</v>
      </c>
      <c r="G1649" s="3">
        <f>F1649+(VLOOKUP(D1649,'(Semelles.Monument.€HT)'!C:G,3,FALSE()))</f>
        <v>960</v>
      </c>
      <c r="H1649" s="4">
        <f>F1649+(VLOOKUP(D1649,'(Semelles.Monument.€HT)'!C:G,4,FALSE()))</f>
        <v>1013</v>
      </c>
      <c r="I1649" s="5">
        <f>F1649+(VLOOKUP(D1649,'(Semelles.Monument.€HT)'!C:G,5,FALSE()))</f>
        <v>1069</v>
      </c>
    </row>
    <row r="1650" spans="1:9" ht="26" customHeight="1">
      <c r="A1650" s="17" t="s">
        <v>181</v>
      </c>
      <c r="B1650" s="18" t="s">
        <v>183</v>
      </c>
      <c r="C1650" s="18" t="s">
        <v>97</v>
      </c>
      <c r="D1650" s="18">
        <v>17</v>
      </c>
      <c r="E1650" s="17" t="s">
        <v>114</v>
      </c>
      <c r="F1650" s="19">
        <v>790</v>
      </c>
      <c r="G1650" s="20">
        <f>F1650+(VLOOKUP(D1650,'(Semelles.Monument.€HT)'!C:G,3,FALSE()))</f>
        <v>976</v>
      </c>
      <c r="H1650" s="21">
        <f>F1650+(VLOOKUP(D1650,'(Semelles.Monument.€HT)'!C:G,4,FALSE()))</f>
        <v>1030</v>
      </c>
      <c r="I1650" s="22">
        <f>F1650+(VLOOKUP(D1650,'(Semelles.Monument.€HT)'!C:G,5,FALSE()))</f>
        <v>1087</v>
      </c>
    </row>
    <row r="1651" spans="1:9" ht="26" customHeight="1">
      <c r="A1651" s="2" t="s">
        <v>181</v>
      </c>
      <c r="B1651" s="13" t="s">
        <v>183</v>
      </c>
      <c r="C1651" s="13" t="s">
        <v>97</v>
      </c>
      <c r="D1651" s="13">
        <v>18</v>
      </c>
      <c r="E1651" s="2" t="s">
        <v>115</v>
      </c>
      <c r="F1651" s="7">
        <v>790</v>
      </c>
      <c r="G1651" s="3">
        <f>F1651+(VLOOKUP(D1651,'(Semelles.Monument.€HT)'!C:G,3,FALSE()))</f>
        <v>976</v>
      </c>
      <c r="H1651" s="4">
        <f>F1651+(VLOOKUP(D1651,'(Semelles.Monument.€HT)'!C:G,4,FALSE()))</f>
        <v>1030</v>
      </c>
      <c r="I1651" s="5">
        <f>F1651+(VLOOKUP(D1651,'(Semelles.Monument.€HT)'!C:G,5,FALSE()))</f>
        <v>1087</v>
      </c>
    </row>
    <row r="1652" spans="1:9" ht="26" customHeight="1">
      <c r="A1652" s="17" t="s">
        <v>181</v>
      </c>
      <c r="B1652" s="18" t="s">
        <v>183</v>
      </c>
      <c r="C1652" s="18" t="s">
        <v>97</v>
      </c>
      <c r="D1652" s="18">
        <v>19</v>
      </c>
      <c r="E1652" s="17" t="s">
        <v>116</v>
      </c>
      <c r="F1652" s="19">
        <v>790</v>
      </c>
      <c r="G1652" s="20">
        <f>F1652+(VLOOKUP(D1652,'(Semelles.Monument.€HT)'!C:G,3,FALSE()))</f>
        <v>976</v>
      </c>
      <c r="H1652" s="21">
        <f>F1652+(VLOOKUP(D1652,'(Semelles.Monument.€HT)'!C:G,4,FALSE()))</f>
        <v>1030</v>
      </c>
      <c r="I1652" s="22">
        <f>F1652+(VLOOKUP(D1652,'(Semelles.Monument.€HT)'!C:G,5,FALSE()))</f>
        <v>1087</v>
      </c>
    </row>
    <row r="1653" spans="1:9" ht="26" customHeight="1">
      <c r="A1653" s="2" t="s">
        <v>181</v>
      </c>
      <c r="B1653" s="13" t="s">
        <v>183</v>
      </c>
      <c r="C1653" s="13" t="s">
        <v>97</v>
      </c>
      <c r="D1653" s="13">
        <v>20</v>
      </c>
      <c r="E1653" s="2" t="s">
        <v>117</v>
      </c>
      <c r="F1653" s="7">
        <v>796</v>
      </c>
      <c r="G1653" s="3">
        <f>F1653+(VLOOKUP(D1653,'(Semelles.Monument.€HT)'!C:G,3,FALSE()))</f>
        <v>984</v>
      </c>
      <c r="H1653" s="4">
        <f>F1653+(VLOOKUP(D1653,'(Semelles.Monument.€HT)'!C:G,4,FALSE()))</f>
        <v>1038</v>
      </c>
      <c r="I1653" s="5">
        <f>F1653+(VLOOKUP(D1653,'(Semelles.Monument.€HT)'!C:G,5,FALSE()))</f>
        <v>1095</v>
      </c>
    </row>
    <row r="1654" spans="1:9" ht="26" customHeight="1">
      <c r="A1654" s="17" t="s">
        <v>181</v>
      </c>
      <c r="B1654" s="18" t="s">
        <v>183</v>
      </c>
      <c r="C1654" s="18" t="s">
        <v>97</v>
      </c>
      <c r="D1654" s="18">
        <v>21</v>
      </c>
      <c r="E1654" s="17" t="s">
        <v>118</v>
      </c>
      <c r="F1654" s="19">
        <v>801</v>
      </c>
      <c r="G1654" s="20">
        <f>F1654+(VLOOKUP(D1654,'(Semelles.Monument.€HT)'!C:G,3,FALSE()))</f>
        <v>990</v>
      </c>
      <c r="H1654" s="21">
        <f>F1654+(VLOOKUP(D1654,'(Semelles.Monument.€HT)'!C:G,4,FALSE()))</f>
        <v>1044</v>
      </c>
      <c r="I1654" s="22">
        <f>F1654+(VLOOKUP(D1654,'(Semelles.Monument.€HT)'!C:G,5,FALSE()))</f>
        <v>1102</v>
      </c>
    </row>
    <row r="1655" spans="1:9" ht="26" customHeight="1">
      <c r="A1655" s="2" t="s">
        <v>181</v>
      </c>
      <c r="B1655" s="13" t="s">
        <v>183</v>
      </c>
      <c r="C1655" s="13" t="s">
        <v>97</v>
      </c>
      <c r="D1655" s="13">
        <v>22</v>
      </c>
      <c r="E1655" s="2" t="s">
        <v>119</v>
      </c>
      <c r="F1655" s="7">
        <v>801</v>
      </c>
      <c r="G1655" s="3">
        <f>F1655+(VLOOKUP(D1655,'(Semelles.Monument.€HT)'!C:G,3,FALSE()))</f>
        <v>990</v>
      </c>
      <c r="H1655" s="4">
        <f>F1655+(VLOOKUP(D1655,'(Semelles.Monument.€HT)'!C:G,4,FALSE()))</f>
        <v>1044</v>
      </c>
      <c r="I1655" s="5">
        <f>F1655+(VLOOKUP(D1655,'(Semelles.Monument.€HT)'!C:G,5,FALSE()))</f>
        <v>1102</v>
      </c>
    </row>
    <row r="1656" spans="1:9" ht="26" customHeight="1">
      <c r="A1656" s="17" t="s">
        <v>181</v>
      </c>
      <c r="B1656" s="18" t="s">
        <v>183</v>
      </c>
      <c r="C1656" s="18" t="s">
        <v>97</v>
      </c>
      <c r="D1656" s="18">
        <v>23</v>
      </c>
      <c r="E1656" s="17" t="s">
        <v>120</v>
      </c>
      <c r="F1656" s="19">
        <v>813</v>
      </c>
      <c r="G1656" s="20">
        <f>F1656+(VLOOKUP(D1656,'(Semelles.Monument.€HT)'!C:G,3,FALSE()))</f>
        <v>1005</v>
      </c>
      <c r="H1656" s="21">
        <f>F1656+(VLOOKUP(D1656,'(Semelles.Monument.€HT)'!C:G,4,FALSE()))</f>
        <v>1060</v>
      </c>
      <c r="I1656" s="22">
        <f>F1656+(VLOOKUP(D1656,'(Semelles.Monument.€HT)'!C:G,5,FALSE()))</f>
        <v>1118</v>
      </c>
    </row>
    <row r="1657" spans="1:9" ht="26" customHeight="1">
      <c r="A1657" s="2" t="s">
        <v>181</v>
      </c>
      <c r="B1657" s="13" t="s">
        <v>183</v>
      </c>
      <c r="C1657" s="13" t="s">
        <v>97</v>
      </c>
      <c r="D1657" s="13">
        <v>24</v>
      </c>
      <c r="E1657" s="2" t="s">
        <v>121</v>
      </c>
      <c r="F1657" s="7">
        <v>813</v>
      </c>
      <c r="G1657" s="3">
        <f>F1657+(VLOOKUP(D1657,'(Semelles.Monument.€HT)'!C:G,3,FALSE()))</f>
        <v>1005</v>
      </c>
      <c r="H1657" s="4">
        <f>F1657+(VLOOKUP(D1657,'(Semelles.Monument.€HT)'!C:G,4,FALSE()))</f>
        <v>1060</v>
      </c>
      <c r="I1657" s="5">
        <f>F1657+(VLOOKUP(D1657,'(Semelles.Monument.€HT)'!C:G,5,FALSE()))</f>
        <v>1118</v>
      </c>
    </row>
    <row r="1658" spans="1:9" ht="26" customHeight="1">
      <c r="A1658" s="17" t="s">
        <v>181</v>
      </c>
      <c r="B1658" s="18" t="s">
        <v>183</v>
      </c>
      <c r="C1658" s="18" t="s">
        <v>97</v>
      </c>
      <c r="D1658" s="18">
        <v>25</v>
      </c>
      <c r="E1658" s="17" t="s">
        <v>122</v>
      </c>
      <c r="F1658" s="19">
        <v>813</v>
      </c>
      <c r="G1658" s="20">
        <f>F1658+(VLOOKUP(D1658,'(Semelles.Monument.€HT)'!C:G,3,FALSE()))</f>
        <v>1005</v>
      </c>
      <c r="H1658" s="21">
        <f>F1658+(VLOOKUP(D1658,'(Semelles.Monument.€HT)'!C:G,4,FALSE()))</f>
        <v>1060</v>
      </c>
      <c r="I1658" s="22">
        <f>F1658+(VLOOKUP(D1658,'(Semelles.Monument.€HT)'!C:G,5,FALSE()))</f>
        <v>1118</v>
      </c>
    </row>
    <row r="1659" spans="1:9" ht="26" customHeight="1">
      <c r="A1659" s="2" t="s">
        <v>181</v>
      </c>
      <c r="B1659" s="13" t="s">
        <v>183</v>
      </c>
      <c r="C1659" s="13" t="s">
        <v>97</v>
      </c>
      <c r="D1659" s="13">
        <v>26</v>
      </c>
      <c r="E1659" s="2" t="s">
        <v>123</v>
      </c>
      <c r="F1659" s="7">
        <v>826</v>
      </c>
      <c r="G1659" s="3">
        <f>F1659+(VLOOKUP(D1659,'(Semelles.Monument.€HT)'!C:G,3,FALSE()))</f>
        <v>1021</v>
      </c>
      <c r="H1659" s="4">
        <f>F1659+(VLOOKUP(D1659,'(Semelles.Monument.€HT)'!C:G,4,FALSE()))</f>
        <v>1077</v>
      </c>
      <c r="I1659" s="5">
        <f>F1659+(VLOOKUP(D1659,'(Semelles.Monument.€HT)'!C:G,5,FALSE()))</f>
        <v>1136</v>
      </c>
    </row>
    <row r="1660" spans="1:9" ht="26" customHeight="1">
      <c r="A1660" s="17" t="s">
        <v>181</v>
      </c>
      <c r="B1660" s="18" t="s">
        <v>183</v>
      </c>
      <c r="C1660" s="18" t="s">
        <v>97</v>
      </c>
      <c r="D1660" s="18">
        <v>27</v>
      </c>
      <c r="E1660" s="17" t="s">
        <v>124</v>
      </c>
      <c r="F1660" s="19">
        <v>878</v>
      </c>
      <c r="G1660" s="20">
        <f>F1660+(VLOOKUP(D1660,'(Semelles.Monument.€HT)'!C:G,3,FALSE()))</f>
        <v>1086</v>
      </c>
      <c r="H1660" s="21">
        <f>F1660+(VLOOKUP(D1660,'(Semelles.Monument.€HT)'!C:G,4,FALSE()))</f>
        <v>1146</v>
      </c>
      <c r="I1660" s="22">
        <f>F1660+(VLOOKUP(D1660,'(Semelles.Monument.€HT)'!C:G,5,FALSE()))</f>
        <v>1245</v>
      </c>
    </row>
    <row r="1661" spans="1:9" ht="26" customHeight="1">
      <c r="A1661" s="2" t="s">
        <v>181</v>
      </c>
      <c r="B1661" s="13" t="s">
        <v>183</v>
      </c>
      <c r="C1661" s="13" t="s">
        <v>97</v>
      </c>
      <c r="D1661" s="13">
        <v>28</v>
      </c>
      <c r="E1661" s="2" t="s">
        <v>125</v>
      </c>
      <c r="F1661" s="7">
        <v>970</v>
      </c>
      <c r="G1661" s="3">
        <f>F1661+(VLOOKUP(D1661,'(Semelles.Monument.€HT)'!C:G,3,FALSE()))</f>
        <v>1200</v>
      </c>
      <c r="H1661" s="4">
        <f>F1661+(VLOOKUP(D1661,'(Semelles.Monument.€HT)'!C:G,4,FALSE()))</f>
        <v>1267</v>
      </c>
      <c r="I1661" s="5">
        <f>F1661+(VLOOKUP(D1661,'(Semelles.Monument.€HT)'!C:G,5,FALSE()))</f>
        <v>1337</v>
      </c>
    </row>
    <row r="1662" spans="1:9" ht="26" customHeight="1">
      <c r="A1662" s="17" t="s">
        <v>181</v>
      </c>
      <c r="B1662" s="18" t="s">
        <v>183</v>
      </c>
      <c r="C1662" s="18" t="s">
        <v>97</v>
      </c>
      <c r="D1662" s="18">
        <v>29</v>
      </c>
      <c r="E1662" s="17" t="s">
        <v>126</v>
      </c>
      <c r="F1662" s="19">
        <v>1010</v>
      </c>
      <c r="G1662" s="20">
        <f>F1662+(VLOOKUP(D1662,'(Semelles.Monument.€HT)'!C:G,3,FALSE()))</f>
        <v>1250</v>
      </c>
      <c r="H1662" s="21">
        <f>F1662+(VLOOKUP(D1662,'(Semelles.Monument.€HT)'!C:G,4,FALSE()))</f>
        <v>1319</v>
      </c>
      <c r="I1662" s="22">
        <f>F1662+(VLOOKUP(D1662,'(Semelles.Monument.€HT)'!C:G,5,FALSE()))</f>
        <v>1392</v>
      </c>
    </row>
    <row r="1663" spans="1:9" ht="26" customHeight="1">
      <c r="A1663" s="2" t="s">
        <v>181</v>
      </c>
      <c r="B1663" s="13" t="s">
        <v>183</v>
      </c>
      <c r="C1663" s="13" t="s">
        <v>97</v>
      </c>
      <c r="D1663" s="13">
        <v>30</v>
      </c>
      <c r="E1663" s="2" t="s">
        <v>127</v>
      </c>
      <c r="F1663" s="7">
        <v>1010</v>
      </c>
      <c r="G1663" s="3">
        <f>F1663+(VLOOKUP(D1663,'(Semelles.Monument.€HT)'!C:G,3,FALSE()))</f>
        <v>1250</v>
      </c>
      <c r="H1663" s="4">
        <f>F1663+(VLOOKUP(D1663,'(Semelles.Monument.€HT)'!C:G,4,FALSE()))</f>
        <v>1319</v>
      </c>
      <c r="I1663" s="5">
        <f>F1663+(VLOOKUP(D1663,'(Semelles.Monument.€HT)'!C:G,5,FALSE()))</f>
        <v>1392</v>
      </c>
    </row>
    <row r="1664" spans="1:9" ht="26" customHeight="1">
      <c r="A1664" s="17" t="s">
        <v>181</v>
      </c>
      <c r="B1664" s="18" t="s">
        <v>183</v>
      </c>
      <c r="C1664" s="18" t="s">
        <v>128</v>
      </c>
      <c r="D1664" s="18">
        <v>31</v>
      </c>
      <c r="E1664" s="17" t="s">
        <v>129</v>
      </c>
      <c r="F1664" s="19">
        <v>547</v>
      </c>
      <c r="G1664" s="20">
        <f>F1664+(VLOOKUP(D1664,'(Semelles.Monument.€HT)'!C:G,3,FALSE()))</f>
        <v>679</v>
      </c>
      <c r="H1664" s="21">
        <f>F1664+(VLOOKUP(D1664,'(Semelles.Monument.€HT)'!C:G,4,FALSE()))</f>
        <v>717</v>
      </c>
      <c r="I1664" s="22">
        <f>F1664+(VLOOKUP(D1664,'(Semelles.Monument.€HT)'!C:G,5,FALSE()))</f>
        <v>757</v>
      </c>
    </row>
    <row r="1665" spans="1:9" ht="26" customHeight="1">
      <c r="A1665" s="2" t="s">
        <v>181</v>
      </c>
      <c r="B1665" s="13" t="s">
        <v>183</v>
      </c>
      <c r="C1665" s="13" t="s">
        <v>128</v>
      </c>
      <c r="D1665" s="13">
        <v>32</v>
      </c>
      <c r="E1665" s="2" t="s">
        <v>130</v>
      </c>
      <c r="F1665" s="7">
        <v>555</v>
      </c>
      <c r="G1665" s="3">
        <f>F1665+(VLOOKUP(D1665,'(Semelles.Monument.€HT)'!C:G,3,FALSE()))</f>
        <v>689</v>
      </c>
      <c r="H1665" s="4">
        <f>F1665+(VLOOKUP(D1665,'(Semelles.Monument.€HT)'!C:G,4,FALSE()))</f>
        <v>728</v>
      </c>
      <c r="I1665" s="5">
        <f>F1665+(VLOOKUP(D1665,'(Semelles.Monument.€HT)'!C:G,5,FALSE()))</f>
        <v>768</v>
      </c>
    </row>
    <row r="1666" spans="1:9" ht="26" customHeight="1">
      <c r="A1666" s="17" t="s">
        <v>181</v>
      </c>
      <c r="B1666" s="18" t="s">
        <v>183</v>
      </c>
      <c r="C1666" s="18" t="s">
        <v>128</v>
      </c>
      <c r="D1666" s="18">
        <v>33</v>
      </c>
      <c r="E1666" s="17" t="s">
        <v>131</v>
      </c>
      <c r="F1666" s="19">
        <v>555</v>
      </c>
      <c r="G1666" s="20">
        <f>F1666+(VLOOKUP(D1666,'(Semelles.Monument.€HT)'!C:G,3,FALSE()))</f>
        <v>689</v>
      </c>
      <c r="H1666" s="21">
        <f>F1666+(VLOOKUP(D1666,'(Semelles.Monument.€HT)'!C:G,4,FALSE()))</f>
        <v>728</v>
      </c>
      <c r="I1666" s="22">
        <f>F1666+(VLOOKUP(D1666,'(Semelles.Monument.€HT)'!C:G,5,FALSE()))</f>
        <v>768</v>
      </c>
    </row>
    <row r="1667" spans="1:9" ht="26" customHeight="1">
      <c r="A1667" s="2" t="s">
        <v>181</v>
      </c>
      <c r="B1667" s="13" t="s">
        <v>183</v>
      </c>
      <c r="C1667" s="13" t="s">
        <v>128</v>
      </c>
      <c r="D1667" s="13">
        <v>34</v>
      </c>
      <c r="E1667" s="2" t="s">
        <v>132</v>
      </c>
      <c r="F1667" s="7">
        <v>560</v>
      </c>
      <c r="G1667" s="3">
        <f>F1667+(VLOOKUP(D1667,'(Semelles.Monument.€HT)'!C:G,3,FALSE()))</f>
        <v>695</v>
      </c>
      <c r="H1667" s="4">
        <f>F1667+(VLOOKUP(D1667,'(Semelles.Monument.€HT)'!C:G,4,FALSE()))</f>
        <v>734</v>
      </c>
      <c r="I1667" s="5">
        <f>F1667+(VLOOKUP(D1667,'(Semelles.Monument.€HT)'!C:G,5,FALSE()))</f>
        <v>775</v>
      </c>
    </row>
    <row r="1668" spans="1:9" ht="26" customHeight="1">
      <c r="A1668" s="17" t="s">
        <v>181</v>
      </c>
      <c r="B1668" s="18" t="s">
        <v>183</v>
      </c>
      <c r="C1668" s="18" t="s">
        <v>128</v>
      </c>
      <c r="D1668" s="18">
        <v>35</v>
      </c>
      <c r="E1668" s="17" t="s">
        <v>133</v>
      </c>
      <c r="F1668" s="19">
        <v>674</v>
      </c>
      <c r="G1668" s="20">
        <f>F1668+(VLOOKUP(D1668,'(Semelles.Monument.€HT)'!C:G,3,FALSE()))</f>
        <v>837</v>
      </c>
      <c r="H1668" s="21">
        <f>F1668+(VLOOKUP(D1668,'(Semelles.Monument.€HT)'!C:G,4,FALSE()))</f>
        <v>884</v>
      </c>
      <c r="I1668" s="22">
        <f>F1668+(VLOOKUP(D1668,'(Semelles.Monument.€HT)'!C:G,5,FALSE()))</f>
        <v>933</v>
      </c>
    </row>
    <row r="1669" spans="1:9" ht="26" customHeight="1">
      <c r="A1669" s="2" t="s">
        <v>181</v>
      </c>
      <c r="B1669" s="13" t="s">
        <v>183</v>
      </c>
      <c r="C1669" s="13" t="s">
        <v>128</v>
      </c>
      <c r="D1669" s="13">
        <v>36</v>
      </c>
      <c r="E1669" s="2" t="s">
        <v>134</v>
      </c>
      <c r="F1669" s="7">
        <v>697</v>
      </c>
      <c r="G1669" s="3">
        <f>F1669+(VLOOKUP(D1669,'(Semelles.Monument.€HT)'!C:G,3,FALSE()))</f>
        <v>865</v>
      </c>
      <c r="H1669" s="4">
        <f>F1669+(VLOOKUP(D1669,'(Semelles.Monument.€HT)'!C:G,4,FALSE()))</f>
        <v>914</v>
      </c>
      <c r="I1669" s="5">
        <f>F1669+(VLOOKUP(D1669,'(Semelles.Monument.€HT)'!C:G,5,FALSE()))</f>
        <v>965</v>
      </c>
    </row>
    <row r="1670" spans="1:9" ht="26" customHeight="1">
      <c r="A1670" s="17" t="s">
        <v>181</v>
      </c>
      <c r="B1670" s="18" t="s">
        <v>183</v>
      </c>
      <c r="C1670" s="18" t="s">
        <v>128</v>
      </c>
      <c r="D1670" s="18">
        <v>37</v>
      </c>
      <c r="E1670" s="17" t="s">
        <v>135</v>
      </c>
      <c r="F1670" s="19">
        <v>860</v>
      </c>
      <c r="G1670" s="20">
        <f>F1670+(VLOOKUP(D1670,'(Semelles.Monument.€HT)'!C:G,3,FALSE()))</f>
        <v>1068</v>
      </c>
      <c r="H1670" s="21">
        <f>F1670+(VLOOKUP(D1670,'(Semelles.Monument.€HT)'!C:G,4,FALSE()))</f>
        <v>1128</v>
      </c>
      <c r="I1670" s="22">
        <f>F1670+(VLOOKUP(D1670,'(Semelles.Monument.€HT)'!C:G,5,FALSE()))</f>
        <v>1192</v>
      </c>
    </row>
    <row r="1671" spans="1:9" ht="26" customHeight="1">
      <c r="A1671" s="2" t="s">
        <v>181</v>
      </c>
      <c r="B1671" s="13" t="s">
        <v>183</v>
      </c>
      <c r="C1671" s="13" t="s">
        <v>128</v>
      </c>
      <c r="D1671" s="13">
        <v>38</v>
      </c>
      <c r="E1671" s="2" t="s">
        <v>136</v>
      </c>
      <c r="F1671" s="7">
        <v>910</v>
      </c>
      <c r="G1671" s="3">
        <f>F1671+(VLOOKUP(D1671,'(Semelles.Monument.€HT)'!C:G,3,FALSE()))</f>
        <v>1130</v>
      </c>
      <c r="H1671" s="4">
        <f>F1671+(VLOOKUP(D1671,'(Semelles.Monument.€HT)'!C:G,4,FALSE()))</f>
        <v>1194</v>
      </c>
      <c r="I1671" s="5">
        <f>F1671+(VLOOKUP(D1671,'(Semelles.Monument.€HT)'!C:G,5,FALSE()))</f>
        <v>1261</v>
      </c>
    </row>
    <row r="1672" spans="1:9" ht="26" customHeight="1">
      <c r="A1672" s="17" t="s">
        <v>181</v>
      </c>
      <c r="B1672" s="18" t="s">
        <v>183</v>
      </c>
      <c r="C1672" s="18" t="s">
        <v>128</v>
      </c>
      <c r="D1672" s="18">
        <v>39</v>
      </c>
      <c r="E1672" s="17" t="s">
        <v>137</v>
      </c>
      <c r="F1672" s="19">
        <v>934</v>
      </c>
      <c r="G1672" s="20">
        <f>F1672+(VLOOKUP(D1672,'(Semelles.Monument.€HT)'!C:G,3,FALSE()))</f>
        <v>1160</v>
      </c>
      <c r="H1672" s="21">
        <f>F1672+(VLOOKUP(D1672,'(Semelles.Monument.€HT)'!C:G,4,FALSE()))</f>
        <v>1225</v>
      </c>
      <c r="I1672" s="22">
        <f>F1672+(VLOOKUP(D1672,'(Semelles.Monument.€HT)'!C:G,5,FALSE()))</f>
        <v>1294</v>
      </c>
    </row>
    <row r="1673" spans="1:9" ht="26" customHeight="1">
      <c r="A1673" s="2" t="s">
        <v>181</v>
      </c>
      <c r="B1673" s="13" t="s">
        <v>183</v>
      </c>
      <c r="C1673" s="13" t="s">
        <v>128</v>
      </c>
      <c r="D1673" s="13">
        <v>40</v>
      </c>
      <c r="E1673" s="2" t="s">
        <v>138</v>
      </c>
      <c r="F1673" s="7">
        <v>960</v>
      </c>
      <c r="G1673" s="3">
        <f>F1673+(VLOOKUP(D1673,'(Semelles.Monument.€HT)'!C:G,3,FALSE()))</f>
        <v>1192</v>
      </c>
      <c r="H1673" s="4">
        <f>F1673+(VLOOKUP(D1673,'(Semelles.Monument.€HT)'!C:G,4,FALSE()))</f>
        <v>1260</v>
      </c>
      <c r="I1673" s="5">
        <f>F1673+(VLOOKUP(D1673,'(Semelles.Monument.€HT)'!C:G,5,FALSE()))</f>
        <v>1330</v>
      </c>
    </row>
    <row r="1674" spans="1:9" ht="26" customHeight="1">
      <c r="A1674" s="17" t="s">
        <v>181</v>
      </c>
      <c r="B1674" s="18" t="s">
        <v>183</v>
      </c>
      <c r="C1674" s="18" t="s">
        <v>128</v>
      </c>
      <c r="D1674" s="18">
        <v>41</v>
      </c>
      <c r="E1674" s="17" t="s">
        <v>139</v>
      </c>
      <c r="F1674" s="19">
        <v>1021</v>
      </c>
      <c r="G1674" s="20">
        <f>F1674+(VLOOKUP(D1674,'(Semelles.Monument.€HT)'!C:G,3,FALSE()))</f>
        <v>1268</v>
      </c>
      <c r="H1674" s="21">
        <f>F1674+(VLOOKUP(D1674,'(Semelles.Monument.€HT)'!C:G,4,FALSE()))</f>
        <v>1340</v>
      </c>
      <c r="I1674" s="22">
        <f>F1674+(VLOOKUP(D1674,'(Semelles.Monument.€HT)'!C:G,5,FALSE()))</f>
        <v>1415</v>
      </c>
    </row>
    <row r="1675" spans="1:9" ht="26" customHeight="1">
      <c r="A1675" s="2" t="s">
        <v>181</v>
      </c>
      <c r="B1675" s="13" t="s">
        <v>183</v>
      </c>
      <c r="C1675" s="13" t="s">
        <v>128</v>
      </c>
      <c r="D1675" s="13">
        <v>42</v>
      </c>
      <c r="E1675" s="2" t="s">
        <v>140</v>
      </c>
      <c r="F1675" s="7">
        <v>1121</v>
      </c>
      <c r="G1675" s="3">
        <f>F1675+(VLOOKUP(D1675,'(Semelles.Monument.€HT)'!C:G,3,FALSE()))</f>
        <v>1392</v>
      </c>
      <c r="H1675" s="4">
        <f>F1675+(VLOOKUP(D1675,'(Semelles.Monument.€HT)'!C:G,4,FALSE()))</f>
        <v>1471</v>
      </c>
      <c r="I1675" s="5">
        <f>F1675+(VLOOKUP(D1675,'(Semelles.Monument.€HT)'!C:G,5,FALSE()))</f>
        <v>1554</v>
      </c>
    </row>
    <row r="1676" spans="1:9" ht="26" customHeight="1">
      <c r="A1676" s="17" t="s">
        <v>181</v>
      </c>
      <c r="B1676" s="18" t="s">
        <v>183</v>
      </c>
      <c r="C1676" s="18" t="s">
        <v>128</v>
      </c>
      <c r="D1676" s="18">
        <v>43</v>
      </c>
      <c r="E1676" s="17" t="s">
        <v>141</v>
      </c>
      <c r="F1676" s="19">
        <v>1121</v>
      </c>
      <c r="G1676" s="20">
        <f>F1676+(VLOOKUP(D1676,'(Semelles.Monument.€HT)'!C:G,3,FALSE()))</f>
        <v>1392</v>
      </c>
      <c r="H1676" s="21">
        <f>F1676+(VLOOKUP(D1676,'(Semelles.Monument.€HT)'!C:G,4,FALSE()))</f>
        <v>1471</v>
      </c>
      <c r="I1676" s="22">
        <f>F1676+(VLOOKUP(D1676,'(Semelles.Monument.€HT)'!C:G,5,FALSE()))</f>
        <v>1554</v>
      </c>
    </row>
    <row r="1677" spans="1:9" ht="26" customHeight="1">
      <c r="A1677" s="2" t="s">
        <v>181</v>
      </c>
      <c r="B1677" s="13" t="s">
        <v>183</v>
      </c>
      <c r="C1677" s="13" t="s">
        <v>128</v>
      </c>
      <c r="D1677" s="13">
        <v>44</v>
      </c>
      <c r="E1677" s="2" t="s">
        <v>142</v>
      </c>
      <c r="F1677" s="7">
        <v>1134</v>
      </c>
      <c r="G1677" s="3">
        <f>F1677+(VLOOKUP(D1677,'(Semelles.Monument.€HT)'!C:G,3,FALSE()))</f>
        <v>1409</v>
      </c>
      <c r="H1677" s="4">
        <f>F1677+(VLOOKUP(D1677,'(Semelles.Monument.€HT)'!C:G,4,FALSE()))</f>
        <v>1488</v>
      </c>
      <c r="I1677" s="5">
        <f>F1677+(VLOOKUP(D1677,'(Semelles.Monument.€HT)'!C:G,5,FALSE()))</f>
        <v>1572</v>
      </c>
    </row>
    <row r="1678" spans="1:9" ht="26" customHeight="1">
      <c r="A1678" s="17" t="s">
        <v>181</v>
      </c>
      <c r="B1678" s="18" t="s">
        <v>183</v>
      </c>
      <c r="C1678" s="18" t="s">
        <v>128</v>
      </c>
      <c r="D1678" s="18">
        <v>45</v>
      </c>
      <c r="E1678" s="17" t="s">
        <v>143</v>
      </c>
      <c r="F1678" s="19">
        <v>1147</v>
      </c>
      <c r="G1678" s="20">
        <f>F1678+(VLOOKUP(D1678,'(Semelles.Monument.€HT)'!C:G,3,FALSE()))</f>
        <v>1425</v>
      </c>
      <c r="H1678" s="21">
        <f>F1678+(VLOOKUP(D1678,'(Semelles.Monument.€HT)'!C:G,4,FALSE()))</f>
        <v>1505</v>
      </c>
      <c r="I1678" s="22">
        <f>F1678+(VLOOKUP(D1678,'(Semelles.Monument.€HT)'!C:G,5,FALSE()))</f>
        <v>1590</v>
      </c>
    </row>
    <row r="1679" spans="1:9" ht="26" customHeight="1">
      <c r="A1679" s="2" t="s">
        <v>181</v>
      </c>
      <c r="B1679" s="13" t="s">
        <v>183</v>
      </c>
      <c r="C1679" s="13" t="s">
        <v>128</v>
      </c>
      <c r="D1679" s="13">
        <v>46</v>
      </c>
      <c r="E1679" s="2" t="s">
        <v>144</v>
      </c>
      <c r="F1679" s="7">
        <v>1147</v>
      </c>
      <c r="G1679" s="3">
        <f>F1679+(VLOOKUP(D1679,'(Semelles.Monument.€HT)'!C:G,3,FALSE()))</f>
        <v>1425</v>
      </c>
      <c r="H1679" s="4">
        <f>F1679+(VLOOKUP(D1679,'(Semelles.Monument.€HT)'!C:G,4,FALSE()))</f>
        <v>1505</v>
      </c>
      <c r="I1679" s="5">
        <f>F1679+(VLOOKUP(D1679,'(Semelles.Monument.€HT)'!C:G,5,FALSE()))</f>
        <v>1590</v>
      </c>
    </row>
    <row r="1680" spans="1:9" ht="26" customHeight="1">
      <c r="A1680" s="17" t="s">
        <v>181</v>
      </c>
      <c r="B1680" s="18" t="s">
        <v>183</v>
      </c>
      <c r="C1680" s="18" t="s">
        <v>128</v>
      </c>
      <c r="D1680" s="18">
        <v>47</v>
      </c>
      <c r="E1680" s="17" t="s">
        <v>145</v>
      </c>
      <c r="F1680" s="19">
        <v>1171</v>
      </c>
      <c r="G1680" s="20">
        <f>F1680+(VLOOKUP(D1680,'(Semelles.Monument.€HT)'!C:G,3,FALSE()))</f>
        <v>1455</v>
      </c>
      <c r="H1680" s="21">
        <f>F1680+(VLOOKUP(D1680,'(Semelles.Monument.€HT)'!C:G,4,FALSE()))</f>
        <v>1537</v>
      </c>
      <c r="I1680" s="22">
        <f>F1680+(VLOOKUP(D1680,'(Semelles.Monument.€HT)'!C:G,5,FALSE()))</f>
        <v>1623</v>
      </c>
    </row>
    <row r="1681" spans="1:9" ht="26" customHeight="1">
      <c r="A1681" s="2" t="s">
        <v>181</v>
      </c>
      <c r="B1681" s="13" t="s">
        <v>183</v>
      </c>
      <c r="C1681" s="13" t="s">
        <v>128</v>
      </c>
      <c r="D1681" s="13">
        <v>48</v>
      </c>
      <c r="E1681" s="2" t="s">
        <v>146</v>
      </c>
      <c r="F1681" s="7">
        <v>1184</v>
      </c>
      <c r="G1681" s="3">
        <f>F1681+(VLOOKUP(D1681,'(Semelles.Monument.€HT)'!C:G,3,FALSE()))</f>
        <v>1471</v>
      </c>
      <c r="H1681" s="4">
        <f>F1681+(VLOOKUP(D1681,'(Semelles.Monument.€HT)'!C:G,4,FALSE()))</f>
        <v>1554</v>
      </c>
      <c r="I1681" s="5">
        <f>F1681+(VLOOKUP(D1681,'(Semelles.Monument.€HT)'!C:G,5,FALSE()))</f>
        <v>1641</v>
      </c>
    </row>
    <row r="1682" spans="1:9" ht="26" customHeight="1">
      <c r="A1682" s="17" t="s">
        <v>181</v>
      </c>
      <c r="B1682" s="18" t="s">
        <v>184</v>
      </c>
      <c r="C1682" s="18" t="s">
        <v>97</v>
      </c>
      <c r="D1682" s="18">
        <v>1</v>
      </c>
      <c r="E1682" s="17" t="s">
        <v>98</v>
      </c>
      <c r="F1682" s="19">
        <v>1138</v>
      </c>
      <c r="G1682" s="20">
        <f>F1682+(VLOOKUP(D1682,'(Semelles.Monument.€HT)'!C:G,3,FALSE()))</f>
        <v>1296</v>
      </c>
      <c r="H1682" s="21">
        <f>F1682+(VLOOKUP(D1682,'(Semelles.Monument.€HT)'!C:G,4,FALSE()))</f>
        <v>1342</v>
      </c>
      <c r="I1682" s="22">
        <f>F1682+(VLOOKUP(D1682,'(Semelles.Monument.€HT)'!C:G,5,FALSE()))</f>
        <v>1390</v>
      </c>
    </row>
    <row r="1683" spans="1:9" ht="26" customHeight="1">
      <c r="A1683" s="2" t="s">
        <v>181</v>
      </c>
      <c r="B1683" s="13" t="s">
        <v>184</v>
      </c>
      <c r="C1683" s="13" t="s">
        <v>97</v>
      </c>
      <c r="D1683" s="13">
        <v>2</v>
      </c>
      <c r="E1683" s="2" t="s">
        <v>99</v>
      </c>
      <c r="F1683" s="7">
        <v>1137</v>
      </c>
      <c r="G1683" s="3">
        <f>F1683+(VLOOKUP(D1683,'(Semelles.Monument.€HT)'!C:G,3,FALSE()))</f>
        <v>1295</v>
      </c>
      <c r="H1683" s="4">
        <f>F1683+(VLOOKUP(D1683,'(Semelles.Monument.€HT)'!C:G,4,FALSE()))</f>
        <v>1341</v>
      </c>
      <c r="I1683" s="5">
        <f>F1683+(VLOOKUP(D1683,'(Semelles.Monument.€HT)'!C:G,5,FALSE()))</f>
        <v>1389</v>
      </c>
    </row>
    <row r="1684" spans="1:9" ht="26" customHeight="1">
      <c r="A1684" s="17" t="s">
        <v>181</v>
      </c>
      <c r="B1684" s="18" t="s">
        <v>184</v>
      </c>
      <c r="C1684" s="18" t="s">
        <v>97</v>
      </c>
      <c r="D1684" s="18">
        <v>3</v>
      </c>
      <c r="E1684" s="17" t="s">
        <v>100</v>
      </c>
      <c r="F1684" s="19">
        <v>1265</v>
      </c>
      <c r="G1684" s="20">
        <f>F1684+(VLOOKUP(D1684,'(Semelles.Monument.€HT)'!C:G,3,FALSE()))</f>
        <v>1441</v>
      </c>
      <c r="H1684" s="21">
        <f>F1684+(VLOOKUP(D1684,'(Semelles.Monument.€HT)'!C:G,4,FALSE()))</f>
        <v>1492</v>
      </c>
      <c r="I1684" s="22">
        <f>F1684+(VLOOKUP(D1684,'(Semelles.Monument.€HT)'!C:G,5,FALSE()))</f>
        <v>1545</v>
      </c>
    </row>
    <row r="1685" spans="1:9" ht="26" customHeight="1">
      <c r="A1685" s="2" t="s">
        <v>181</v>
      </c>
      <c r="B1685" s="13" t="s">
        <v>184</v>
      </c>
      <c r="C1685" s="13" t="s">
        <v>97</v>
      </c>
      <c r="D1685" s="13">
        <v>4</v>
      </c>
      <c r="E1685" s="2" t="s">
        <v>101</v>
      </c>
      <c r="F1685" s="7">
        <v>1294</v>
      </c>
      <c r="G1685" s="3">
        <f>F1685+(VLOOKUP(D1685,'(Semelles.Monument.€HT)'!C:G,3,FALSE()))</f>
        <v>1473</v>
      </c>
      <c r="H1685" s="4">
        <f>F1685+(VLOOKUP(D1685,'(Semelles.Monument.€HT)'!C:G,4,FALSE()))</f>
        <v>1525</v>
      </c>
      <c r="I1685" s="5">
        <f>F1685+(VLOOKUP(D1685,'(Semelles.Monument.€HT)'!C:G,5,FALSE()))</f>
        <v>1579</v>
      </c>
    </row>
    <row r="1686" spans="1:9" ht="26" customHeight="1">
      <c r="A1686" s="17" t="s">
        <v>181</v>
      </c>
      <c r="B1686" s="18" t="s">
        <v>184</v>
      </c>
      <c r="C1686" s="18" t="s">
        <v>97</v>
      </c>
      <c r="D1686" s="18">
        <v>5</v>
      </c>
      <c r="E1686" s="17" t="s">
        <v>102</v>
      </c>
      <c r="F1686" s="19">
        <v>1294</v>
      </c>
      <c r="G1686" s="20">
        <f>F1686+(VLOOKUP(D1686,'(Semelles.Monument.€HT)'!C:G,3,FALSE()))</f>
        <v>1473</v>
      </c>
      <c r="H1686" s="21">
        <f>F1686+(VLOOKUP(D1686,'(Semelles.Monument.€HT)'!C:G,4,FALSE()))</f>
        <v>1525</v>
      </c>
      <c r="I1686" s="22">
        <f>F1686+(VLOOKUP(D1686,'(Semelles.Monument.€HT)'!C:G,5,FALSE()))</f>
        <v>1579</v>
      </c>
    </row>
    <row r="1687" spans="1:9" ht="26" customHeight="1">
      <c r="A1687" s="2" t="s">
        <v>181</v>
      </c>
      <c r="B1687" s="13" t="s">
        <v>184</v>
      </c>
      <c r="C1687" s="13" t="s">
        <v>97</v>
      </c>
      <c r="D1687" s="13">
        <v>6</v>
      </c>
      <c r="E1687" s="2" t="s">
        <v>103</v>
      </c>
      <c r="F1687" s="7">
        <v>1301</v>
      </c>
      <c r="G1687" s="3">
        <f>F1687+(VLOOKUP(D1687,'(Semelles.Monument.€HT)'!C:G,3,FALSE()))</f>
        <v>1481</v>
      </c>
      <c r="H1687" s="4">
        <f>F1687+(VLOOKUP(D1687,'(Semelles.Monument.€HT)'!C:G,4,FALSE()))</f>
        <v>1533</v>
      </c>
      <c r="I1687" s="5">
        <f>F1687+(VLOOKUP(D1687,'(Semelles.Monument.€HT)'!C:G,5,FALSE()))</f>
        <v>1588</v>
      </c>
    </row>
    <row r="1688" spans="1:9" ht="26" customHeight="1">
      <c r="A1688" s="17" t="s">
        <v>181</v>
      </c>
      <c r="B1688" s="18" t="s">
        <v>184</v>
      </c>
      <c r="C1688" s="18" t="s">
        <v>97</v>
      </c>
      <c r="D1688" s="18">
        <v>7</v>
      </c>
      <c r="E1688" s="17" t="s">
        <v>104</v>
      </c>
      <c r="F1688" s="19">
        <v>1301</v>
      </c>
      <c r="G1688" s="20">
        <f>F1688+(VLOOKUP(D1688,'(Semelles.Monument.€HT)'!C:G,3,FALSE()))</f>
        <v>1481</v>
      </c>
      <c r="H1688" s="21">
        <f>F1688+(VLOOKUP(D1688,'(Semelles.Monument.€HT)'!C:G,4,FALSE()))</f>
        <v>1533</v>
      </c>
      <c r="I1688" s="22">
        <f>F1688+(VLOOKUP(D1688,'(Semelles.Monument.€HT)'!C:G,5,FALSE()))</f>
        <v>1588</v>
      </c>
    </row>
    <row r="1689" spans="1:9" ht="26" customHeight="1">
      <c r="A1689" s="2" t="s">
        <v>181</v>
      </c>
      <c r="B1689" s="13" t="s">
        <v>184</v>
      </c>
      <c r="C1689" s="13" t="s">
        <v>97</v>
      </c>
      <c r="D1689" s="13">
        <v>8</v>
      </c>
      <c r="E1689" s="2" t="s">
        <v>105</v>
      </c>
      <c r="F1689" s="7">
        <v>1301</v>
      </c>
      <c r="G1689" s="3">
        <f>F1689+(VLOOKUP(D1689,'(Semelles.Monument.€HT)'!C:G,3,FALSE()))</f>
        <v>1481</v>
      </c>
      <c r="H1689" s="4">
        <f>F1689+(VLOOKUP(D1689,'(Semelles.Monument.€HT)'!C:G,4,FALSE()))</f>
        <v>1533</v>
      </c>
      <c r="I1689" s="5">
        <f>F1689+(VLOOKUP(D1689,'(Semelles.Monument.€HT)'!C:G,5,FALSE()))</f>
        <v>1588</v>
      </c>
    </row>
    <row r="1690" spans="1:9" ht="26" customHeight="1">
      <c r="A1690" s="17" t="s">
        <v>181</v>
      </c>
      <c r="B1690" s="18" t="s">
        <v>184</v>
      </c>
      <c r="C1690" s="18" t="s">
        <v>97</v>
      </c>
      <c r="D1690" s="18">
        <v>9</v>
      </c>
      <c r="E1690" s="17" t="s">
        <v>106</v>
      </c>
      <c r="F1690" s="19">
        <v>1301</v>
      </c>
      <c r="G1690" s="20">
        <f>F1690+(VLOOKUP(D1690,'(Semelles.Monument.€HT)'!C:G,3,FALSE()))</f>
        <v>1481</v>
      </c>
      <c r="H1690" s="21">
        <f>F1690+(VLOOKUP(D1690,'(Semelles.Monument.€HT)'!C:G,4,FALSE()))</f>
        <v>1533</v>
      </c>
      <c r="I1690" s="22">
        <f>F1690+(VLOOKUP(D1690,'(Semelles.Monument.€HT)'!C:G,5,FALSE()))</f>
        <v>1588</v>
      </c>
    </row>
    <row r="1691" spans="1:9" ht="26" customHeight="1">
      <c r="A1691" s="2" t="s">
        <v>181</v>
      </c>
      <c r="B1691" s="13" t="s">
        <v>184</v>
      </c>
      <c r="C1691" s="13" t="s">
        <v>97</v>
      </c>
      <c r="D1691" s="13">
        <v>10</v>
      </c>
      <c r="E1691" s="2" t="s">
        <v>107</v>
      </c>
      <c r="F1691" s="7">
        <v>1301</v>
      </c>
      <c r="G1691" s="3">
        <f>F1691+(VLOOKUP(D1691,'(Semelles.Monument.€HT)'!C:G,3,FALSE()))</f>
        <v>1481</v>
      </c>
      <c r="H1691" s="4">
        <f>F1691+(VLOOKUP(D1691,'(Semelles.Monument.€HT)'!C:G,4,FALSE()))</f>
        <v>1533</v>
      </c>
      <c r="I1691" s="5">
        <f>F1691+(VLOOKUP(D1691,'(Semelles.Monument.€HT)'!C:G,5,FALSE()))</f>
        <v>1588</v>
      </c>
    </row>
    <row r="1692" spans="1:9" ht="26" customHeight="1">
      <c r="A1692" s="17" t="s">
        <v>181</v>
      </c>
      <c r="B1692" s="18" t="s">
        <v>184</v>
      </c>
      <c r="C1692" s="18" t="s">
        <v>97</v>
      </c>
      <c r="D1692" s="18">
        <v>11</v>
      </c>
      <c r="E1692" s="17" t="s">
        <v>108</v>
      </c>
      <c r="F1692" s="19">
        <v>1301</v>
      </c>
      <c r="G1692" s="20">
        <f>F1692+(VLOOKUP(D1692,'(Semelles.Monument.€HT)'!C:G,3,FALSE()))</f>
        <v>1481</v>
      </c>
      <c r="H1692" s="21">
        <f>F1692+(VLOOKUP(D1692,'(Semelles.Monument.€HT)'!C:G,4,FALSE()))</f>
        <v>1533</v>
      </c>
      <c r="I1692" s="22">
        <f>F1692+(VLOOKUP(D1692,'(Semelles.Monument.€HT)'!C:G,5,FALSE()))</f>
        <v>1588</v>
      </c>
    </row>
    <row r="1693" spans="1:9" ht="26" customHeight="1">
      <c r="A1693" s="2" t="s">
        <v>181</v>
      </c>
      <c r="B1693" s="13" t="s">
        <v>184</v>
      </c>
      <c r="C1693" s="13" t="s">
        <v>97</v>
      </c>
      <c r="D1693" s="13">
        <v>12</v>
      </c>
      <c r="E1693" s="2" t="s">
        <v>109</v>
      </c>
      <c r="F1693" s="7">
        <v>1320</v>
      </c>
      <c r="G1693" s="3">
        <f>F1693+(VLOOKUP(D1693,'(Semelles.Monument.€HT)'!C:G,3,FALSE()))</f>
        <v>1502</v>
      </c>
      <c r="H1693" s="4">
        <f>F1693+(VLOOKUP(D1693,'(Semelles.Monument.€HT)'!C:G,4,FALSE()))</f>
        <v>1555</v>
      </c>
      <c r="I1693" s="5">
        <f>F1693+(VLOOKUP(D1693,'(Semelles.Monument.€HT)'!C:G,5,FALSE()))</f>
        <v>1611</v>
      </c>
    </row>
    <row r="1694" spans="1:9" ht="26" customHeight="1">
      <c r="A1694" s="17" t="s">
        <v>181</v>
      </c>
      <c r="B1694" s="18" t="s">
        <v>184</v>
      </c>
      <c r="C1694" s="18" t="s">
        <v>97</v>
      </c>
      <c r="D1694" s="18">
        <v>13</v>
      </c>
      <c r="E1694" s="17" t="s">
        <v>110</v>
      </c>
      <c r="F1694" s="19">
        <v>1320</v>
      </c>
      <c r="G1694" s="20">
        <f>F1694+(VLOOKUP(D1694,'(Semelles.Monument.€HT)'!C:G,3,FALSE()))</f>
        <v>1502</v>
      </c>
      <c r="H1694" s="21">
        <f>F1694+(VLOOKUP(D1694,'(Semelles.Monument.€HT)'!C:G,4,FALSE()))</f>
        <v>1555</v>
      </c>
      <c r="I1694" s="22">
        <f>F1694+(VLOOKUP(D1694,'(Semelles.Monument.€HT)'!C:G,5,FALSE()))</f>
        <v>1611</v>
      </c>
    </row>
    <row r="1695" spans="1:9" ht="26" customHeight="1">
      <c r="A1695" s="2" t="s">
        <v>181</v>
      </c>
      <c r="B1695" s="13" t="s">
        <v>184</v>
      </c>
      <c r="C1695" s="13" t="s">
        <v>97</v>
      </c>
      <c r="D1695" s="13">
        <v>14</v>
      </c>
      <c r="E1695" s="2" t="s">
        <v>111</v>
      </c>
      <c r="F1695" s="7">
        <v>1324</v>
      </c>
      <c r="G1695" s="3">
        <f>F1695+(VLOOKUP(D1695,'(Semelles.Monument.€HT)'!C:G,3,FALSE()))</f>
        <v>1507</v>
      </c>
      <c r="H1695" s="4">
        <f>F1695+(VLOOKUP(D1695,'(Semelles.Monument.€HT)'!C:G,4,FALSE()))</f>
        <v>1560</v>
      </c>
      <c r="I1695" s="5">
        <f>F1695+(VLOOKUP(D1695,'(Semelles.Monument.€HT)'!C:G,5,FALSE()))</f>
        <v>1616</v>
      </c>
    </row>
    <row r="1696" spans="1:9" ht="26" customHeight="1">
      <c r="A1696" s="17" t="s">
        <v>181</v>
      </c>
      <c r="B1696" s="18" t="s">
        <v>184</v>
      </c>
      <c r="C1696" s="18" t="s">
        <v>97</v>
      </c>
      <c r="D1696" s="18">
        <v>15</v>
      </c>
      <c r="E1696" s="17" t="s">
        <v>112</v>
      </c>
      <c r="F1696" s="19">
        <v>1324</v>
      </c>
      <c r="G1696" s="20">
        <f>F1696+(VLOOKUP(D1696,'(Semelles.Monument.€HT)'!C:G,3,FALSE()))</f>
        <v>1507</v>
      </c>
      <c r="H1696" s="21">
        <f>F1696+(VLOOKUP(D1696,'(Semelles.Monument.€HT)'!C:G,4,FALSE()))</f>
        <v>1560</v>
      </c>
      <c r="I1696" s="22">
        <f>F1696+(VLOOKUP(D1696,'(Semelles.Monument.€HT)'!C:G,5,FALSE()))</f>
        <v>1616</v>
      </c>
    </row>
    <row r="1697" spans="1:9" ht="26" customHeight="1">
      <c r="A1697" s="2" t="s">
        <v>181</v>
      </c>
      <c r="B1697" s="13" t="s">
        <v>184</v>
      </c>
      <c r="C1697" s="13" t="s">
        <v>97</v>
      </c>
      <c r="D1697" s="13">
        <v>16</v>
      </c>
      <c r="E1697" s="2" t="s">
        <v>113</v>
      </c>
      <c r="F1697" s="7">
        <v>1324</v>
      </c>
      <c r="G1697" s="3">
        <f>F1697+(VLOOKUP(D1697,'(Semelles.Monument.€HT)'!C:G,3,FALSE()))</f>
        <v>1507</v>
      </c>
      <c r="H1697" s="4">
        <f>F1697+(VLOOKUP(D1697,'(Semelles.Monument.€HT)'!C:G,4,FALSE()))</f>
        <v>1560</v>
      </c>
      <c r="I1697" s="5">
        <f>F1697+(VLOOKUP(D1697,'(Semelles.Monument.€HT)'!C:G,5,FALSE()))</f>
        <v>1616</v>
      </c>
    </row>
    <row r="1698" spans="1:9" ht="26" customHeight="1">
      <c r="A1698" s="17" t="s">
        <v>181</v>
      </c>
      <c r="B1698" s="18" t="s">
        <v>184</v>
      </c>
      <c r="C1698" s="18" t="s">
        <v>97</v>
      </c>
      <c r="D1698" s="18">
        <v>17</v>
      </c>
      <c r="E1698" s="17" t="s">
        <v>114</v>
      </c>
      <c r="F1698" s="19">
        <v>1347</v>
      </c>
      <c r="G1698" s="20">
        <f>F1698+(VLOOKUP(D1698,'(Semelles.Monument.€HT)'!C:G,3,FALSE()))</f>
        <v>1533</v>
      </c>
      <c r="H1698" s="21">
        <f>F1698+(VLOOKUP(D1698,'(Semelles.Monument.€HT)'!C:G,4,FALSE()))</f>
        <v>1587</v>
      </c>
      <c r="I1698" s="22">
        <f>F1698+(VLOOKUP(D1698,'(Semelles.Monument.€HT)'!C:G,5,FALSE()))</f>
        <v>1644</v>
      </c>
    </row>
    <row r="1699" spans="1:9" ht="26" customHeight="1">
      <c r="A1699" s="2" t="s">
        <v>181</v>
      </c>
      <c r="B1699" s="13" t="s">
        <v>184</v>
      </c>
      <c r="C1699" s="13" t="s">
        <v>97</v>
      </c>
      <c r="D1699" s="13">
        <v>18</v>
      </c>
      <c r="E1699" s="2" t="s">
        <v>115</v>
      </c>
      <c r="F1699" s="7">
        <v>1347</v>
      </c>
      <c r="G1699" s="3">
        <f>F1699+(VLOOKUP(D1699,'(Semelles.Monument.€HT)'!C:G,3,FALSE()))</f>
        <v>1533</v>
      </c>
      <c r="H1699" s="4">
        <f>F1699+(VLOOKUP(D1699,'(Semelles.Monument.€HT)'!C:G,4,FALSE()))</f>
        <v>1587</v>
      </c>
      <c r="I1699" s="5">
        <f>F1699+(VLOOKUP(D1699,'(Semelles.Monument.€HT)'!C:G,5,FALSE()))</f>
        <v>1644</v>
      </c>
    </row>
    <row r="1700" spans="1:9" ht="26" customHeight="1">
      <c r="A1700" s="17" t="s">
        <v>181</v>
      </c>
      <c r="B1700" s="18" t="s">
        <v>184</v>
      </c>
      <c r="C1700" s="18" t="s">
        <v>97</v>
      </c>
      <c r="D1700" s="18">
        <v>19</v>
      </c>
      <c r="E1700" s="17" t="s">
        <v>116</v>
      </c>
      <c r="F1700" s="19">
        <v>1347</v>
      </c>
      <c r="G1700" s="20">
        <f>F1700+(VLOOKUP(D1700,'(Semelles.Monument.€HT)'!C:G,3,FALSE()))</f>
        <v>1533</v>
      </c>
      <c r="H1700" s="21">
        <f>F1700+(VLOOKUP(D1700,'(Semelles.Monument.€HT)'!C:G,4,FALSE()))</f>
        <v>1587</v>
      </c>
      <c r="I1700" s="22">
        <f>F1700+(VLOOKUP(D1700,'(Semelles.Monument.€HT)'!C:G,5,FALSE()))</f>
        <v>1644</v>
      </c>
    </row>
    <row r="1701" spans="1:9" ht="26" customHeight="1">
      <c r="A1701" s="2" t="s">
        <v>181</v>
      </c>
      <c r="B1701" s="13" t="s">
        <v>184</v>
      </c>
      <c r="C1701" s="13" t="s">
        <v>97</v>
      </c>
      <c r="D1701" s="13">
        <v>20</v>
      </c>
      <c r="E1701" s="2" t="s">
        <v>117</v>
      </c>
      <c r="F1701" s="7">
        <v>1357</v>
      </c>
      <c r="G1701" s="3">
        <f>F1701+(VLOOKUP(D1701,'(Semelles.Monument.€HT)'!C:G,3,FALSE()))</f>
        <v>1545</v>
      </c>
      <c r="H1701" s="4">
        <f>F1701+(VLOOKUP(D1701,'(Semelles.Monument.€HT)'!C:G,4,FALSE()))</f>
        <v>1599</v>
      </c>
      <c r="I1701" s="5">
        <f>F1701+(VLOOKUP(D1701,'(Semelles.Monument.€HT)'!C:G,5,FALSE()))</f>
        <v>1656</v>
      </c>
    </row>
    <row r="1702" spans="1:9" ht="26" customHeight="1">
      <c r="A1702" s="17" t="s">
        <v>181</v>
      </c>
      <c r="B1702" s="18" t="s">
        <v>184</v>
      </c>
      <c r="C1702" s="18" t="s">
        <v>97</v>
      </c>
      <c r="D1702" s="18">
        <v>21</v>
      </c>
      <c r="E1702" s="17" t="s">
        <v>118</v>
      </c>
      <c r="F1702" s="19">
        <v>1366</v>
      </c>
      <c r="G1702" s="20">
        <f>F1702+(VLOOKUP(D1702,'(Semelles.Monument.€HT)'!C:G,3,FALSE()))</f>
        <v>1555</v>
      </c>
      <c r="H1702" s="21">
        <f>F1702+(VLOOKUP(D1702,'(Semelles.Monument.€HT)'!C:G,4,FALSE()))</f>
        <v>1609</v>
      </c>
      <c r="I1702" s="22">
        <f>F1702+(VLOOKUP(D1702,'(Semelles.Monument.€HT)'!C:G,5,FALSE()))</f>
        <v>1667</v>
      </c>
    </row>
    <row r="1703" spans="1:9" ht="26" customHeight="1">
      <c r="A1703" s="2" t="s">
        <v>181</v>
      </c>
      <c r="B1703" s="13" t="s">
        <v>184</v>
      </c>
      <c r="C1703" s="13" t="s">
        <v>97</v>
      </c>
      <c r="D1703" s="13">
        <v>22</v>
      </c>
      <c r="E1703" s="2" t="s">
        <v>119</v>
      </c>
      <c r="F1703" s="7">
        <v>1366</v>
      </c>
      <c r="G1703" s="3">
        <f>F1703+(VLOOKUP(D1703,'(Semelles.Monument.€HT)'!C:G,3,FALSE()))</f>
        <v>1555</v>
      </c>
      <c r="H1703" s="4">
        <f>F1703+(VLOOKUP(D1703,'(Semelles.Monument.€HT)'!C:G,4,FALSE()))</f>
        <v>1609</v>
      </c>
      <c r="I1703" s="5">
        <f>F1703+(VLOOKUP(D1703,'(Semelles.Monument.€HT)'!C:G,5,FALSE()))</f>
        <v>1667</v>
      </c>
    </row>
    <row r="1704" spans="1:9" ht="26" customHeight="1">
      <c r="A1704" s="17" t="s">
        <v>181</v>
      </c>
      <c r="B1704" s="18" t="s">
        <v>184</v>
      </c>
      <c r="C1704" s="18" t="s">
        <v>97</v>
      </c>
      <c r="D1704" s="18">
        <v>23</v>
      </c>
      <c r="E1704" s="17" t="s">
        <v>120</v>
      </c>
      <c r="F1704" s="19">
        <v>1386</v>
      </c>
      <c r="G1704" s="20">
        <f>F1704+(VLOOKUP(D1704,'(Semelles.Monument.€HT)'!C:G,3,FALSE()))</f>
        <v>1578</v>
      </c>
      <c r="H1704" s="21">
        <f>F1704+(VLOOKUP(D1704,'(Semelles.Monument.€HT)'!C:G,4,FALSE()))</f>
        <v>1633</v>
      </c>
      <c r="I1704" s="22">
        <f>F1704+(VLOOKUP(D1704,'(Semelles.Monument.€HT)'!C:G,5,FALSE()))</f>
        <v>1691</v>
      </c>
    </row>
    <row r="1705" spans="1:9" ht="26" customHeight="1">
      <c r="A1705" s="2" t="s">
        <v>181</v>
      </c>
      <c r="B1705" s="13" t="s">
        <v>184</v>
      </c>
      <c r="C1705" s="13" t="s">
        <v>97</v>
      </c>
      <c r="D1705" s="13">
        <v>24</v>
      </c>
      <c r="E1705" s="2" t="s">
        <v>121</v>
      </c>
      <c r="F1705" s="7">
        <v>1386</v>
      </c>
      <c r="G1705" s="3">
        <f>F1705+(VLOOKUP(D1705,'(Semelles.Monument.€HT)'!C:G,3,FALSE()))</f>
        <v>1578</v>
      </c>
      <c r="H1705" s="4">
        <f>F1705+(VLOOKUP(D1705,'(Semelles.Monument.€HT)'!C:G,4,FALSE()))</f>
        <v>1633</v>
      </c>
      <c r="I1705" s="5">
        <f>F1705+(VLOOKUP(D1705,'(Semelles.Monument.€HT)'!C:G,5,FALSE()))</f>
        <v>1691</v>
      </c>
    </row>
    <row r="1706" spans="1:9" ht="26" customHeight="1">
      <c r="A1706" s="17" t="s">
        <v>181</v>
      </c>
      <c r="B1706" s="18" t="s">
        <v>184</v>
      </c>
      <c r="C1706" s="18" t="s">
        <v>97</v>
      </c>
      <c r="D1706" s="18">
        <v>25</v>
      </c>
      <c r="E1706" s="17" t="s">
        <v>122</v>
      </c>
      <c r="F1706" s="19">
        <v>1386</v>
      </c>
      <c r="G1706" s="20">
        <f>F1706+(VLOOKUP(D1706,'(Semelles.Monument.€HT)'!C:G,3,FALSE()))</f>
        <v>1578</v>
      </c>
      <c r="H1706" s="21">
        <f>F1706+(VLOOKUP(D1706,'(Semelles.Monument.€HT)'!C:G,4,FALSE()))</f>
        <v>1633</v>
      </c>
      <c r="I1706" s="22">
        <f>F1706+(VLOOKUP(D1706,'(Semelles.Monument.€HT)'!C:G,5,FALSE()))</f>
        <v>1691</v>
      </c>
    </row>
    <row r="1707" spans="1:9" ht="26" customHeight="1">
      <c r="A1707" s="2" t="s">
        <v>181</v>
      </c>
      <c r="B1707" s="13" t="s">
        <v>184</v>
      </c>
      <c r="C1707" s="13" t="s">
        <v>97</v>
      </c>
      <c r="D1707" s="13">
        <v>26</v>
      </c>
      <c r="E1707" s="2" t="s">
        <v>123</v>
      </c>
      <c r="F1707" s="7">
        <v>1409</v>
      </c>
      <c r="G1707" s="3">
        <f>F1707+(VLOOKUP(D1707,'(Semelles.Monument.€HT)'!C:G,3,FALSE()))</f>
        <v>1604</v>
      </c>
      <c r="H1707" s="4">
        <f>F1707+(VLOOKUP(D1707,'(Semelles.Monument.€HT)'!C:G,4,FALSE()))</f>
        <v>1660</v>
      </c>
      <c r="I1707" s="5">
        <f>F1707+(VLOOKUP(D1707,'(Semelles.Monument.€HT)'!C:G,5,FALSE()))</f>
        <v>1719</v>
      </c>
    </row>
    <row r="1708" spans="1:9" ht="26" customHeight="1">
      <c r="A1708" s="17" t="s">
        <v>181</v>
      </c>
      <c r="B1708" s="18" t="s">
        <v>184</v>
      </c>
      <c r="C1708" s="18" t="s">
        <v>97</v>
      </c>
      <c r="D1708" s="18">
        <v>27</v>
      </c>
      <c r="E1708" s="17" t="s">
        <v>124</v>
      </c>
      <c r="F1708" s="19">
        <v>1501</v>
      </c>
      <c r="G1708" s="20">
        <f>F1708+(VLOOKUP(D1708,'(Semelles.Monument.€HT)'!C:G,3,FALSE()))</f>
        <v>1709</v>
      </c>
      <c r="H1708" s="21">
        <f>F1708+(VLOOKUP(D1708,'(Semelles.Monument.€HT)'!C:G,4,FALSE()))</f>
        <v>1769</v>
      </c>
      <c r="I1708" s="22">
        <f>F1708+(VLOOKUP(D1708,'(Semelles.Monument.€HT)'!C:G,5,FALSE()))</f>
        <v>1868</v>
      </c>
    </row>
    <row r="1709" spans="1:9" ht="26" customHeight="1">
      <c r="A1709" s="2" t="s">
        <v>181</v>
      </c>
      <c r="B1709" s="13" t="s">
        <v>184</v>
      </c>
      <c r="C1709" s="13" t="s">
        <v>97</v>
      </c>
      <c r="D1709" s="13">
        <v>28</v>
      </c>
      <c r="E1709" s="2" t="s">
        <v>125</v>
      </c>
      <c r="F1709" s="7">
        <v>1662</v>
      </c>
      <c r="G1709" s="3">
        <f>F1709+(VLOOKUP(D1709,'(Semelles.Monument.€HT)'!C:G,3,FALSE()))</f>
        <v>1892</v>
      </c>
      <c r="H1709" s="4">
        <f>F1709+(VLOOKUP(D1709,'(Semelles.Monument.€HT)'!C:G,4,FALSE()))</f>
        <v>1959</v>
      </c>
      <c r="I1709" s="5">
        <f>F1709+(VLOOKUP(D1709,'(Semelles.Monument.€HT)'!C:G,5,FALSE()))</f>
        <v>2029</v>
      </c>
    </row>
    <row r="1710" spans="1:9" ht="26" customHeight="1">
      <c r="A1710" s="17" t="s">
        <v>181</v>
      </c>
      <c r="B1710" s="18" t="s">
        <v>184</v>
      </c>
      <c r="C1710" s="18" t="s">
        <v>97</v>
      </c>
      <c r="D1710" s="18">
        <v>29</v>
      </c>
      <c r="E1710" s="17" t="s">
        <v>126</v>
      </c>
      <c r="F1710" s="19">
        <v>1731</v>
      </c>
      <c r="G1710" s="20">
        <f>F1710+(VLOOKUP(D1710,'(Semelles.Monument.€HT)'!C:G,3,FALSE()))</f>
        <v>1971</v>
      </c>
      <c r="H1710" s="21">
        <f>F1710+(VLOOKUP(D1710,'(Semelles.Monument.€HT)'!C:G,4,FALSE()))</f>
        <v>2040</v>
      </c>
      <c r="I1710" s="22">
        <f>F1710+(VLOOKUP(D1710,'(Semelles.Monument.€HT)'!C:G,5,FALSE()))</f>
        <v>2113</v>
      </c>
    </row>
    <row r="1711" spans="1:9" ht="26" customHeight="1">
      <c r="A1711" s="2" t="s">
        <v>181</v>
      </c>
      <c r="B1711" s="13" t="s">
        <v>184</v>
      </c>
      <c r="C1711" s="13" t="s">
        <v>97</v>
      </c>
      <c r="D1711" s="13">
        <v>30</v>
      </c>
      <c r="E1711" s="2" t="s">
        <v>127</v>
      </c>
      <c r="F1711" s="7">
        <v>1731</v>
      </c>
      <c r="G1711" s="3">
        <f>F1711+(VLOOKUP(D1711,'(Semelles.Monument.€HT)'!C:G,3,FALSE()))</f>
        <v>1971</v>
      </c>
      <c r="H1711" s="4">
        <f>F1711+(VLOOKUP(D1711,'(Semelles.Monument.€HT)'!C:G,4,FALSE()))</f>
        <v>2040</v>
      </c>
      <c r="I1711" s="5">
        <f>F1711+(VLOOKUP(D1711,'(Semelles.Monument.€HT)'!C:G,5,FALSE()))</f>
        <v>2113</v>
      </c>
    </row>
    <row r="1712" spans="1:9" ht="26" customHeight="1">
      <c r="A1712" s="17" t="s">
        <v>181</v>
      </c>
      <c r="B1712" s="18" t="s">
        <v>184</v>
      </c>
      <c r="C1712" s="18" t="s">
        <v>128</v>
      </c>
      <c r="D1712" s="18">
        <v>31</v>
      </c>
      <c r="E1712" s="17" t="s">
        <v>129</v>
      </c>
      <c r="F1712" s="19">
        <v>957</v>
      </c>
      <c r="G1712" s="20">
        <f>F1712+(VLOOKUP(D1712,'(Semelles.Monument.€HT)'!C:G,3,FALSE()))</f>
        <v>1089</v>
      </c>
      <c r="H1712" s="21">
        <f>F1712+(VLOOKUP(D1712,'(Semelles.Monument.€HT)'!C:G,4,FALSE()))</f>
        <v>1127</v>
      </c>
      <c r="I1712" s="22">
        <f>F1712+(VLOOKUP(D1712,'(Semelles.Monument.€HT)'!C:G,5,FALSE()))</f>
        <v>1167</v>
      </c>
    </row>
    <row r="1713" spans="1:9" ht="26" customHeight="1">
      <c r="A1713" s="2" t="s">
        <v>181</v>
      </c>
      <c r="B1713" s="13" t="s">
        <v>184</v>
      </c>
      <c r="C1713" s="13" t="s">
        <v>128</v>
      </c>
      <c r="D1713" s="13">
        <v>32</v>
      </c>
      <c r="E1713" s="2" t="s">
        <v>130</v>
      </c>
      <c r="F1713" s="7">
        <v>971</v>
      </c>
      <c r="G1713" s="3">
        <f>F1713+(VLOOKUP(D1713,'(Semelles.Monument.€HT)'!C:G,3,FALSE()))</f>
        <v>1105</v>
      </c>
      <c r="H1713" s="4">
        <f>F1713+(VLOOKUP(D1713,'(Semelles.Monument.€HT)'!C:G,4,FALSE()))</f>
        <v>1144</v>
      </c>
      <c r="I1713" s="5">
        <f>F1713+(VLOOKUP(D1713,'(Semelles.Monument.€HT)'!C:G,5,FALSE()))</f>
        <v>1184</v>
      </c>
    </row>
    <row r="1714" spans="1:9" ht="26" customHeight="1">
      <c r="A1714" s="17" t="s">
        <v>181</v>
      </c>
      <c r="B1714" s="18" t="s">
        <v>184</v>
      </c>
      <c r="C1714" s="18" t="s">
        <v>128</v>
      </c>
      <c r="D1714" s="18">
        <v>33</v>
      </c>
      <c r="E1714" s="17" t="s">
        <v>131</v>
      </c>
      <c r="F1714" s="19">
        <v>971</v>
      </c>
      <c r="G1714" s="20">
        <f>F1714+(VLOOKUP(D1714,'(Semelles.Monument.€HT)'!C:G,3,FALSE()))</f>
        <v>1105</v>
      </c>
      <c r="H1714" s="21">
        <f>F1714+(VLOOKUP(D1714,'(Semelles.Monument.€HT)'!C:G,4,FALSE()))</f>
        <v>1144</v>
      </c>
      <c r="I1714" s="22">
        <f>F1714+(VLOOKUP(D1714,'(Semelles.Monument.€HT)'!C:G,5,FALSE()))</f>
        <v>1184</v>
      </c>
    </row>
    <row r="1715" spans="1:9" ht="26" customHeight="1">
      <c r="A1715" s="2" t="s">
        <v>181</v>
      </c>
      <c r="B1715" s="13" t="s">
        <v>184</v>
      </c>
      <c r="C1715" s="13" t="s">
        <v>128</v>
      </c>
      <c r="D1715" s="13">
        <v>34</v>
      </c>
      <c r="E1715" s="2" t="s">
        <v>132</v>
      </c>
      <c r="F1715" s="7">
        <v>980</v>
      </c>
      <c r="G1715" s="3">
        <f>F1715+(VLOOKUP(D1715,'(Semelles.Monument.€HT)'!C:G,3,FALSE()))</f>
        <v>1115</v>
      </c>
      <c r="H1715" s="4">
        <f>F1715+(VLOOKUP(D1715,'(Semelles.Monument.€HT)'!C:G,4,FALSE()))</f>
        <v>1154</v>
      </c>
      <c r="I1715" s="5">
        <f>F1715+(VLOOKUP(D1715,'(Semelles.Monument.€HT)'!C:G,5,FALSE()))</f>
        <v>1195</v>
      </c>
    </row>
    <row r="1716" spans="1:9" ht="26" customHeight="1">
      <c r="A1716" s="17" t="s">
        <v>181</v>
      </c>
      <c r="B1716" s="18" t="s">
        <v>184</v>
      </c>
      <c r="C1716" s="18" t="s">
        <v>128</v>
      </c>
      <c r="D1716" s="18">
        <v>35</v>
      </c>
      <c r="E1716" s="17" t="s">
        <v>133</v>
      </c>
      <c r="F1716" s="19">
        <v>1178</v>
      </c>
      <c r="G1716" s="20">
        <f>F1716+(VLOOKUP(D1716,'(Semelles.Monument.€HT)'!C:G,3,FALSE()))</f>
        <v>1341</v>
      </c>
      <c r="H1716" s="21">
        <f>F1716+(VLOOKUP(D1716,'(Semelles.Monument.€HT)'!C:G,4,FALSE()))</f>
        <v>1388</v>
      </c>
      <c r="I1716" s="22">
        <f>F1716+(VLOOKUP(D1716,'(Semelles.Monument.€HT)'!C:G,5,FALSE()))</f>
        <v>1437</v>
      </c>
    </row>
    <row r="1717" spans="1:9" ht="26" customHeight="1">
      <c r="A1717" s="2" t="s">
        <v>181</v>
      </c>
      <c r="B1717" s="13" t="s">
        <v>184</v>
      </c>
      <c r="C1717" s="13" t="s">
        <v>128</v>
      </c>
      <c r="D1717" s="13">
        <v>36</v>
      </c>
      <c r="E1717" s="2" t="s">
        <v>134</v>
      </c>
      <c r="F1717" s="7">
        <v>1219</v>
      </c>
      <c r="G1717" s="3">
        <f>F1717+(VLOOKUP(D1717,'(Semelles.Monument.€HT)'!C:G,3,FALSE()))</f>
        <v>1387</v>
      </c>
      <c r="H1717" s="4">
        <f>F1717+(VLOOKUP(D1717,'(Semelles.Monument.€HT)'!C:G,4,FALSE()))</f>
        <v>1436</v>
      </c>
      <c r="I1717" s="5">
        <f>F1717+(VLOOKUP(D1717,'(Semelles.Monument.€HT)'!C:G,5,FALSE()))</f>
        <v>1487</v>
      </c>
    </row>
    <row r="1718" spans="1:9" ht="26" customHeight="1">
      <c r="A1718" s="17" t="s">
        <v>181</v>
      </c>
      <c r="B1718" s="18" t="s">
        <v>184</v>
      </c>
      <c r="C1718" s="18" t="s">
        <v>128</v>
      </c>
      <c r="D1718" s="18">
        <v>37</v>
      </c>
      <c r="E1718" s="17" t="s">
        <v>135</v>
      </c>
      <c r="F1718" s="19">
        <v>1505</v>
      </c>
      <c r="G1718" s="20">
        <f>F1718+(VLOOKUP(D1718,'(Semelles.Monument.€HT)'!C:G,3,FALSE()))</f>
        <v>1713</v>
      </c>
      <c r="H1718" s="21">
        <f>F1718+(VLOOKUP(D1718,'(Semelles.Monument.€HT)'!C:G,4,FALSE()))</f>
        <v>1773</v>
      </c>
      <c r="I1718" s="22">
        <f>F1718+(VLOOKUP(D1718,'(Semelles.Monument.€HT)'!C:G,5,FALSE()))</f>
        <v>1837</v>
      </c>
    </row>
    <row r="1719" spans="1:9" ht="26" customHeight="1">
      <c r="A1719" s="2" t="s">
        <v>181</v>
      </c>
      <c r="B1719" s="13" t="s">
        <v>184</v>
      </c>
      <c r="C1719" s="13" t="s">
        <v>128</v>
      </c>
      <c r="D1719" s="13">
        <v>38</v>
      </c>
      <c r="E1719" s="2" t="s">
        <v>136</v>
      </c>
      <c r="F1719" s="7">
        <v>1592</v>
      </c>
      <c r="G1719" s="3">
        <f>F1719+(VLOOKUP(D1719,'(Semelles.Monument.€HT)'!C:G,3,FALSE()))</f>
        <v>1812</v>
      </c>
      <c r="H1719" s="4">
        <f>F1719+(VLOOKUP(D1719,'(Semelles.Monument.€HT)'!C:G,4,FALSE()))</f>
        <v>1876</v>
      </c>
      <c r="I1719" s="5">
        <f>F1719+(VLOOKUP(D1719,'(Semelles.Monument.€HT)'!C:G,5,FALSE()))</f>
        <v>1943</v>
      </c>
    </row>
    <row r="1720" spans="1:9" ht="26" customHeight="1">
      <c r="A1720" s="17" t="s">
        <v>181</v>
      </c>
      <c r="B1720" s="18" t="s">
        <v>184</v>
      </c>
      <c r="C1720" s="18" t="s">
        <v>128</v>
      </c>
      <c r="D1720" s="18">
        <v>39</v>
      </c>
      <c r="E1720" s="17" t="s">
        <v>137</v>
      </c>
      <c r="F1720" s="19">
        <v>1633</v>
      </c>
      <c r="G1720" s="20">
        <f>F1720+(VLOOKUP(D1720,'(Semelles.Monument.€HT)'!C:G,3,FALSE()))</f>
        <v>1859</v>
      </c>
      <c r="H1720" s="21">
        <f>F1720+(VLOOKUP(D1720,'(Semelles.Monument.€HT)'!C:G,4,FALSE()))</f>
        <v>1924</v>
      </c>
      <c r="I1720" s="22">
        <f>F1720+(VLOOKUP(D1720,'(Semelles.Monument.€HT)'!C:G,5,FALSE()))</f>
        <v>1993</v>
      </c>
    </row>
    <row r="1721" spans="1:9" ht="26" customHeight="1">
      <c r="A1721" s="2" t="s">
        <v>181</v>
      </c>
      <c r="B1721" s="13" t="s">
        <v>184</v>
      </c>
      <c r="C1721" s="13" t="s">
        <v>128</v>
      </c>
      <c r="D1721" s="13">
        <v>40</v>
      </c>
      <c r="E1721" s="2" t="s">
        <v>138</v>
      </c>
      <c r="F1721" s="7">
        <v>1679</v>
      </c>
      <c r="G1721" s="3">
        <f>F1721+(VLOOKUP(D1721,'(Semelles.Monument.€HT)'!C:G,3,FALSE()))</f>
        <v>1911</v>
      </c>
      <c r="H1721" s="4">
        <f>F1721+(VLOOKUP(D1721,'(Semelles.Monument.€HT)'!C:G,4,FALSE()))</f>
        <v>1979</v>
      </c>
      <c r="I1721" s="5">
        <f>F1721+(VLOOKUP(D1721,'(Semelles.Monument.€HT)'!C:G,5,FALSE()))</f>
        <v>2049</v>
      </c>
    </row>
    <row r="1722" spans="1:9" ht="26" customHeight="1">
      <c r="A1722" s="17" t="s">
        <v>181</v>
      </c>
      <c r="B1722" s="18" t="s">
        <v>184</v>
      </c>
      <c r="C1722" s="18" t="s">
        <v>128</v>
      </c>
      <c r="D1722" s="18">
        <v>41</v>
      </c>
      <c r="E1722" s="17" t="s">
        <v>139</v>
      </c>
      <c r="F1722" s="19">
        <v>1785</v>
      </c>
      <c r="G1722" s="20">
        <f>F1722+(VLOOKUP(D1722,'(Semelles.Monument.€HT)'!C:G,3,FALSE()))</f>
        <v>2032</v>
      </c>
      <c r="H1722" s="21">
        <f>F1722+(VLOOKUP(D1722,'(Semelles.Monument.€HT)'!C:G,4,FALSE()))</f>
        <v>2104</v>
      </c>
      <c r="I1722" s="22">
        <f>F1722+(VLOOKUP(D1722,'(Semelles.Monument.€HT)'!C:G,5,FALSE()))</f>
        <v>2179</v>
      </c>
    </row>
    <row r="1723" spans="1:9" ht="26" customHeight="1">
      <c r="A1723" s="2" t="s">
        <v>181</v>
      </c>
      <c r="B1723" s="13" t="s">
        <v>184</v>
      </c>
      <c r="C1723" s="13" t="s">
        <v>128</v>
      </c>
      <c r="D1723" s="13">
        <v>42</v>
      </c>
      <c r="E1723" s="2" t="s">
        <v>140</v>
      </c>
      <c r="F1723" s="7">
        <v>1960</v>
      </c>
      <c r="G1723" s="3">
        <f>F1723+(VLOOKUP(D1723,'(Semelles.Monument.€HT)'!C:G,3,FALSE()))</f>
        <v>2231</v>
      </c>
      <c r="H1723" s="4">
        <f>F1723+(VLOOKUP(D1723,'(Semelles.Monument.€HT)'!C:G,4,FALSE()))</f>
        <v>2310</v>
      </c>
      <c r="I1723" s="5">
        <f>F1723+(VLOOKUP(D1723,'(Semelles.Monument.€HT)'!C:G,5,FALSE()))</f>
        <v>2393</v>
      </c>
    </row>
    <row r="1724" spans="1:9" ht="26" customHeight="1">
      <c r="A1724" s="17" t="s">
        <v>181</v>
      </c>
      <c r="B1724" s="18" t="s">
        <v>184</v>
      </c>
      <c r="C1724" s="18" t="s">
        <v>128</v>
      </c>
      <c r="D1724" s="18">
        <v>43</v>
      </c>
      <c r="E1724" s="17" t="s">
        <v>141</v>
      </c>
      <c r="F1724" s="19">
        <v>1960</v>
      </c>
      <c r="G1724" s="20">
        <f>F1724+(VLOOKUP(D1724,'(Semelles.Monument.€HT)'!C:G,3,FALSE()))</f>
        <v>2231</v>
      </c>
      <c r="H1724" s="21">
        <f>F1724+(VLOOKUP(D1724,'(Semelles.Monument.€HT)'!C:G,4,FALSE()))</f>
        <v>2310</v>
      </c>
      <c r="I1724" s="22">
        <f>F1724+(VLOOKUP(D1724,'(Semelles.Monument.€HT)'!C:G,5,FALSE()))</f>
        <v>2393</v>
      </c>
    </row>
    <row r="1725" spans="1:9" ht="26" customHeight="1">
      <c r="A1725" s="2" t="s">
        <v>181</v>
      </c>
      <c r="B1725" s="13" t="s">
        <v>184</v>
      </c>
      <c r="C1725" s="13" t="s">
        <v>128</v>
      </c>
      <c r="D1725" s="13">
        <v>44</v>
      </c>
      <c r="E1725" s="2" t="s">
        <v>142</v>
      </c>
      <c r="F1725" s="7">
        <v>1983</v>
      </c>
      <c r="G1725" s="3">
        <f>F1725+(VLOOKUP(D1725,'(Semelles.Monument.€HT)'!C:G,3,FALSE()))</f>
        <v>2258</v>
      </c>
      <c r="H1725" s="4">
        <f>F1725+(VLOOKUP(D1725,'(Semelles.Monument.€HT)'!C:G,4,FALSE()))</f>
        <v>2337</v>
      </c>
      <c r="I1725" s="5">
        <f>F1725+(VLOOKUP(D1725,'(Semelles.Monument.€HT)'!C:G,5,FALSE()))</f>
        <v>2421</v>
      </c>
    </row>
    <row r="1726" spans="1:9" ht="26" customHeight="1">
      <c r="A1726" s="17" t="s">
        <v>181</v>
      </c>
      <c r="B1726" s="18" t="s">
        <v>184</v>
      </c>
      <c r="C1726" s="18" t="s">
        <v>128</v>
      </c>
      <c r="D1726" s="18">
        <v>45</v>
      </c>
      <c r="E1726" s="17" t="s">
        <v>143</v>
      </c>
      <c r="F1726" s="19">
        <v>2006</v>
      </c>
      <c r="G1726" s="20">
        <f>F1726+(VLOOKUP(D1726,'(Semelles.Monument.€HT)'!C:G,3,FALSE()))</f>
        <v>2284</v>
      </c>
      <c r="H1726" s="21">
        <f>F1726+(VLOOKUP(D1726,'(Semelles.Monument.€HT)'!C:G,4,FALSE()))</f>
        <v>2364</v>
      </c>
      <c r="I1726" s="22">
        <f>F1726+(VLOOKUP(D1726,'(Semelles.Monument.€HT)'!C:G,5,FALSE()))</f>
        <v>2449</v>
      </c>
    </row>
    <row r="1727" spans="1:9" ht="26" customHeight="1">
      <c r="A1727" s="2" t="s">
        <v>181</v>
      </c>
      <c r="B1727" s="13" t="s">
        <v>184</v>
      </c>
      <c r="C1727" s="13" t="s">
        <v>128</v>
      </c>
      <c r="D1727" s="13">
        <v>46</v>
      </c>
      <c r="E1727" s="2" t="s">
        <v>144</v>
      </c>
      <c r="F1727" s="7">
        <v>2006</v>
      </c>
      <c r="G1727" s="3">
        <f>F1727+(VLOOKUP(D1727,'(Semelles.Monument.€HT)'!C:G,3,FALSE()))</f>
        <v>2284</v>
      </c>
      <c r="H1727" s="4">
        <f>F1727+(VLOOKUP(D1727,'(Semelles.Monument.€HT)'!C:G,4,FALSE()))</f>
        <v>2364</v>
      </c>
      <c r="I1727" s="5">
        <f>F1727+(VLOOKUP(D1727,'(Semelles.Monument.€HT)'!C:G,5,FALSE()))</f>
        <v>2449</v>
      </c>
    </row>
    <row r="1728" spans="1:9" ht="26" customHeight="1">
      <c r="A1728" s="17" t="s">
        <v>181</v>
      </c>
      <c r="B1728" s="18" t="s">
        <v>184</v>
      </c>
      <c r="C1728" s="18" t="s">
        <v>128</v>
      </c>
      <c r="D1728" s="18">
        <v>47</v>
      </c>
      <c r="E1728" s="17" t="s">
        <v>145</v>
      </c>
      <c r="F1728" s="19">
        <v>2047</v>
      </c>
      <c r="G1728" s="20">
        <f>F1728+(VLOOKUP(D1728,'(Semelles.Monument.€HT)'!C:G,3,FALSE()))</f>
        <v>2331</v>
      </c>
      <c r="H1728" s="21">
        <f>F1728+(VLOOKUP(D1728,'(Semelles.Monument.€HT)'!C:G,4,FALSE()))</f>
        <v>2413</v>
      </c>
      <c r="I1728" s="22">
        <f>F1728+(VLOOKUP(D1728,'(Semelles.Monument.€HT)'!C:G,5,FALSE()))</f>
        <v>2499</v>
      </c>
    </row>
    <row r="1729" spans="1:9" ht="26" customHeight="1">
      <c r="A1729" s="2" t="s">
        <v>181</v>
      </c>
      <c r="B1729" s="13" t="s">
        <v>184</v>
      </c>
      <c r="C1729" s="13" t="s">
        <v>128</v>
      </c>
      <c r="D1729" s="13">
        <v>48</v>
      </c>
      <c r="E1729" s="2" t="s">
        <v>146</v>
      </c>
      <c r="F1729" s="7">
        <v>2070</v>
      </c>
      <c r="G1729" s="3">
        <f>F1729+(VLOOKUP(D1729,'(Semelles.Monument.€HT)'!C:G,3,FALSE()))</f>
        <v>2357</v>
      </c>
      <c r="H1729" s="4">
        <f>F1729+(VLOOKUP(D1729,'(Semelles.Monument.€HT)'!C:G,4,FALSE()))</f>
        <v>2440</v>
      </c>
      <c r="I1729" s="5">
        <f>F1729+(VLOOKUP(D1729,'(Semelles.Monument.€HT)'!C:G,5,FALSE()))</f>
        <v>2527</v>
      </c>
    </row>
    <row r="1730" spans="1:9" ht="26" customHeight="1">
      <c r="A1730" s="17" t="s">
        <v>181</v>
      </c>
      <c r="B1730" s="18" t="s">
        <v>185</v>
      </c>
      <c r="C1730" s="18" t="s">
        <v>97</v>
      </c>
      <c r="D1730" s="18">
        <v>1</v>
      </c>
      <c r="E1730" s="17" t="s">
        <v>98</v>
      </c>
      <c r="F1730" s="19">
        <v>826</v>
      </c>
      <c r="G1730" s="20">
        <f>F1730+(VLOOKUP(D1730,'(Semelles.Monument.€HT)'!C:G,3,FALSE()))</f>
        <v>984</v>
      </c>
      <c r="H1730" s="21">
        <f>F1730+(VLOOKUP(D1730,'(Semelles.Monument.€HT)'!C:G,4,FALSE()))</f>
        <v>1030</v>
      </c>
      <c r="I1730" s="22">
        <f>F1730+(VLOOKUP(D1730,'(Semelles.Monument.€HT)'!C:G,5,FALSE()))</f>
        <v>1078</v>
      </c>
    </row>
    <row r="1731" spans="1:9" ht="26" customHeight="1">
      <c r="A1731" s="2" t="s">
        <v>181</v>
      </c>
      <c r="B1731" s="13" t="s">
        <v>185</v>
      </c>
      <c r="C1731" s="13" t="s">
        <v>97</v>
      </c>
      <c r="D1731" s="13">
        <v>2</v>
      </c>
      <c r="E1731" s="2" t="s">
        <v>99</v>
      </c>
      <c r="F1731" s="7">
        <v>825</v>
      </c>
      <c r="G1731" s="3">
        <f>F1731+(VLOOKUP(D1731,'(Semelles.Monument.€HT)'!C:G,3,FALSE()))</f>
        <v>983</v>
      </c>
      <c r="H1731" s="4">
        <f>F1731+(VLOOKUP(D1731,'(Semelles.Monument.€HT)'!C:G,4,FALSE()))</f>
        <v>1029</v>
      </c>
      <c r="I1731" s="5">
        <f>F1731+(VLOOKUP(D1731,'(Semelles.Monument.€HT)'!C:G,5,FALSE()))</f>
        <v>1077</v>
      </c>
    </row>
    <row r="1732" spans="1:9" ht="26" customHeight="1">
      <c r="A1732" s="17" t="s">
        <v>181</v>
      </c>
      <c r="B1732" s="18" t="s">
        <v>185</v>
      </c>
      <c r="C1732" s="18" t="s">
        <v>97</v>
      </c>
      <c r="D1732" s="18">
        <v>3</v>
      </c>
      <c r="E1732" s="17" t="s">
        <v>100</v>
      </c>
      <c r="F1732" s="19">
        <v>918</v>
      </c>
      <c r="G1732" s="20">
        <f>F1732+(VLOOKUP(D1732,'(Semelles.Monument.€HT)'!C:G,3,FALSE()))</f>
        <v>1094</v>
      </c>
      <c r="H1732" s="21">
        <f>F1732+(VLOOKUP(D1732,'(Semelles.Monument.€HT)'!C:G,4,FALSE()))</f>
        <v>1145</v>
      </c>
      <c r="I1732" s="22">
        <f>F1732+(VLOOKUP(D1732,'(Semelles.Monument.€HT)'!C:G,5,FALSE()))</f>
        <v>1198</v>
      </c>
    </row>
    <row r="1733" spans="1:9" ht="26" customHeight="1">
      <c r="A1733" s="2" t="s">
        <v>181</v>
      </c>
      <c r="B1733" s="13" t="s">
        <v>185</v>
      </c>
      <c r="C1733" s="13" t="s">
        <v>97</v>
      </c>
      <c r="D1733" s="13">
        <v>4</v>
      </c>
      <c r="E1733" s="2" t="s">
        <v>101</v>
      </c>
      <c r="F1733" s="7">
        <v>940</v>
      </c>
      <c r="G1733" s="3">
        <f>F1733+(VLOOKUP(D1733,'(Semelles.Monument.€HT)'!C:G,3,FALSE()))</f>
        <v>1119</v>
      </c>
      <c r="H1733" s="4">
        <f>F1733+(VLOOKUP(D1733,'(Semelles.Monument.€HT)'!C:G,4,FALSE()))</f>
        <v>1171</v>
      </c>
      <c r="I1733" s="5">
        <f>F1733+(VLOOKUP(D1733,'(Semelles.Monument.€HT)'!C:G,5,FALSE()))</f>
        <v>1225</v>
      </c>
    </row>
    <row r="1734" spans="1:9" ht="26" customHeight="1">
      <c r="A1734" s="17" t="s">
        <v>181</v>
      </c>
      <c r="B1734" s="18" t="s">
        <v>185</v>
      </c>
      <c r="C1734" s="18" t="s">
        <v>97</v>
      </c>
      <c r="D1734" s="18">
        <v>5</v>
      </c>
      <c r="E1734" s="17" t="s">
        <v>102</v>
      </c>
      <c r="F1734" s="19">
        <v>940</v>
      </c>
      <c r="G1734" s="20">
        <f>F1734+(VLOOKUP(D1734,'(Semelles.Monument.€HT)'!C:G,3,FALSE()))</f>
        <v>1119</v>
      </c>
      <c r="H1734" s="21">
        <f>F1734+(VLOOKUP(D1734,'(Semelles.Monument.€HT)'!C:G,4,FALSE()))</f>
        <v>1171</v>
      </c>
      <c r="I1734" s="22">
        <f>F1734+(VLOOKUP(D1734,'(Semelles.Monument.€HT)'!C:G,5,FALSE()))</f>
        <v>1225</v>
      </c>
    </row>
    <row r="1735" spans="1:9" ht="26" customHeight="1">
      <c r="A1735" s="2" t="s">
        <v>181</v>
      </c>
      <c r="B1735" s="13" t="s">
        <v>185</v>
      </c>
      <c r="C1735" s="13" t="s">
        <v>97</v>
      </c>
      <c r="D1735" s="13">
        <v>6</v>
      </c>
      <c r="E1735" s="2" t="s">
        <v>103</v>
      </c>
      <c r="F1735" s="7">
        <v>945</v>
      </c>
      <c r="G1735" s="3">
        <f>F1735+(VLOOKUP(D1735,'(Semelles.Monument.€HT)'!C:G,3,FALSE()))</f>
        <v>1125</v>
      </c>
      <c r="H1735" s="4">
        <f>F1735+(VLOOKUP(D1735,'(Semelles.Monument.€HT)'!C:G,4,FALSE()))</f>
        <v>1177</v>
      </c>
      <c r="I1735" s="5">
        <f>F1735+(VLOOKUP(D1735,'(Semelles.Monument.€HT)'!C:G,5,FALSE()))</f>
        <v>1232</v>
      </c>
    </row>
    <row r="1736" spans="1:9" ht="26" customHeight="1">
      <c r="A1736" s="17" t="s">
        <v>181</v>
      </c>
      <c r="B1736" s="18" t="s">
        <v>185</v>
      </c>
      <c r="C1736" s="18" t="s">
        <v>97</v>
      </c>
      <c r="D1736" s="18">
        <v>7</v>
      </c>
      <c r="E1736" s="17" t="s">
        <v>104</v>
      </c>
      <c r="F1736" s="19">
        <v>945</v>
      </c>
      <c r="G1736" s="20">
        <f>F1736+(VLOOKUP(D1736,'(Semelles.Monument.€HT)'!C:G,3,FALSE()))</f>
        <v>1125</v>
      </c>
      <c r="H1736" s="21">
        <f>F1736+(VLOOKUP(D1736,'(Semelles.Monument.€HT)'!C:G,4,FALSE()))</f>
        <v>1177</v>
      </c>
      <c r="I1736" s="22">
        <f>F1736+(VLOOKUP(D1736,'(Semelles.Monument.€HT)'!C:G,5,FALSE()))</f>
        <v>1232</v>
      </c>
    </row>
    <row r="1737" spans="1:9" ht="26" customHeight="1">
      <c r="A1737" s="2" t="s">
        <v>181</v>
      </c>
      <c r="B1737" s="13" t="s">
        <v>185</v>
      </c>
      <c r="C1737" s="13" t="s">
        <v>97</v>
      </c>
      <c r="D1737" s="13">
        <v>8</v>
      </c>
      <c r="E1737" s="2" t="s">
        <v>105</v>
      </c>
      <c r="F1737" s="7">
        <v>945</v>
      </c>
      <c r="G1737" s="3">
        <f>F1737+(VLOOKUP(D1737,'(Semelles.Monument.€HT)'!C:G,3,FALSE()))</f>
        <v>1125</v>
      </c>
      <c r="H1737" s="4">
        <f>F1737+(VLOOKUP(D1737,'(Semelles.Monument.€HT)'!C:G,4,FALSE()))</f>
        <v>1177</v>
      </c>
      <c r="I1737" s="5">
        <f>F1737+(VLOOKUP(D1737,'(Semelles.Monument.€HT)'!C:G,5,FALSE()))</f>
        <v>1232</v>
      </c>
    </row>
    <row r="1738" spans="1:9" ht="26" customHeight="1">
      <c r="A1738" s="17" t="s">
        <v>181</v>
      </c>
      <c r="B1738" s="18" t="s">
        <v>185</v>
      </c>
      <c r="C1738" s="18" t="s">
        <v>97</v>
      </c>
      <c r="D1738" s="18">
        <v>9</v>
      </c>
      <c r="E1738" s="17" t="s">
        <v>106</v>
      </c>
      <c r="F1738" s="19">
        <v>945</v>
      </c>
      <c r="G1738" s="20">
        <f>F1738+(VLOOKUP(D1738,'(Semelles.Monument.€HT)'!C:G,3,FALSE()))</f>
        <v>1125</v>
      </c>
      <c r="H1738" s="21">
        <f>F1738+(VLOOKUP(D1738,'(Semelles.Monument.€HT)'!C:G,4,FALSE()))</f>
        <v>1177</v>
      </c>
      <c r="I1738" s="22">
        <f>F1738+(VLOOKUP(D1738,'(Semelles.Monument.€HT)'!C:G,5,FALSE()))</f>
        <v>1232</v>
      </c>
    </row>
    <row r="1739" spans="1:9" ht="26" customHeight="1">
      <c r="A1739" s="2" t="s">
        <v>181</v>
      </c>
      <c r="B1739" s="13" t="s">
        <v>185</v>
      </c>
      <c r="C1739" s="13" t="s">
        <v>97</v>
      </c>
      <c r="D1739" s="13">
        <v>10</v>
      </c>
      <c r="E1739" s="2" t="s">
        <v>107</v>
      </c>
      <c r="F1739" s="7">
        <v>945</v>
      </c>
      <c r="G1739" s="3">
        <f>F1739+(VLOOKUP(D1739,'(Semelles.Monument.€HT)'!C:G,3,FALSE()))</f>
        <v>1125</v>
      </c>
      <c r="H1739" s="4">
        <f>F1739+(VLOOKUP(D1739,'(Semelles.Monument.€HT)'!C:G,4,FALSE()))</f>
        <v>1177</v>
      </c>
      <c r="I1739" s="5">
        <f>F1739+(VLOOKUP(D1739,'(Semelles.Monument.€HT)'!C:G,5,FALSE()))</f>
        <v>1232</v>
      </c>
    </row>
    <row r="1740" spans="1:9" ht="26" customHeight="1">
      <c r="A1740" s="17" t="s">
        <v>181</v>
      </c>
      <c r="B1740" s="18" t="s">
        <v>185</v>
      </c>
      <c r="C1740" s="18" t="s">
        <v>97</v>
      </c>
      <c r="D1740" s="18">
        <v>11</v>
      </c>
      <c r="E1740" s="17" t="s">
        <v>108</v>
      </c>
      <c r="F1740" s="19">
        <v>945</v>
      </c>
      <c r="G1740" s="20">
        <f>F1740+(VLOOKUP(D1740,'(Semelles.Monument.€HT)'!C:G,3,FALSE()))</f>
        <v>1125</v>
      </c>
      <c r="H1740" s="21">
        <f>F1740+(VLOOKUP(D1740,'(Semelles.Monument.€HT)'!C:G,4,FALSE()))</f>
        <v>1177</v>
      </c>
      <c r="I1740" s="22">
        <f>F1740+(VLOOKUP(D1740,'(Semelles.Monument.€HT)'!C:G,5,FALSE()))</f>
        <v>1232</v>
      </c>
    </row>
    <row r="1741" spans="1:9" ht="26" customHeight="1">
      <c r="A1741" s="2" t="s">
        <v>181</v>
      </c>
      <c r="B1741" s="13" t="s">
        <v>185</v>
      </c>
      <c r="C1741" s="13" t="s">
        <v>97</v>
      </c>
      <c r="D1741" s="13">
        <v>12</v>
      </c>
      <c r="E1741" s="2" t="s">
        <v>109</v>
      </c>
      <c r="F1741" s="7">
        <v>958</v>
      </c>
      <c r="G1741" s="3">
        <f>F1741+(VLOOKUP(D1741,'(Semelles.Monument.€HT)'!C:G,3,FALSE()))</f>
        <v>1140</v>
      </c>
      <c r="H1741" s="4">
        <f>F1741+(VLOOKUP(D1741,'(Semelles.Monument.€HT)'!C:G,4,FALSE()))</f>
        <v>1193</v>
      </c>
      <c r="I1741" s="5">
        <f>F1741+(VLOOKUP(D1741,'(Semelles.Monument.€HT)'!C:G,5,FALSE()))</f>
        <v>1249</v>
      </c>
    </row>
    <row r="1742" spans="1:9" ht="26" customHeight="1">
      <c r="A1742" s="17" t="s">
        <v>181</v>
      </c>
      <c r="B1742" s="18" t="s">
        <v>185</v>
      </c>
      <c r="C1742" s="18" t="s">
        <v>97</v>
      </c>
      <c r="D1742" s="18">
        <v>13</v>
      </c>
      <c r="E1742" s="17" t="s">
        <v>110</v>
      </c>
      <c r="F1742" s="19">
        <v>958</v>
      </c>
      <c r="G1742" s="20">
        <f>F1742+(VLOOKUP(D1742,'(Semelles.Monument.€HT)'!C:G,3,FALSE()))</f>
        <v>1140</v>
      </c>
      <c r="H1742" s="21">
        <f>F1742+(VLOOKUP(D1742,'(Semelles.Monument.€HT)'!C:G,4,FALSE()))</f>
        <v>1193</v>
      </c>
      <c r="I1742" s="22">
        <f>F1742+(VLOOKUP(D1742,'(Semelles.Monument.€HT)'!C:G,5,FALSE()))</f>
        <v>1249</v>
      </c>
    </row>
    <row r="1743" spans="1:9" ht="26" customHeight="1">
      <c r="A1743" s="2" t="s">
        <v>181</v>
      </c>
      <c r="B1743" s="13" t="s">
        <v>185</v>
      </c>
      <c r="C1743" s="13" t="s">
        <v>97</v>
      </c>
      <c r="D1743" s="13">
        <v>14</v>
      </c>
      <c r="E1743" s="2" t="s">
        <v>111</v>
      </c>
      <c r="F1743" s="7">
        <v>962</v>
      </c>
      <c r="G1743" s="3">
        <f>F1743+(VLOOKUP(D1743,'(Semelles.Monument.€HT)'!C:G,3,FALSE()))</f>
        <v>1145</v>
      </c>
      <c r="H1743" s="4">
        <f>F1743+(VLOOKUP(D1743,'(Semelles.Monument.€HT)'!C:G,4,FALSE()))</f>
        <v>1198</v>
      </c>
      <c r="I1743" s="5">
        <f>F1743+(VLOOKUP(D1743,'(Semelles.Monument.€HT)'!C:G,5,FALSE()))</f>
        <v>1254</v>
      </c>
    </row>
    <row r="1744" spans="1:9" ht="26" customHeight="1">
      <c r="A1744" s="17" t="s">
        <v>181</v>
      </c>
      <c r="B1744" s="18" t="s">
        <v>185</v>
      </c>
      <c r="C1744" s="18" t="s">
        <v>97</v>
      </c>
      <c r="D1744" s="18">
        <v>15</v>
      </c>
      <c r="E1744" s="17" t="s">
        <v>112</v>
      </c>
      <c r="F1744" s="19">
        <v>962</v>
      </c>
      <c r="G1744" s="20">
        <f>F1744+(VLOOKUP(D1744,'(Semelles.Monument.€HT)'!C:G,3,FALSE()))</f>
        <v>1145</v>
      </c>
      <c r="H1744" s="21">
        <f>F1744+(VLOOKUP(D1744,'(Semelles.Monument.€HT)'!C:G,4,FALSE()))</f>
        <v>1198</v>
      </c>
      <c r="I1744" s="22">
        <f>F1744+(VLOOKUP(D1744,'(Semelles.Monument.€HT)'!C:G,5,FALSE()))</f>
        <v>1254</v>
      </c>
    </row>
    <row r="1745" spans="1:9" ht="26" customHeight="1">
      <c r="A1745" s="2" t="s">
        <v>181</v>
      </c>
      <c r="B1745" s="13" t="s">
        <v>185</v>
      </c>
      <c r="C1745" s="13" t="s">
        <v>97</v>
      </c>
      <c r="D1745" s="13">
        <v>16</v>
      </c>
      <c r="E1745" s="2" t="s">
        <v>113</v>
      </c>
      <c r="F1745" s="7">
        <v>962</v>
      </c>
      <c r="G1745" s="3">
        <f>F1745+(VLOOKUP(D1745,'(Semelles.Monument.€HT)'!C:G,3,FALSE()))</f>
        <v>1145</v>
      </c>
      <c r="H1745" s="4">
        <f>F1745+(VLOOKUP(D1745,'(Semelles.Monument.€HT)'!C:G,4,FALSE()))</f>
        <v>1198</v>
      </c>
      <c r="I1745" s="5">
        <f>F1745+(VLOOKUP(D1745,'(Semelles.Monument.€HT)'!C:G,5,FALSE()))</f>
        <v>1254</v>
      </c>
    </row>
    <row r="1746" spans="1:9" ht="26" customHeight="1">
      <c r="A1746" s="17" t="s">
        <v>181</v>
      </c>
      <c r="B1746" s="18" t="s">
        <v>185</v>
      </c>
      <c r="C1746" s="18" t="s">
        <v>97</v>
      </c>
      <c r="D1746" s="18">
        <v>17</v>
      </c>
      <c r="E1746" s="17" t="s">
        <v>114</v>
      </c>
      <c r="F1746" s="19">
        <v>978</v>
      </c>
      <c r="G1746" s="20">
        <f>F1746+(VLOOKUP(D1746,'(Semelles.Monument.€HT)'!C:G,3,FALSE()))</f>
        <v>1164</v>
      </c>
      <c r="H1746" s="21">
        <f>F1746+(VLOOKUP(D1746,'(Semelles.Monument.€HT)'!C:G,4,FALSE()))</f>
        <v>1218</v>
      </c>
      <c r="I1746" s="22">
        <f>F1746+(VLOOKUP(D1746,'(Semelles.Monument.€HT)'!C:G,5,FALSE()))</f>
        <v>1275</v>
      </c>
    </row>
    <row r="1747" spans="1:9" ht="26" customHeight="1">
      <c r="A1747" s="2" t="s">
        <v>181</v>
      </c>
      <c r="B1747" s="13" t="s">
        <v>185</v>
      </c>
      <c r="C1747" s="13" t="s">
        <v>97</v>
      </c>
      <c r="D1747" s="13">
        <v>18</v>
      </c>
      <c r="E1747" s="2" t="s">
        <v>115</v>
      </c>
      <c r="F1747" s="7">
        <v>978</v>
      </c>
      <c r="G1747" s="3">
        <f>F1747+(VLOOKUP(D1747,'(Semelles.Monument.€HT)'!C:G,3,FALSE()))</f>
        <v>1164</v>
      </c>
      <c r="H1747" s="4">
        <f>F1747+(VLOOKUP(D1747,'(Semelles.Monument.€HT)'!C:G,4,FALSE()))</f>
        <v>1218</v>
      </c>
      <c r="I1747" s="5">
        <f>F1747+(VLOOKUP(D1747,'(Semelles.Monument.€HT)'!C:G,5,FALSE()))</f>
        <v>1275</v>
      </c>
    </row>
    <row r="1748" spans="1:9" ht="26" customHeight="1">
      <c r="A1748" s="17" t="s">
        <v>181</v>
      </c>
      <c r="B1748" s="18" t="s">
        <v>185</v>
      </c>
      <c r="C1748" s="18" t="s">
        <v>97</v>
      </c>
      <c r="D1748" s="18">
        <v>19</v>
      </c>
      <c r="E1748" s="17" t="s">
        <v>116</v>
      </c>
      <c r="F1748" s="19">
        <v>978</v>
      </c>
      <c r="G1748" s="20">
        <f>F1748+(VLOOKUP(D1748,'(Semelles.Monument.€HT)'!C:G,3,FALSE()))</f>
        <v>1164</v>
      </c>
      <c r="H1748" s="21">
        <f>F1748+(VLOOKUP(D1748,'(Semelles.Monument.€HT)'!C:G,4,FALSE()))</f>
        <v>1218</v>
      </c>
      <c r="I1748" s="22">
        <f>F1748+(VLOOKUP(D1748,'(Semelles.Monument.€HT)'!C:G,5,FALSE()))</f>
        <v>1275</v>
      </c>
    </row>
    <row r="1749" spans="1:9" ht="26" customHeight="1">
      <c r="A1749" s="2" t="s">
        <v>181</v>
      </c>
      <c r="B1749" s="13" t="s">
        <v>185</v>
      </c>
      <c r="C1749" s="13" t="s">
        <v>97</v>
      </c>
      <c r="D1749" s="13">
        <v>20</v>
      </c>
      <c r="E1749" s="2" t="s">
        <v>117</v>
      </c>
      <c r="F1749" s="7">
        <v>986</v>
      </c>
      <c r="G1749" s="3">
        <f>F1749+(VLOOKUP(D1749,'(Semelles.Monument.€HT)'!C:G,3,FALSE()))</f>
        <v>1174</v>
      </c>
      <c r="H1749" s="4">
        <f>F1749+(VLOOKUP(D1749,'(Semelles.Monument.€HT)'!C:G,4,FALSE()))</f>
        <v>1228</v>
      </c>
      <c r="I1749" s="5">
        <f>F1749+(VLOOKUP(D1749,'(Semelles.Monument.€HT)'!C:G,5,FALSE()))</f>
        <v>1285</v>
      </c>
    </row>
    <row r="1750" spans="1:9" ht="26" customHeight="1">
      <c r="A1750" s="17" t="s">
        <v>181</v>
      </c>
      <c r="B1750" s="18" t="s">
        <v>185</v>
      </c>
      <c r="C1750" s="18" t="s">
        <v>97</v>
      </c>
      <c r="D1750" s="18">
        <v>21</v>
      </c>
      <c r="E1750" s="17" t="s">
        <v>118</v>
      </c>
      <c r="F1750" s="19">
        <v>992</v>
      </c>
      <c r="G1750" s="20">
        <f>F1750+(VLOOKUP(D1750,'(Semelles.Monument.€HT)'!C:G,3,FALSE()))</f>
        <v>1181</v>
      </c>
      <c r="H1750" s="21">
        <f>F1750+(VLOOKUP(D1750,'(Semelles.Monument.€HT)'!C:G,4,FALSE()))</f>
        <v>1235</v>
      </c>
      <c r="I1750" s="22">
        <f>F1750+(VLOOKUP(D1750,'(Semelles.Monument.€HT)'!C:G,5,FALSE()))</f>
        <v>1293</v>
      </c>
    </row>
    <row r="1751" spans="1:9" ht="26" customHeight="1">
      <c r="A1751" s="2" t="s">
        <v>181</v>
      </c>
      <c r="B1751" s="13" t="s">
        <v>185</v>
      </c>
      <c r="C1751" s="13" t="s">
        <v>97</v>
      </c>
      <c r="D1751" s="13">
        <v>22</v>
      </c>
      <c r="E1751" s="2" t="s">
        <v>119</v>
      </c>
      <c r="F1751" s="7">
        <v>992</v>
      </c>
      <c r="G1751" s="3">
        <f>F1751+(VLOOKUP(D1751,'(Semelles.Monument.€HT)'!C:G,3,FALSE()))</f>
        <v>1181</v>
      </c>
      <c r="H1751" s="4">
        <f>F1751+(VLOOKUP(D1751,'(Semelles.Monument.€HT)'!C:G,4,FALSE()))</f>
        <v>1235</v>
      </c>
      <c r="I1751" s="5">
        <f>F1751+(VLOOKUP(D1751,'(Semelles.Monument.€HT)'!C:G,5,FALSE()))</f>
        <v>1293</v>
      </c>
    </row>
    <row r="1752" spans="1:9" ht="26" customHeight="1">
      <c r="A1752" s="17" t="s">
        <v>181</v>
      </c>
      <c r="B1752" s="18" t="s">
        <v>185</v>
      </c>
      <c r="C1752" s="18" t="s">
        <v>97</v>
      </c>
      <c r="D1752" s="18">
        <v>23</v>
      </c>
      <c r="E1752" s="17" t="s">
        <v>120</v>
      </c>
      <c r="F1752" s="19">
        <v>1007</v>
      </c>
      <c r="G1752" s="20">
        <f>F1752+(VLOOKUP(D1752,'(Semelles.Monument.€HT)'!C:G,3,FALSE()))</f>
        <v>1199</v>
      </c>
      <c r="H1752" s="21">
        <f>F1752+(VLOOKUP(D1752,'(Semelles.Monument.€HT)'!C:G,4,FALSE()))</f>
        <v>1254</v>
      </c>
      <c r="I1752" s="22">
        <f>F1752+(VLOOKUP(D1752,'(Semelles.Monument.€HT)'!C:G,5,FALSE()))</f>
        <v>1312</v>
      </c>
    </row>
    <row r="1753" spans="1:9" ht="26" customHeight="1">
      <c r="A1753" s="2" t="s">
        <v>181</v>
      </c>
      <c r="B1753" s="13" t="s">
        <v>185</v>
      </c>
      <c r="C1753" s="13" t="s">
        <v>97</v>
      </c>
      <c r="D1753" s="13">
        <v>24</v>
      </c>
      <c r="E1753" s="2" t="s">
        <v>121</v>
      </c>
      <c r="F1753" s="7">
        <v>1007</v>
      </c>
      <c r="G1753" s="3">
        <f>F1753+(VLOOKUP(D1753,'(Semelles.Monument.€HT)'!C:G,3,FALSE()))</f>
        <v>1199</v>
      </c>
      <c r="H1753" s="4">
        <f>F1753+(VLOOKUP(D1753,'(Semelles.Monument.€HT)'!C:G,4,FALSE()))</f>
        <v>1254</v>
      </c>
      <c r="I1753" s="5">
        <f>F1753+(VLOOKUP(D1753,'(Semelles.Monument.€HT)'!C:G,5,FALSE()))</f>
        <v>1312</v>
      </c>
    </row>
    <row r="1754" spans="1:9" ht="26" customHeight="1">
      <c r="A1754" s="17" t="s">
        <v>181</v>
      </c>
      <c r="B1754" s="18" t="s">
        <v>185</v>
      </c>
      <c r="C1754" s="18" t="s">
        <v>97</v>
      </c>
      <c r="D1754" s="18">
        <v>25</v>
      </c>
      <c r="E1754" s="17" t="s">
        <v>122</v>
      </c>
      <c r="F1754" s="19">
        <v>1007</v>
      </c>
      <c r="G1754" s="20">
        <f>F1754+(VLOOKUP(D1754,'(Semelles.Monument.€HT)'!C:G,3,FALSE()))</f>
        <v>1199</v>
      </c>
      <c r="H1754" s="21">
        <f>F1754+(VLOOKUP(D1754,'(Semelles.Monument.€HT)'!C:G,4,FALSE()))</f>
        <v>1254</v>
      </c>
      <c r="I1754" s="22">
        <f>F1754+(VLOOKUP(D1754,'(Semelles.Monument.€HT)'!C:G,5,FALSE()))</f>
        <v>1312</v>
      </c>
    </row>
    <row r="1755" spans="1:9" ht="26" customHeight="1">
      <c r="A1755" s="2" t="s">
        <v>181</v>
      </c>
      <c r="B1755" s="13" t="s">
        <v>185</v>
      </c>
      <c r="C1755" s="13" t="s">
        <v>97</v>
      </c>
      <c r="D1755" s="13">
        <v>26</v>
      </c>
      <c r="E1755" s="2" t="s">
        <v>123</v>
      </c>
      <c r="F1755" s="7">
        <v>1023</v>
      </c>
      <c r="G1755" s="3">
        <f>F1755+(VLOOKUP(D1755,'(Semelles.Monument.€HT)'!C:G,3,FALSE()))</f>
        <v>1218</v>
      </c>
      <c r="H1755" s="4">
        <f>F1755+(VLOOKUP(D1755,'(Semelles.Monument.€HT)'!C:G,4,FALSE()))</f>
        <v>1274</v>
      </c>
      <c r="I1755" s="5">
        <f>F1755+(VLOOKUP(D1755,'(Semelles.Monument.€HT)'!C:G,5,FALSE()))</f>
        <v>1333</v>
      </c>
    </row>
    <row r="1756" spans="1:9" ht="26" customHeight="1">
      <c r="A1756" s="17" t="s">
        <v>181</v>
      </c>
      <c r="B1756" s="18" t="s">
        <v>185</v>
      </c>
      <c r="C1756" s="18" t="s">
        <v>97</v>
      </c>
      <c r="D1756" s="18">
        <v>27</v>
      </c>
      <c r="E1756" s="17" t="s">
        <v>124</v>
      </c>
      <c r="F1756" s="19">
        <v>1090</v>
      </c>
      <c r="G1756" s="20">
        <f>F1756+(VLOOKUP(D1756,'(Semelles.Monument.€HT)'!C:G,3,FALSE()))</f>
        <v>1298</v>
      </c>
      <c r="H1756" s="21">
        <f>F1756+(VLOOKUP(D1756,'(Semelles.Monument.€HT)'!C:G,4,FALSE()))</f>
        <v>1358</v>
      </c>
      <c r="I1756" s="22">
        <f>F1756+(VLOOKUP(D1756,'(Semelles.Monument.€HT)'!C:G,5,FALSE()))</f>
        <v>1457</v>
      </c>
    </row>
    <row r="1757" spans="1:9" ht="26" customHeight="1">
      <c r="A1757" s="2" t="s">
        <v>181</v>
      </c>
      <c r="B1757" s="13" t="s">
        <v>185</v>
      </c>
      <c r="C1757" s="13" t="s">
        <v>97</v>
      </c>
      <c r="D1757" s="13">
        <v>28</v>
      </c>
      <c r="E1757" s="2" t="s">
        <v>125</v>
      </c>
      <c r="F1757" s="7">
        <v>1207</v>
      </c>
      <c r="G1757" s="3">
        <f>F1757+(VLOOKUP(D1757,'(Semelles.Monument.€HT)'!C:G,3,FALSE()))</f>
        <v>1437</v>
      </c>
      <c r="H1757" s="4">
        <f>F1757+(VLOOKUP(D1757,'(Semelles.Monument.€HT)'!C:G,4,FALSE()))</f>
        <v>1504</v>
      </c>
      <c r="I1757" s="5">
        <f>F1757+(VLOOKUP(D1757,'(Semelles.Monument.€HT)'!C:G,5,FALSE()))</f>
        <v>1574</v>
      </c>
    </row>
    <row r="1758" spans="1:9" ht="26" customHeight="1">
      <c r="A1758" s="17" t="s">
        <v>181</v>
      </c>
      <c r="B1758" s="18" t="s">
        <v>185</v>
      </c>
      <c r="C1758" s="18" t="s">
        <v>97</v>
      </c>
      <c r="D1758" s="18">
        <v>29</v>
      </c>
      <c r="E1758" s="17" t="s">
        <v>126</v>
      </c>
      <c r="F1758" s="19">
        <v>1257</v>
      </c>
      <c r="G1758" s="20">
        <f>F1758+(VLOOKUP(D1758,'(Semelles.Monument.€HT)'!C:G,3,FALSE()))</f>
        <v>1497</v>
      </c>
      <c r="H1758" s="21">
        <f>F1758+(VLOOKUP(D1758,'(Semelles.Monument.€HT)'!C:G,4,FALSE()))</f>
        <v>1566</v>
      </c>
      <c r="I1758" s="22">
        <f>F1758+(VLOOKUP(D1758,'(Semelles.Monument.€HT)'!C:G,5,FALSE()))</f>
        <v>1639</v>
      </c>
    </row>
    <row r="1759" spans="1:9" ht="26" customHeight="1">
      <c r="A1759" s="2" t="s">
        <v>181</v>
      </c>
      <c r="B1759" s="13" t="s">
        <v>185</v>
      </c>
      <c r="C1759" s="13" t="s">
        <v>97</v>
      </c>
      <c r="D1759" s="13">
        <v>30</v>
      </c>
      <c r="E1759" s="2" t="s">
        <v>127</v>
      </c>
      <c r="F1759" s="7">
        <v>1257</v>
      </c>
      <c r="G1759" s="3">
        <f>F1759+(VLOOKUP(D1759,'(Semelles.Monument.€HT)'!C:G,3,FALSE()))</f>
        <v>1497</v>
      </c>
      <c r="H1759" s="4">
        <f>F1759+(VLOOKUP(D1759,'(Semelles.Monument.€HT)'!C:G,4,FALSE()))</f>
        <v>1566</v>
      </c>
      <c r="I1759" s="5">
        <f>F1759+(VLOOKUP(D1759,'(Semelles.Monument.€HT)'!C:G,5,FALSE()))</f>
        <v>1639</v>
      </c>
    </row>
    <row r="1760" spans="1:9" ht="26" customHeight="1">
      <c r="A1760" s="17" t="s">
        <v>181</v>
      </c>
      <c r="B1760" s="18" t="s">
        <v>185</v>
      </c>
      <c r="C1760" s="18" t="s">
        <v>128</v>
      </c>
      <c r="D1760" s="18">
        <v>31</v>
      </c>
      <c r="E1760" s="17" t="s">
        <v>129</v>
      </c>
      <c r="F1760" s="19">
        <v>695</v>
      </c>
      <c r="G1760" s="20">
        <f>F1760+(VLOOKUP(D1760,'(Semelles.Monument.€HT)'!C:G,3,FALSE()))</f>
        <v>827</v>
      </c>
      <c r="H1760" s="21">
        <f>F1760+(VLOOKUP(D1760,'(Semelles.Monument.€HT)'!C:G,4,FALSE()))</f>
        <v>865</v>
      </c>
      <c r="I1760" s="22">
        <f>F1760+(VLOOKUP(D1760,'(Semelles.Monument.€HT)'!C:G,5,FALSE()))</f>
        <v>905</v>
      </c>
    </row>
    <row r="1761" spans="1:9" ht="26" customHeight="1">
      <c r="A1761" s="2" t="s">
        <v>181</v>
      </c>
      <c r="B1761" s="13" t="s">
        <v>185</v>
      </c>
      <c r="C1761" s="13" t="s">
        <v>128</v>
      </c>
      <c r="D1761" s="13">
        <v>32</v>
      </c>
      <c r="E1761" s="2" t="s">
        <v>130</v>
      </c>
      <c r="F1761" s="7">
        <v>705</v>
      </c>
      <c r="G1761" s="3">
        <f>F1761+(VLOOKUP(D1761,'(Semelles.Monument.€HT)'!C:G,3,FALSE()))</f>
        <v>839</v>
      </c>
      <c r="H1761" s="4">
        <f>F1761+(VLOOKUP(D1761,'(Semelles.Monument.€HT)'!C:G,4,FALSE()))</f>
        <v>878</v>
      </c>
      <c r="I1761" s="5">
        <f>F1761+(VLOOKUP(D1761,'(Semelles.Monument.€HT)'!C:G,5,FALSE()))</f>
        <v>918</v>
      </c>
    </row>
    <row r="1762" spans="1:9" ht="26" customHeight="1">
      <c r="A1762" s="17" t="s">
        <v>181</v>
      </c>
      <c r="B1762" s="18" t="s">
        <v>185</v>
      </c>
      <c r="C1762" s="18" t="s">
        <v>128</v>
      </c>
      <c r="D1762" s="18">
        <v>33</v>
      </c>
      <c r="E1762" s="17" t="s">
        <v>131</v>
      </c>
      <c r="F1762" s="19">
        <v>705</v>
      </c>
      <c r="G1762" s="20">
        <f>F1762+(VLOOKUP(D1762,'(Semelles.Monument.€HT)'!C:G,3,FALSE()))</f>
        <v>839</v>
      </c>
      <c r="H1762" s="21">
        <f>F1762+(VLOOKUP(D1762,'(Semelles.Monument.€HT)'!C:G,4,FALSE()))</f>
        <v>878</v>
      </c>
      <c r="I1762" s="22">
        <f>F1762+(VLOOKUP(D1762,'(Semelles.Monument.€HT)'!C:G,5,FALSE()))</f>
        <v>918</v>
      </c>
    </row>
    <row r="1763" spans="1:9" ht="26" customHeight="1">
      <c r="A1763" s="2" t="s">
        <v>181</v>
      </c>
      <c r="B1763" s="13" t="s">
        <v>185</v>
      </c>
      <c r="C1763" s="13" t="s">
        <v>128</v>
      </c>
      <c r="D1763" s="13">
        <v>34</v>
      </c>
      <c r="E1763" s="2" t="s">
        <v>132</v>
      </c>
      <c r="F1763" s="7">
        <v>712</v>
      </c>
      <c r="G1763" s="3">
        <f>F1763+(VLOOKUP(D1763,'(Semelles.Monument.€HT)'!C:G,3,FALSE()))</f>
        <v>847</v>
      </c>
      <c r="H1763" s="4">
        <f>F1763+(VLOOKUP(D1763,'(Semelles.Monument.€HT)'!C:G,4,FALSE()))</f>
        <v>886</v>
      </c>
      <c r="I1763" s="5">
        <f>F1763+(VLOOKUP(D1763,'(Semelles.Monument.€HT)'!C:G,5,FALSE()))</f>
        <v>927</v>
      </c>
    </row>
    <row r="1764" spans="1:9" ht="26" customHeight="1">
      <c r="A1764" s="17" t="s">
        <v>181</v>
      </c>
      <c r="B1764" s="18" t="s">
        <v>185</v>
      </c>
      <c r="C1764" s="18" t="s">
        <v>128</v>
      </c>
      <c r="D1764" s="18">
        <v>35</v>
      </c>
      <c r="E1764" s="17" t="s">
        <v>133</v>
      </c>
      <c r="F1764" s="19">
        <v>855</v>
      </c>
      <c r="G1764" s="20">
        <f>F1764+(VLOOKUP(D1764,'(Semelles.Monument.€HT)'!C:G,3,FALSE()))</f>
        <v>1018</v>
      </c>
      <c r="H1764" s="21">
        <f>F1764+(VLOOKUP(D1764,'(Semelles.Monument.€HT)'!C:G,4,FALSE()))</f>
        <v>1065</v>
      </c>
      <c r="I1764" s="22">
        <f>F1764+(VLOOKUP(D1764,'(Semelles.Monument.€HT)'!C:G,5,FALSE()))</f>
        <v>1114</v>
      </c>
    </row>
    <row r="1765" spans="1:9" ht="26" customHeight="1">
      <c r="A1765" s="2" t="s">
        <v>181</v>
      </c>
      <c r="B1765" s="13" t="s">
        <v>185</v>
      </c>
      <c r="C1765" s="13" t="s">
        <v>128</v>
      </c>
      <c r="D1765" s="13">
        <v>36</v>
      </c>
      <c r="E1765" s="2" t="s">
        <v>134</v>
      </c>
      <c r="F1765" s="7">
        <v>885</v>
      </c>
      <c r="G1765" s="3">
        <f>F1765+(VLOOKUP(D1765,'(Semelles.Monument.€HT)'!C:G,3,FALSE()))</f>
        <v>1053</v>
      </c>
      <c r="H1765" s="4">
        <f>F1765+(VLOOKUP(D1765,'(Semelles.Monument.€HT)'!C:G,4,FALSE()))</f>
        <v>1102</v>
      </c>
      <c r="I1765" s="5">
        <f>F1765+(VLOOKUP(D1765,'(Semelles.Monument.€HT)'!C:G,5,FALSE()))</f>
        <v>1153</v>
      </c>
    </row>
    <row r="1766" spans="1:9" ht="26" customHeight="1">
      <c r="A1766" s="17" t="s">
        <v>181</v>
      </c>
      <c r="B1766" s="18" t="s">
        <v>185</v>
      </c>
      <c r="C1766" s="18" t="s">
        <v>128</v>
      </c>
      <c r="D1766" s="18">
        <v>37</v>
      </c>
      <c r="E1766" s="17" t="s">
        <v>135</v>
      </c>
      <c r="F1766" s="19">
        <v>1093</v>
      </c>
      <c r="G1766" s="20">
        <f>F1766+(VLOOKUP(D1766,'(Semelles.Monument.€HT)'!C:G,3,FALSE()))</f>
        <v>1301</v>
      </c>
      <c r="H1766" s="21">
        <f>F1766+(VLOOKUP(D1766,'(Semelles.Monument.€HT)'!C:G,4,FALSE()))</f>
        <v>1361</v>
      </c>
      <c r="I1766" s="22">
        <f>F1766+(VLOOKUP(D1766,'(Semelles.Monument.€HT)'!C:G,5,FALSE()))</f>
        <v>1425</v>
      </c>
    </row>
    <row r="1767" spans="1:9" ht="26" customHeight="1">
      <c r="A1767" s="2" t="s">
        <v>181</v>
      </c>
      <c r="B1767" s="13" t="s">
        <v>185</v>
      </c>
      <c r="C1767" s="13" t="s">
        <v>128</v>
      </c>
      <c r="D1767" s="13">
        <v>38</v>
      </c>
      <c r="E1767" s="2" t="s">
        <v>136</v>
      </c>
      <c r="F1767" s="7">
        <v>1156</v>
      </c>
      <c r="G1767" s="3">
        <f>F1767+(VLOOKUP(D1767,'(Semelles.Monument.€HT)'!C:G,3,FALSE()))</f>
        <v>1376</v>
      </c>
      <c r="H1767" s="4">
        <f>F1767+(VLOOKUP(D1767,'(Semelles.Monument.€HT)'!C:G,4,FALSE()))</f>
        <v>1440</v>
      </c>
      <c r="I1767" s="5">
        <f>F1767+(VLOOKUP(D1767,'(Semelles.Monument.€HT)'!C:G,5,FALSE()))</f>
        <v>1507</v>
      </c>
    </row>
    <row r="1768" spans="1:9" ht="26" customHeight="1">
      <c r="A1768" s="17" t="s">
        <v>181</v>
      </c>
      <c r="B1768" s="18" t="s">
        <v>185</v>
      </c>
      <c r="C1768" s="18" t="s">
        <v>128</v>
      </c>
      <c r="D1768" s="18">
        <v>39</v>
      </c>
      <c r="E1768" s="17" t="s">
        <v>137</v>
      </c>
      <c r="F1768" s="19">
        <v>1186</v>
      </c>
      <c r="G1768" s="20">
        <f>F1768+(VLOOKUP(D1768,'(Semelles.Monument.€HT)'!C:G,3,FALSE()))</f>
        <v>1412</v>
      </c>
      <c r="H1768" s="21">
        <f>F1768+(VLOOKUP(D1768,'(Semelles.Monument.€HT)'!C:G,4,FALSE()))</f>
        <v>1477</v>
      </c>
      <c r="I1768" s="22">
        <f>F1768+(VLOOKUP(D1768,'(Semelles.Monument.€HT)'!C:G,5,FALSE()))</f>
        <v>1546</v>
      </c>
    </row>
    <row r="1769" spans="1:9" ht="26" customHeight="1">
      <c r="A1769" s="2" t="s">
        <v>181</v>
      </c>
      <c r="B1769" s="13" t="s">
        <v>185</v>
      </c>
      <c r="C1769" s="13" t="s">
        <v>128</v>
      </c>
      <c r="D1769" s="13">
        <v>40</v>
      </c>
      <c r="E1769" s="2" t="s">
        <v>138</v>
      </c>
      <c r="F1769" s="7">
        <v>1219</v>
      </c>
      <c r="G1769" s="3">
        <f>F1769+(VLOOKUP(D1769,'(Semelles.Monument.€HT)'!C:G,3,FALSE()))</f>
        <v>1451</v>
      </c>
      <c r="H1769" s="4">
        <f>F1769+(VLOOKUP(D1769,'(Semelles.Monument.€HT)'!C:G,4,FALSE()))</f>
        <v>1519</v>
      </c>
      <c r="I1769" s="5">
        <f>F1769+(VLOOKUP(D1769,'(Semelles.Monument.€HT)'!C:G,5,FALSE()))</f>
        <v>1589</v>
      </c>
    </row>
    <row r="1770" spans="1:9" ht="26" customHeight="1">
      <c r="A1770" s="17" t="s">
        <v>181</v>
      </c>
      <c r="B1770" s="18" t="s">
        <v>185</v>
      </c>
      <c r="C1770" s="18" t="s">
        <v>128</v>
      </c>
      <c r="D1770" s="18">
        <v>41</v>
      </c>
      <c r="E1770" s="17" t="s">
        <v>139</v>
      </c>
      <c r="F1770" s="19">
        <v>1296</v>
      </c>
      <c r="G1770" s="20">
        <f>F1770+(VLOOKUP(D1770,'(Semelles.Monument.€HT)'!C:G,3,FALSE()))</f>
        <v>1543</v>
      </c>
      <c r="H1770" s="21">
        <f>F1770+(VLOOKUP(D1770,'(Semelles.Monument.€HT)'!C:G,4,FALSE()))</f>
        <v>1615</v>
      </c>
      <c r="I1770" s="22">
        <f>F1770+(VLOOKUP(D1770,'(Semelles.Monument.€HT)'!C:G,5,FALSE()))</f>
        <v>1690</v>
      </c>
    </row>
    <row r="1771" spans="1:9" ht="26" customHeight="1">
      <c r="A1771" s="2" t="s">
        <v>181</v>
      </c>
      <c r="B1771" s="13" t="s">
        <v>185</v>
      </c>
      <c r="C1771" s="13" t="s">
        <v>128</v>
      </c>
      <c r="D1771" s="13">
        <v>42</v>
      </c>
      <c r="E1771" s="2" t="s">
        <v>140</v>
      </c>
      <c r="F1771" s="7">
        <v>1423</v>
      </c>
      <c r="G1771" s="3">
        <f>F1771+(VLOOKUP(D1771,'(Semelles.Monument.€HT)'!C:G,3,FALSE()))</f>
        <v>1694</v>
      </c>
      <c r="H1771" s="4">
        <f>F1771+(VLOOKUP(D1771,'(Semelles.Monument.€HT)'!C:G,4,FALSE()))</f>
        <v>1773</v>
      </c>
      <c r="I1771" s="5">
        <f>F1771+(VLOOKUP(D1771,'(Semelles.Monument.€HT)'!C:G,5,FALSE()))</f>
        <v>1856</v>
      </c>
    </row>
    <row r="1772" spans="1:9" ht="26" customHeight="1">
      <c r="A1772" s="17" t="s">
        <v>181</v>
      </c>
      <c r="B1772" s="18" t="s">
        <v>185</v>
      </c>
      <c r="C1772" s="18" t="s">
        <v>128</v>
      </c>
      <c r="D1772" s="18">
        <v>43</v>
      </c>
      <c r="E1772" s="17" t="s">
        <v>141</v>
      </c>
      <c r="F1772" s="19">
        <v>1423</v>
      </c>
      <c r="G1772" s="20">
        <f>F1772+(VLOOKUP(D1772,'(Semelles.Monument.€HT)'!C:G,3,FALSE()))</f>
        <v>1694</v>
      </c>
      <c r="H1772" s="21">
        <f>F1772+(VLOOKUP(D1772,'(Semelles.Monument.€HT)'!C:G,4,FALSE()))</f>
        <v>1773</v>
      </c>
      <c r="I1772" s="22">
        <f>F1772+(VLOOKUP(D1772,'(Semelles.Monument.€HT)'!C:G,5,FALSE()))</f>
        <v>1856</v>
      </c>
    </row>
    <row r="1773" spans="1:9" ht="26" customHeight="1">
      <c r="A1773" s="2" t="s">
        <v>181</v>
      </c>
      <c r="B1773" s="13" t="s">
        <v>185</v>
      </c>
      <c r="C1773" s="13" t="s">
        <v>128</v>
      </c>
      <c r="D1773" s="13">
        <v>44</v>
      </c>
      <c r="E1773" s="2" t="s">
        <v>142</v>
      </c>
      <c r="F1773" s="7">
        <v>1440</v>
      </c>
      <c r="G1773" s="3">
        <f>F1773+(VLOOKUP(D1773,'(Semelles.Monument.€HT)'!C:G,3,FALSE()))</f>
        <v>1715</v>
      </c>
      <c r="H1773" s="4">
        <f>F1773+(VLOOKUP(D1773,'(Semelles.Monument.€HT)'!C:G,4,FALSE()))</f>
        <v>1794</v>
      </c>
      <c r="I1773" s="5">
        <f>F1773+(VLOOKUP(D1773,'(Semelles.Monument.€HT)'!C:G,5,FALSE()))</f>
        <v>1878</v>
      </c>
    </row>
    <row r="1774" spans="1:9" ht="26" customHeight="1">
      <c r="A1774" s="17" t="s">
        <v>181</v>
      </c>
      <c r="B1774" s="18" t="s">
        <v>185</v>
      </c>
      <c r="C1774" s="18" t="s">
        <v>128</v>
      </c>
      <c r="D1774" s="18">
        <v>45</v>
      </c>
      <c r="E1774" s="17" t="s">
        <v>143</v>
      </c>
      <c r="F1774" s="19">
        <v>1457</v>
      </c>
      <c r="G1774" s="20">
        <f>F1774+(VLOOKUP(D1774,'(Semelles.Monument.€HT)'!C:G,3,FALSE()))</f>
        <v>1735</v>
      </c>
      <c r="H1774" s="21">
        <f>F1774+(VLOOKUP(D1774,'(Semelles.Monument.€HT)'!C:G,4,FALSE()))</f>
        <v>1815</v>
      </c>
      <c r="I1774" s="22">
        <f>F1774+(VLOOKUP(D1774,'(Semelles.Monument.€HT)'!C:G,5,FALSE()))</f>
        <v>1900</v>
      </c>
    </row>
    <row r="1775" spans="1:9" ht="26" customHeight="1">
      <c r="A1775" s="2" t="s">
        <v>181</v>
      </c>
      <c r="B1775" s="13" t="s">
        <v>185</v>
      </c>
      <c r="C1775" s="13" t="s">
        <v>128</v>
      </c>
      <c r="D1775" s="13">
        <v>46</v>
      </c>
      <c r="E1775" s="2" t="s">
        <v>144</v>
      </c>
      <c r="F1775" s="7">
        <v>1457</v>
      </c>
      <c r="G1775" s="3">
        <f>F1775+(VLOOKUP(D1775,'(Semelles.Monument.€HT)'!C:G,3,FALSE()))</f>
        <v>1735</v>
      </c>
      <c r="H1775" s="4">
        <f>F1775+(VLOOKUP(D1775,'(Semelles.Monument.€HT)'!C:G,4,FALSE()))</f>
        <v>1815</v>
      </c>
      <c r="I1775" s="5">
        <f>F1775+(VLOOKUP(D1775,'(Semelles.Monument.€HT)'!C:G,5,FALSE()))</f>
        <v>1900</v>
      </c>
    </row>
    <row r="1776" spans="1:9" ht="26" customHeight="1">
      <c r="A1776" s="17" t="s">
        <v>181</v>
      </c>
      <c r="B1776" s="18" t="s">
        <v>185</v>
      </c>
      <c r="C1776" s="18" t="s">
        <v>128</v>
      </c>
      <c r="D1776" s="18">
        <v>47</v>
      </c>
      <c r="E1776" s="17" t="s">
        <v>145</v>
      </c>
      <c r="F1776" s="19">
        <v>1487</v>
      </c>
      <c r="G1776" s="20">
        <f>F1776+(VLOOKUP(D1776,'(Semelles.Monument.€HT)'!C:G,3,FALSE()))</f>
        <v>1771</v>
      </c>
      <c r="H1776" s="21">
        <f>F1776+(VLOOKUP(D1776,'(Semelles.Monument.€HT)'!C:G,4,FALSE()))</f>
        <v>1853</v>
      </c>
      <c r="I1776" s="22">
        <f>F1776+(VLOOKUP(D1776,'(Semelles.Monument.€HT)'!C:G,5,FALSE()))</f>
        <v>1939</v>
      </c>
    </row>
    <row r="1777" spans="1:9" ht="26" customHeight="1">
      <c r="A1777" s="2" t="s">
        <v>181</v>
      </c>
      <c r="B1777" s="13" t="s">
        <v>185</v>
      </c>
      <c r="C1777" s="13" t="s">
        <v>128</v>
      </c>
      <c r="D1777" s="13">
        <v>48</v>
      </c>
      <c r="E1777" s="2" t="s">
        <v>146</v>
      </c>
      <c r="F1777" s="7">
        <v>1503</v>
      </c>
      <c r="G1777" s="3">
        <f>F1777+(VLOOKUP(D1777,'(Semelles.Monument.€HT)'!C:G,3,FALSE()))</f>
        <v>1790</v>
      </c>
      <c r="H1777" s="4">
        <f>F1777+(VLOOKUP(D1777,'(Semelles.Monument.€HT)'!C:G,4,FALSE()))</f>
        <v>1873</v>
      </c>
      <c r="I1777" s="5">
        <f>F1777+(VLOOKUP(D1777,'(Semelles.Monument.€HT)'!C:G,5,FALSE()))</f>
        <v>1960</v>
      </c>
    </row>
    <row r="1778" spans="1:9" ht="26" customHeight="1">
      <c r="A1778" s="17" t="s">
        <v>181</v>
      </c>
      <c r="B1778" s="18" t="s">
        <v>186</v>
      </c>
      <c r="C1778" s="18" t="s">
        <v>97</v>
      </c>
      <c r="D1778" s="18">
        <v>1</v>
      </c>
      <c r="E1778" s="17" t="s">
        <v>98</v>
      </c>
      <c r="F1778" s="19">
        <v>1134</v>
      </c>
      <c r="G1778" s="20">
        <f>F1778+(VLOOKUP(D1778,'(Semelles.Monument.€HT)'!C:G,3,FALSE()))</f>
        <v>1292</v>
      </c>
      <c r="H1778" s="21">
        <f>F1778+(VLOOKUP(D1778,'(Semelles.Monument.€HT)'!C:G,4,FALSE()))</f>
        <v>1338</v>
      </c>
      <c r="I1778" s="22">
        <f>F1778+(VLOOKUP(D1778,'(Semelles.Monument.€HT)'!C:G,5,FALSE()))</f>
        <v>1386</v>
      </c>
    </row>
    <row r="1779" spans="1:9" ht="26" customHeight="1">
      <c r="A1779" s="2" t="s">
        <v>181</v>
      </c>
      <c r="B1779" s="13" t="s">
        <v>186</v>
      </c>
      <c r="C1779" s="13" t="s">
        <v>97</v>
      </c>
      <c r="D1779" s="13">
        <v>2</v>
      </c>
      <c r="E1779" s="2" t="s">
        <v>99</v>
      </c>
      <c r="F1779" s="7">
        <v>1134</v>
      </c>
      <c r="G1779" s="3">
        <f>F1779+(VLOOKUP(D1779,'(Semelles.Monument.€HT)'!C:G,3,FALSE()))</f>
        <v>1292</v>
      </c>
      <c r="H1779" s="4">
        <f>F1779+(VLOOKUP(D1779,'(Semelles.Monument.€HT)'!C:G,4,FALSE()))</f>
        <v>1338</v>
      </c>
      <c r="I1779" s="5">
        <f>F1779+(VLOOKUP(D1779,'(Semelles.Monument.€HT)'!C:G,5,FALSE()))</f>
        <v>1386</v>
      </c>
    </row>
    <row r="1780" spans="1:9" ht="26" customHeight="1">
      <c r="A1780" s="17" t="s">
        <v>181</v>
      </c>
      <c r="B1780" s="18" t="s">
        <v>186</v>
      </c>
      <c r="C1780" s="18" t="s">
        <v>97</v>
      </c>
      <c r="D1780" s="18">
        <v>3</v>
      </c>
      <c r="E1780" s="17" t="s">
        <v>100</v>
      </c>
      <c r="F1780" s="19">
        <v>1194</v>
      </c>
      <c r="G1780" s="20">
        <f>F1780+(VLOOKUP(D1780,'(Semelles.Monument.€HT)'!C:G,3,FALSE()))</f>
        <v>1370</v>
      </c>
      <c r="H1780" s="21">
        <f>F1780+(VLOOKUP(D1780,'(Semelles.Monument.€HT)'!C:G,4,FALSE()))</f>
        <v>1421</v>
      </c>
      <c r="I1780" s="22">
        <f>F1780+(VLOOKUP(D1780,'(Semelles.Monument.€HT)'!C:G,5,FALSE()))</f>
        <v>1474</v>
      </c>
    </row>
    <row r="1781" spans="1:9" ht="26" customHeight="1">
      <c r="A1781" s="2" t="s">
        <v>181</v>
      </c>
      <c r="B1781" s="13" t="s">
        <v>186</v>
      </c>
      <c r="C1781" s="13" t="s">
        <v>97</v>
      </c>
      <c r="D1781" s="13">
        <v>4</v>
      </c>
      <c r="E1781" s="2" t="s">
        <v>101</v>
      </c>
      <c r="F1781" s="7">
        <v>1208</v>
      </c>
      <c r="G1781" s="3">
        <f>F1781+(VLOOKUP(D1781,'(Semelles.Monument.€HT)'!C:G,3,FALSE()))</f>
        <v>1387</v>
      </c>
      <c r="H1781" s="4">
        <f>F1781+(VLOOKUP(D1781,'(Semelles.Monument.€HT)'!C:G,4,FALSE()))</f>
        <v>1439</v>
      </c>
      <c r="I1781" s="5">
        <f>F1781+(VLOOKUP(D1781,'(Semelles.Monument.€HT)'!C:G,5,FALSE()))</f>
        <v>1493</v>
      </c>
    </row>
    <row r="1782" spans="1:9" ht="26" customHeight="1">
      <c r="A1782" s="17" t="s">
        <v>181</v>
      </c>
      <c r="B1782" s="18" t="s">
        <v>186</v>
      </c>
      <c r="C1782" s="18" t="s">
        <v>97</v>
      </c>
      <c r="D1782" s="18">
        <v>5</v>
      </c>
      <c r="E1782" s="17" t="s">
        <v>102</v>
      </c>
      <c r="F1782" s="19">
        <v>1208</v>
      </c>
      <c r="G1782" s="20">
        <f>F1782+(VLOOKUP(D1782,'(Semelles.Monument.€HT)'!C:G,3,FALSE()))</f>
        <v>1387</v>
      </c>
      <c r="H1782" s="21">
        <f>F1782+(VLOOKUP(D1782,'(Semelles.Monument.€HT)'!C:G,4,FALSE()))</f>
        <v>1439</v>
      </c>
      <c r="I1782" s="22">
        <f>F1782+(VLOOKUP(D1782,'(Semelles.Monument.€HT)'!C:G,5,FALSE()))</f>
        <v>1493</v>
      </c>
    </row>
    <row r="1783" spans="1:9" ht="26" customHeight="1">
      <c r="A1783" s="2" t="s">
        <v>181</v>
      </c>
      <c r="B1783" s="13" t="s">
        <v>186</v>
      </c>
      <c r="C1783" s="13" t="s">
        <v>97</v>
      </c>
      <c r="D1783" s="13">
        <v>6</v>
      </c>
      <c r="E1783" s="2" t="s">
        <v>103</v>
      </c>
      <c r="F1783" s="7">
        <v>1211</v>
      </c>
      <c r="G1783" s="3">
        <f>F1783+(VLOOKUP(D1783,'(Semelles.Monument.€HT)'!C:G,3,FALSE()))</f>
        <v>1391</v>
      </c>
      <c r="H1783" s="4">
        <f>F1783+(VLOOKUP(D1783,'(Semelles.Monument.€HT)'!C:G,4,FALSE()))</f>
        <v>1443</v>
      </c>
      <c r="I1783" s="5">
        <f>F1783+(VLOOKUP(D1783,'(Semelles.Monument.€HT)'!C:G,5,FALSE()))</f>
        <v>1498</v>
      </c>
    </row>
    <row r="1784" spans="1:9" ht="26" customHeight="1">
      <c r="A1784" s="17" t="s">
        <v>181</v>
      </c>
      <c r="B1784" s="18" t="s">
        <v>186</v>
      </c>
      <c r="C1784" s="18" t="s">
        <v>97</v>
      </c>
      <c r="D1784" s="18">
        <v>7</v>
      </c>
      <c r="E1784" s="17" t="s">
        <v>104</v>
      </c>
      <c r="F1784" s="19">
        <v>1211</v>
      </c>
      <c r="G1784" s="20">
        <f>F1784+(VLOOKUP(D1784,'(Semelles.Monument.€HT)'!C:G,3,FALSE()))</f>
        <v>1391</v>
      </c>
      <c r="H1784" s="21">
        <f>F1784+(VLOOKUP(D1784,'(Semelles.Monument.€HT)'!C:G,4,FALSE()))</f>
        <v>1443</v>
      </c>
      <c r="I1784" s="22">
        <f>F1784+(VLOOKUP(D1784,'(Semelles.Monument.€HT)'!C:G,5,FALSE()))</f>
        <v>1498</v>
      </c>
    </row>
    <row r="1785" spans="1:9" ht="26" customHeight="1">
      <c r="A1785" s="2" t="s">
        <v>181</v>
      </c>
      <c r="B1785" s="13" t="s">
        <v>186</v>
      </c>
      <c r="C1785" s="13" t="s">
        <v>97</v>
      </c>
      <c r="D1785" s="13">
        <v>8</v>
      </c>
      <c r="E1785" s="2" t="s">
        <v>105</v>
      </c>
      <c r="F1785" s="7">
        <v>1211</v>
      </c>
      <c r="G1785" s="3">
        <f>F1785+(VLOOKUP(D1785,'(Semelles.Monument.€HT)'!C:G,3,FALSE()))</f>
        <v>1391</v>
      </c>
      <c r="H1785" s="4">
        <f>F1785+(VLOOKUP(D1785,'(Semelles.Monument.€HT)'!C:G,4,FALSE()))</f>
        <v>1443</v>
      </c>
      <c r="I1785" s="5">
        <f>F1785+(VLOOKUP(D1785,'(Semelles.Monument.€HT)'!C:G,5,FALSE()))</f>
        <v>1498</v>
      </c>
    </row>
    <row r="1786" spans="1:9" ht="26" customHeight="1">
      <c r="A1786" s="17" t="s">
        <v>181</v>
      </c>
      <c r="B1786" s="18" t="s">
        <v>186</v>
      </c>
      <c r="C1786" s="18" t="s">
        <v>97</v>
      </c>
      <c r="D1786" s="18">
        <v>9</v>
      </c>
      <c r="E1786" s="17" t="s">
        <v>106</v>
      </c>
      <c r="F1786" s="19">
        <v>1211</v>
      </c>
      <c r="G1786" s="20">
        <f>F1786+(VLOOKUP(D1786,'(Semelles.Monument.€HT)'!C:G,3,FALSE()))</f>
        <v>1391</v>
      </c>
      <c r="H1786" s="21">
        <f>F1786+(VLOOKUP(D1786,'(Semelles.Monument.€HT)'!C:G,4,FALSE()))</f>
        <v>1443</v>
      </c>
      <c r="I1786" s="22">
        <f>F1786+(VLOOKUP(D1786,'(Semelles.Monument.€HT)'!C:G,5,FALSE()))</f>
        <v>1498</v>
      </c>
    </row>
    <row r="1787" spans="1:9" ht="26" customHeight="1">
      <c r="A1787" s="2" t="s">
        <v>181</v>
      </c>
      <c r="B1787" s="13" t="s">
        <v>186</v>
      </c>
      <c r="C1787" s="13" t="s">
        <v>97</v>
      </c>
      <c r="D1787" s="13">
        <v>10</v>
      </c>
      <c r="E1787" s="2" t="s">
        <v>107</v>
      </c>
      <c r="F1787" s="7">
        <v>1211</v>
      </c>
      <c r="G1787" s="3">
        <f>F1787+(VLOOKUP(D1787,'(Semelles.Monument.€HT)'!C:G,3,FALSE()))</f>
        <v>1391</v>
      </c>
      <c r="H1787" s="4">
        <f>F1787+(VLOOKUP(D1787,'(Semelles.Monument.€HT)'!C:G,4,FALSE()))</f>
        <v>1443</v>
      </c>
      <c r="I1787" s="5">
        <f>F1787+(VLOOKUP(D1787,'(Semelles.Monument.€HT)'!C:G,5,FALSE()))</f>
        <v>1498</v>
      </c>
    </row>
    <row r="1788" spans="1:9" ht="26" customHeight="1">
      <c r="A1788" s="17" t="s">
        <v>181</v>
      </c>
      <c r="B1788" s="18" t="s">
        <v>186</v>
      </c>
      <c r="C1788" s="18" t="s">
        <v>97</v>
      </c>
      <c r="D1788" s="18">
        <v>11</v>
      </c>
      <c r="E1788" s="17" t="s">
        <v>108</v>
      </c>
      <c r="F1788" s="19">
        <v>1211</v>
      </c>
      <c r="G1788" s="20">
        <f>F1788+(VLOOKUP(D1788,'(Semelles.Monument.€HT)'!C:G,3,FALSE()))</f>
        <v>1391</v>
      </c>
      <c r="H1788" s="21">
        <f>F1788+(VLOOKUP(D1788,'(Semelles.Monument.€HT)'!C:G,4,FALSE()))</f>
        <v>1443</v>
      </c>
      <c r="I1788" s="22">
        <f>F1788+(VLOOKUP(D1788,'(Semelles.Monument.€HT)'!C:G,5,FALSE()))</f>
        <v>1498</v>
      </c>
    </row>
    <row r="1789" spans="1:9" ht="26" customHeight="1">
      <c r="A1789" s="2" t="s">
        <v>181</v>
      </c>
      <c r="B1789" s="13" t="s">
        <v>186</v>
      </c>
      <c r="C1789" s="13" t="s">
        <v>97</v>
      </c>
      <c r="D1789" s="13">
        <v>12</v>
      </c>
      <c r="E1789" s="2" t="s">
        <v>109</v>
      </c>
      <c r="F1789" s="7">
        <v>1220</v>
      </c>
      <c r="G1789" s="3">
        <f>F1789+(VLOOKUP(D1789,'(Semelles.Monument.€HT)'!C:G,3,FALSE()))</f>
        <v>1402</v>
      </c>
      <c r="H1789" s="4">
        <f>F1789+(VLOOKUP(D1789,'(Semelles.Monument.€HT)'!C:G,4,FALSE()))</f>
        <v>1455</v>
      </c>
      <c r="I1789" s="5">
        <f>F1789+(VLOOKUP(D1789,'(Semelles.Monument.€HT)'!C:G,5,FALSE()))</f>
        <v>1511</v>
      </c>
    </row>
    <row r="1790" spans="1:9" ht="26" customHeight="1">
      <c r="A1790" s="17" t="s">
        <v>181</v>
      </c>
      <c r="B1790" s="18" t="s">
        <v>186</v>
      </c>
      <c r="C1790" s="18" t="s">
        <v>97</v>
      </c>
      <c r="D1790" s="18">
        <v>13</v>
      </c>
      <c r="E1790" s="17" t="s">
        <v>110</v>
      </c>
      <c r="F1790" s="19">
        <v>1220</v>
      </c>
      <c r="G1790" s="20">
        <f>F1790+(VLOOKUP(D1790,'(Semelles.Monument.€HT)'!C:G,3,FALSE()))</f>
        <v>1402</v>
      </c>
      <c r="H1790" s="21">
        <f>F1790+(VLOOKUP(D1790,'(Semelles.Monument.€HT)'!C:G,4,FALSE()))</f>
        <v>1455</v>
      </c>
      <c r="I1790" s="22">
        <f>F1790+(VLOOKUP(D1790,'(Semelles.Monument.€HT)'!C:G,5,FALSE()))</f>
        <v>1511</v>
      </c>
    </row>
    <row r="1791" spans="1:9" ht="26" customHeight="1">
      <c r="A1791" s="2" t="s">
        <v>181</v>
      </c>
      <c r="B1791" s="13" t="s">
        <v>186</v>
      </c>
      <c r="C1791" s="13" t="s">
        <v>97</v>
      </c>
      <c r="D1791" s="13">
        <v>14</v>
      </c>
      <c r="E1791" s="2" t="s">
        <v>111</v>
      </c>
      <c r="F1791" s="7">
        <v>1222</v>
      </c>
      <c r="G1791" s="3">
        <f>F1791+(VLOOKUP(D1791,'(Semelles.Monument.€HT)'!C:G,3,FALSE()))</f>
        <v>1405</v>
      </c>
      <c r="H1791" s="4">
        <f>F1791+(VLOOKUP(D1791,'(Semelles.Monument.€HT)'!C:G,4,FALSE()))</f>
        <v>1458</v>
      </c>
      <c r="I1791" s="5">
        <f>F1791+(VLOOKUP(D1791,'(Semelles.Monument.€HT)'!C:G,5,FALSE()))</f>
        <v>1514</v>
      </c>
    </row>
    <row r="1792" spans="1:9" ht="26" customHeight="1">
      <c r="A1792" s="17" t="s">
        <v>181</v>
      </c>
      <c r="B1792" s="18" t="s">
        <v>186</v>
      </c>
      <c r="C1792" s="18" t="s">
        <v>97</v>
      </c>
      <c r="D1792" s="18">
        <v>15</v>
      </c>
      <c r="E1792" s="17" t="s">
        <v>112</v>
      </c>
      <c r="F1792" s="19">
        <v>1222</v>
      </c>
      <c r="G1792" s="20">
        <f>F1792+(VLOOKUP(D1792,'(Semelles.Monument.€HT)'!C:G,3,FALSE()))</f>
        <v>1405</v>
      </c>
      <c r="H1792" s="21">
        <f>F1792+(VLOOKUP(D1792,'(Semelles.Monument.€HT)'!C:G,4,FALSE()))</f>
        <v>1458</v>
      </c>
      <c r="I1792" s="22">
        <f>F1792+(VLOOKUP(D1792,'(Semelles.Monument.€HT)'!C:G,5,FALSE()))</f>
        <v>1514</v>
      </c>
    </row>
    <row r="1793" spans="1:9" ht="26" customHeight="1">
      <c r="A1793" s="2" t="s">
        <v>181</v>
      </c>
      <c r="B1793" s="13" t="s">
        <v>186</v>
      </c>
      <c r="C1793" s="13" t="s">
        <v>97</v>
      </c>
      <c r="D1793" s="13">
        <v>16</v>
      </c>
      <c r="E1793" s="2" t="s">
        <v>113</v>
      </c>
      <c r="F1793" s="7">
        <v>1222</v>
      </c>
      <c r="G1793" s="3">
        <f>F1793+(VLOOKUP(D1793,'(Semelles.Monument.€HT)'!C:G,3,FALSE()))</f>
        <v>1405</v>
      </c>
      <c r="H1793" s="4">
        <f>F1793+(VLOOKUP(D1793,'(Semelles.Monument.€HT)'!C:G,4,FALSE()))</f>
        <v>1458</v>
      </c>
      <c r="I1793" s="5">
        <f>F1793+(VLOOKUP(D1793,'(Semelles.Monument.€HT)'!C:G,5,FALSE()))</f>
        <v>1514</v>
      </c>
    </row>
    <row r="1794" spans="1:9" ht="26" customHeight="1">
      <c r="A1794" s="17" t="s">
        <v>181</v>
      </c>
      <c r="B1794" s="18" t="s">
        <v>186</v>
      </c>
      <c r="C1794" s="18" t="s">
        <v>97</v>
      </c>
      <c r="D1794" s="18">
        <v>17</v>
      </c>
      <c r="E1794" s="17" t="s">
        <v>114</v>
      </c>
      <c r="F1794" s="19">
        <v>1232</v>
      </c>
      <c r="G1794" s="20">
        <f>F1794+(VLOOKUP(D1794,'(Semelles.Monument.€HT)'!C:G,3,FALSE()))</f>
        <v>1418</v>
      </c>
      <c r="H1794" s="21">
        <f>F1794+(VLOOKUP(D1794,'(Semelles.Monument.€HT)'!C:G,4,FALSE()))</f>
        <v>1472</v>
      </c>
      <c r="I1794" s="22">
        <f>F1794+(VLOOKUP(D1794,'(Semelles.Monument.€HT)'!C:G,5,FALSE()))</f>
        <v>1529</v>
      </c>
    </row>
    <row r="1795" spans="1:9" ht="26" customHeight="1">
      <c r="A1795" s="2" t="s">
        <v>181</v>
      </c>
      <c r="B1795" s="13" t="s">
        <v>186</v>
      </c>
      <c r="C1795" s="13" t="s">
        <v>97</v>
      </c>
      <c r="D1795" s="13">
        <v>18</v>
      </c>
      <c r="E1795" s="2" t="s">
        <v>115</v>
      </c>
      <c r="F1795" s="7">
        <v>1232</v>
      </c>
      <c r="G1795" s="3">
        <f>F1795+(VLOOKUP(D1795,'(Semelles.Monument.€HT)'!C:G,3,FALSE()))</f>
        <v>1418</v>
      </c>
      <c r="H1795" s="4">
        <f>F1795+(VLOOKUP(D1795,'(Semelles.Monument.€HT)'!C:G,4,FALSE()))</f>
        <v>1472</v>
      </c>
      <c r="I1795" s="5">
        <f>F1795+(VLOOKUP(D1795,'(Semelles.Monument.€HT)'!C:G,5,FALSE()))</f>
        <v>1529</v>
      </c>
    </row>
    <row r="1796" spans="1:9" ht="26" customHeight="1">
      <c r="A1796" s="17" t="s">
        <v>181</v>
      </c>
      <c r="B1796" s="18" t="s">
        <v>186</v>
      </c>
      <c r="C1796" s="18" t="s">
        <v>97</v>
      </c>
      <c r="D1796" s="18">
        <v>19</v>
      </c>
      <c r="E1796" s="17" t="s">
        <v>116</v>
      </c>
      <c r="F1796" s="19">
        <v>1232</v>
      </c>
      <c r="G1796" s="20">
        <f>F1796+(VLOOKUP(D1796,'(Semelles.Monument.€HT)'!C:G,3,FALSE()))</f>
        <v>1418</v>
      </c>
      <c r="H1796" s="21">
        <f>F1796+(VLOOKUP(D1796,'(Semelles.Monument.€HT)'!C:G,4,FALSE()))</f>
        <v>1472</v>
      </c>
      <c r="I1796" s="22">
        <f>F1796+(VLOOKUP(D1796,'(Semelles.Monument.€HT)'!C:G,5,FALSE()))</f>
        <v>1529</v>
      </c>
    </row>
    <row r="1797" spans="1:9" ht="26" customHeight="1">
      <c r="A1797" s="2" t="s">
        <v>181</v>
      </c>
      <c r="B1797" s="13" t="s">
        <v>186</v>
      </c>
      <c r="C1797" s="13" t="s">
        <v>97</v>
      </c>
      <c r="D1797" s="13">
        <v>20</v>
      </c>
      <c r="E1797" s="2" t="s">
        <v>117</v>
      </c>
      <c r="F1797" s="7">
        <v>1237</v>
      </c>
      <c r="G1797" s="3">
        <f>F1797+(VLOOKUP(D1797,'(Semelles.Monument.€HT)'!C:G,3,FALSE()))</f>
        <v>1425</v>
      </c>
      <c r="H1797" s="4">
        <f>F1797+(VLOOKUP(D1797,'(Semelles.Monument.€HT)'!C:G,4,FALSE()))</f>
        <v>1479</v>
      </c>
      <c r="I1797" s="5">
        <f>F1797+(VLOOKUP(D1797,'(Semelles.Monument.€HT)'!C:G,5,FALSE()))</f>
        <v>1536</v>
      </c>
    </row>
    <row r="1798" spans="1:9" ht="26" customHeight="1">
      <c r="A1798" s="17" t="s">
        <v>181</v>
      </c>
      <c r="B1798" s="18" t="s">
        <v>186</v>
      </c>
      <c r="C1798" s="18" t="s">
        <v>97</v>
      </c>
      <c r="D1798" s="18">
        <v>21</v>
      </c>
      <c r="E1798" s="17" t="s">
        <v>118</v>
      </c>
      <c r="F1798" s="19">
        <v>1241</v>
      </c>
      <c r="G1798" s="20">
        <f>F1798+(VLOOKUP(D1798,'(Semelles.Monument.€HT)'!C:G,3,FALSE()))</f>
        <v>1430</v>
      </c>
      <c r="H1798" s="21">
        <f>F1798+(VLOOKUP(D1798,'(Semelles.Monument.€HT)'!C:G,4,FALSE()))</f>
        <v>1484</v>
      </c>
      <c r="I1798" s="22">
        <f>F1798+(VLOOKUP(D1798,'(Semelles.Monument.€HT)'!C:G,5,FALSE()))</f>
        <v>1542</v>
      </c>
    </row>
    <row r="1799" spans="1:9" ht="26" customHeight="1">
      <c r="A1799" s="2" t="s">
        <v>181</v>
      </c>
      <c r="B1799" s="13" t="s">
        <v>186</v>
      </c>
      <c r="C1799" s="13" t="s">
        <v>97</v>
      </c>
      <c r="D1799" s="13">
        <v>22</v>
      </c>
      <c r="E1799" s="2" t="s">
        <v>119</v>
      </c>
      <c r="F1799" s="7">
        <v>1241</v>
      </c>
      <c r="G1799" s="3">
        <f>F1799+(VLOOKUP(D1799,'(Semelles.Monument.€HT)'!C:G,3,FALSE()))</f>
        <v>1430</v>
      </c>
      <c r="H1799" s="4">
        <f>F1799+(VLOOKUP(D1799,'(Semelles.Monument.€HT)'!C:G,4,FALSE()))</f>
        <v>1484</v>
      </c>
      <c r="I1799" s="5">
        <f>F1799+(VLOOKUP(D1799,'(Semelles.Monument.€HT)'!C:G,5,FALSE()))</f>
        <v>1542</v>
      </c>
    </row>
    <row r="1800" spans="1:9" ht="26" customHeight="1">
      <c r="A1800" s="17" t="s">
        <v>181</v>
      </c>
      <c r="B1800" s="18" t="s">
        <v>186</v>
      </c>
      <c r="C1800" s="18" t="s">
        <v>97</v>
      </c>
      <c r="D1800" s="18">
        <v>23</v>
      </c>
      <c r="E1800" s="17" t="s">
        <v>120</v>
      </c>
      <c r="F1800" s="19">
        <v>1251</v>
      </c>
      <c r="G1800" s="20">
        <f>F1800+(VLOOKUP(D1800,'(Semelles.Monument.€HT)'!C:G,3,FALSE()))</f>
        <v>1443</v>
      </c>
      <c r="H1800" s="21">
        <f>F1800+(VLOOKUP(D1800,'(Semelles.Monument.€HT)'!C:G,4,FALSE()))</f>
        <v>1498</v>
      </c>
      <c r="I1800" s="22">
        <f>F1800+(VLOOKUP(D1800,'(Semelles.Monument.€HT)'!C:G,5,FALSE()))</f>
        <v>1556</v>
      </c>
    </row>
    <row r="1801" spans="1:9" ht="26" customHeight="1">
      <c r="A1801" s="2" t="s">
        <v>181</v>
      </c>
      <c r="B1801" s="13" t="s">
        <v>186</v>
      </c>
      <c r="C1801" s="13" t="s">
        <v>97</v>
      </c>
      <c r="D1801" s="13">
        <v>24</v>
      </c>
      <c r="E1801" s="2" t="s">
        <v>121</v>
      </c>
      <c r="F1801" s="7">
        <v>1251</v>
      </c>
      <c r="G1801" s="3">
        <f>F1801+(VLOOKUP(D1801,'(Semelles.Monument.€HT)'!C:G,3,FALSE()))</f>
        <v>1443</v>
      </c>
      <c r="H1801" s="4">
        <f>F1801+(VLOOKUP(D1801,'(Semelles.Monument.€HT)'!C:G,4,FALSE()))</f>
        <v>1498</v>
      </c>
      <c r="I1801" s="5">
        <f>F1801+(VLOOKUP(D1801,'(Semelles.Monument.€HT)'!C:G,5,FALSE()))</f>
        <v>1556</v>
      </c>
    </row>
    <row r="1802" spans="1:9" ht="26" customHeight="1">
      <c r="A1802" s="17" t="s">
        <v>181</v>
      </c>
      <c r="B1802" s="18" t="s">
        <v>186</v>
      </c>
      <c r="C1802" s="18" t="s">
        <v>97</v>
      </c>
      <c r="D1802" s="18">
        <v>25</v>
      </c>
      <c r="E1802" s="17" t="s">
        <v>122</v>
      </c>
      <c r="F1802" s="19">
        <v>1251</v>
      </c>
      <c r="G1802" s="20">
        <f>F1802+(VLOOKUP(D1802,'(Semelles.Monument.€HT)'!C:G,3,FALSE()))</f>
        <v>1443</v>
      </c>
      <c r="H1802" s="21">
        <f>F1802+(VLOOKUP(D1802,'(Semelles.Monument.€HT)'!C:G,4,FALSE()))</f>
        <v>1498</v>
      </c>
      <c r="I1802" s="22">
        <f>F1802+(VLOOKUP(D1802,'(Semelles.Monument.€HT)'!C:G,5,FALSE()))</f>
        <v>1556</v>
      </c>
    </row>
    <row r="1803" spans="1:9" ht="26" customHeight="1">
      <c r="A1803" s="2" t="s">
        <v>181</v>
      </c>
      <c r="B1803" s="13" t="s">
        <v>186</v>
      </c>
      <c r="C1803" s="13" t="s">
        <v>97</v>
      </c>
      <c r="D1803" s="13">
        <v>26</v>
      </c>
      <c r="E1803" s="2" t="s">
        <v>123</v>
      </c>
      <c r="F1803" s="7">
        <v>1262</v>
      </c>
      <c r="G1803" s="3">
        <f>F1803+(VLOOKUP(D1803,'(Semelles.Monument.€HT)'!C:G,3,FALSE()))</f>
        <v>1457</v>
      </c>
      <c r="H1803" s="4">
        <f>F1803+(VLOOKUP(D1803,'(Semelles.Monument.€HT)'!C:G,4,FALSE()))</f>
        <v>1513</v>
      </c>
      <c r="I1803" s="5">
        <f>F1803+(VLOOKUP(D1803,'(Semelles.Monument.€HT)'!C:G,5,FALSE()))</f>
        <v>1572</v>
      </c>
    </row>
    <row r="1804" spans="1:9" ht="26" customHeight="1">
      <c r="A1804" s="17" t="s">
        <v>181</v>
      </c>
      <c r="B1804" s="18" t="s">
        <v>186</v>
      </c>
      <c r="C1804" s="18" t="s">
        <v>97</v>
      </c>
      <c r="D1804" s="18">
        <v>27</v>
      </c>
      <c r="E1804" s="17" t="s">
        <v>124</v>
      </c>
      <c r="F1804" s="19">
        <v>1305</v>
      </c>
      <c r="G1804" s="20">
        <f>F1804+(VLOOKUP(D1804,'(Semelles.Monument.€HT)'!C:G,3,FALSE()))</f>
        <v>1513</v>
      </c>
      <c r="H1804" s="21">
        <f>F1804+(VLOOKUP(D1804,'(Semelles.Monument.€HT)'!C:G,4,FALSE()))</f>
        <v>1573</v>
      </c>
      <c r="I1804" s="22">
        <f>F1804+(VLOOKUP(D1804,'(Semelles.Monument.€HT)'!C:G,5,FALSE()))</f>
        <v>1672</v>
      </c>
    </row>
    <row r="1805" spans="1:9" ht="26" customHeight="1">
      <c r="A1805" s="2" t="s">
        <v>181</v>
      </c>
      <c r="B1805" s="13" t="s">
        <v>186</v>
      </c>
      <c r="C1805" s="13" t="s">
        <v>97</v>
      </c>
      <c r="D1805" s="13">
        <v>28</v>
      </c>
      <c r="E1805" s="2" t="s">
        <v>125</v>
      </c>
      <c r="F1805" s="7">
        <v>1381</v>
      </c>
      <c r="G1805" s="3">
        <f>F1805+(VLOOKUP(D1805,'(Semelles.Monument.€HT)'!C:G,3,FALSE()))</f>
        <v>1611</v>
      </c>
      <c r="H1805" s="4">
        <f>F1805+(VLOOKUP(D1805,'(Semelles.Monument.€HT)'!C:G,4,FALSE()))</f>
        <v>1678</v>
      </c>
      <c r="I1805" s="5">
        <f>F1805+(VLOOKUP(D1805,'(Semelles.Monument.€HT)'!C:G,5,FALSE()))</f>
        <v>1748</v>
      </c>
    </row>
    <row r="1806" spans="1:9" ht="26" customHeight="1">
      <c r="A1806" s="17" t="s">
        <v>181</v>
      </c>
      <c r="B1806" s="18" t="s">
        <v>186</v>
      </c>
      <c r="C1806" s="18" t="s">
        <v>97</v>
      </c>
      <c r="D1806" s="18">
        <v>29</v>
      </c>
      <c r="E1806" s="17" t="s">
        <v>126</v>
      </c>
      <c r="F1806" s="19">
        <v>1413</v>
      </c>
      <c r="G1806" s="20">
        <f>F1806+(VLOOKUP(D1806,'(Semelles.Monument.€HT)'!C:G,3,FALSE()))</f>
        <v>1653</v>
      </c>
      <c r="H1806" s="21">
        <f>F1806+(VLOOKUP(D1806,'(Semelles.Monument.€HT)'!C:G,4,FALSE()))</f>
        <v>1722</v>
      </c>
      <c r="I1806" s="22">
        <f>F1806+(VLOOKUP(D1806,'(Semelles.Monument.€HT)'!C:G,5,FALSE()))</f>
        <v>1795</v>
      </c>
    </row>
    <row r="1807" spans="1:9" ht="26" customHeight="1">
      <c r="A1807" s="2" t="s">
        <v>181</v>
      </c>
      <c r="B1807" s="13" t="s">
        <v>186</v>
      </c>
      <c r="C1807" s="13" t="s">
        <v>97</v>
      </c>
      <c r="D1807" s="13">
        <v>30</v>
      </c>
      <c r="E1807" s="2" t="s">
        <v>127</v>
      </c>
      <c r="F1807" s="7">
        <v>1413</v>
      </c>
      <c r="G1807" s="3">
        <f>F1807+(VLOOKUP(D1807,'(Semelles.Monument.€HT)'!C:G,3,FALSE()))</f>
        <v>1653</v>
      </c>
      <c r="H1807" s="4">
        <f>F1807+(VLOOKUP(D1807,'(Semelles.Monument.€HT)'!C:G,4,FALSE()))</f>
        <v>1722</v>
      </c>
      <c r="I1807" s="5">
        <f>F1807+(VLOOKUP(D1807,'(Semelles.Monument.€HT)'!C:G,5,FALSE()))</f>
        <v>1795</v>
      </c>
    </row>
    <row r="1808" spans="1:9" ht="26" customHeight="1">
      <c r="A1808" s="17" t="s">
        <v>181</v>
      </c>
      <c r="B1808" s="18" t="s">
        <v>186</v>
      </c>
      <c r="C1808" s="18" t="s">
        <v>128</v>
      </c>
      <c r="D1808" s="18">
        <v>31</v>
      </c>
      <c r="E1808" s="17" t="s">
        <v>129</v>
      </c>
      <c r="F1808" s="19">
        <v>1049</v>
      </c>
      <c r="G1808" s="20">
        <f>F1808+(VLOOKUP(D1808,'(Semelles.Monument.€HT)'!C:G,3,FALSE()))</f>
        <v>1181</v>
      </c>
      <c r="H1808" s="21">
        <f>F1808+(VLOOKUP(D1808,'(Semelles.Monument.€HT)'!C:G,4,FALSE()))</f>
        <v>1219</v>
      </c>
      <c r="I1808" s="22">
        <f>F1808+(VLOOKUP(D1808,'(Semelles.Monument.€HT)'!C:G,5,FALSE()))</f>
        <v>1259</v>
      </c>
    </row>
    <row r="1809" spans="1:9" ht="26" customHeight="1">
      <c r="A1809" s="2" t="s">
        <v>181</v>
      </c>
      <c r="B1809" s="13" t="s">
        <v>186</v>
      </c>
      <c r="C1809" s="13" t="s">
        <v>128</v>
      </c>
      <c r="D1809" s="13">
        <v>32</v>
      </c>
      <c r="E1809" s="2" t="s">
        <v>130</v>
      </c>
      <c r="F1809" s="7">
        <v>1056</v>
      </c>
      <c r="G1809" s="3">
        <f>F1809+(VLOOKUP(D1809,'(Semelles.Monument.€HT)'!C:G,3,FALSE()))</f>
        <v>1190</v>
      </c>
      <c r="H1809" s="4">
        <f>F1809+(VLOOKUP(D1809,'(Semelles.Monument.€HT)'!C:G,4,FALSE()))</f>
        <v>1229</v>
      </c>
      <c r="I1809" s="5">
        <f>F1809+(VLOOKUP(D1809,'(Semelles.Monument.€HT)'!C:G,5,FALSE()))</f>
        <v>1269</v>
      </c>
    </row>
    <row r="1810" spans="1:9" ht="26" customHeight="1">
      <c r="A1810" s="17" t="s">
        <v>181</v>
      </c>
      <c r="B1810" s="18" t="s">
        <v>186</v>
      </c>
      <c r="C1810" s="18" t="s">
        <v>128</v>
      </c>
      <c r="D1810" s="18">
        <v>33</v>
      </c>
      <c r="E1810" s="17" t="s">
        <v>131</v>
      </c>
      <c r="F1810" s="19">
        <v>1056</v>
      </c>
      <c r="G1810" s="20">
        <f>F1810+(VLOOKUP(D1810,'(Semelles.Monument.€HT)'!C:G,3,FALSE()))</f>
        <v>1190</v>
      </c>
      <c r="H1810" s="21">
        <f>F1810+(VLOOKUP(D1810,'(Semelles.Monument.€HT)'!C:G,4,FALSE()))</f>
        <v>1229</v>
      </c>
      <c r="I1810" s="22">
        <f>F1810+(VLOOKUP(D1810,'(Semelles.Monument.€HT)'!C:G,5,FALSE()))</f>
        <v>1269</v>
      </c>
    </row>
    <row r="1811" spans="1:9" ht="26" customHeight="1">
      <c r="A1811" s="2" t="s">
        <v>181</v>
      </c>
      <c r="B1811" s="13" t="s">
        <v>186</v>
      </c>
      <c r="C1811" s="13" t="s">
        <v>128</v>
      </c>
      <c r="D1811" s="13">
        <v>34</v>
      </c>
      <c r="E1811" s="2" t="s">
        <v>132</v>
      </c>
      <c r="F1811" s="7">
        <v>1060</v>
      </c>
      <c r="G1811" s="3">
        <f>F1811+(VLOOKUP(D1811,'(Semelles.Monument.€HT)'!C:G,3,FALSE()))</f>
        <v>1195</v>
      </c>
      <c r="H1811" s="4">
        <f>F1811+(VLOOKUP(D1811,'(Semelles.Monument.€HT)'!C:G,4,FALSE()))</f>
        <v>1234</v>
      </c>
      <c r="I1811" s="5">
        <f>F1811+(VLOOKUP(D1811,'(Semelles.Monument.€HT)'!C:G,5,FALSE()))</f>
        <v>1275</v>
      </c>
    </row>
    <row r="1812" spans="1:9" ht="26" customHeight="1">
      <c r="A1812" s="17" t="s">
        <v>181</v>
      </c>
      <c r="B1812" s="18" t="s">
        <v>186</v>
      </c>
      <c r="C1812" s="18" t="s">
        <v>128</v>
      </c>
      <c r="D1812" s="18">
        <v>35</v>
      </c>
      <c r="E1812" s="17" t="s">
        <v>133</v>
      </c>
      <c r="F1812" s="19">
        <v>1153</v>
      </c>
      <c r="G1812" s="20">
        <f>F1812+(VLOOKUP(D1812,'(Semelles.Monument.€HT)'!C:G,3,FALSE()))</f>
        <v>1316</v>
      </c>
      <c r="H1812" s="21">
        <f>F1812+(VLOOKUP(D1812,'(Semelles.Monument.€HT)'!C:G,4,FALSE()))</f>
        <v>1363</v>
      </c>
      <c r="I1812" s="22">
        <f>F1812+(VLOOKUP(D1812,'(Semelles.Monument.€HT)'!C:G,5,FALSE()))</f>
        <v>1412</v>
      </c>
    </row>
    <row r="1813" spans="1:9" ht="26" customHeight="1">
      <c r="A1813" s="2" t="s">
        <v>181</v>
      </c>
      <c r="B1813" s="13" t="s">
        <v>186</v>
      </c>
      <c r="C1813" s="13" t="s">
        <v>128</v>
      </c>
      <c r="D1813" s="13">
        <v>36</v>
      </c>
      <c r="E1813" s="2" t="s">
        <v>134</v>
      </c>
      <c r="F1813" s="7">
        <v>1173</v>
      </c>
      <c r="G1813" s="3">
        <f>F1813+(VLOOKUP(D1813,'(Semelles.Monument.€HT)'!C:G,3,FALSE()))</f>
        <v>1341</v>
      </c>
      <c r="H1813" s="4">
        <f>F1813+(VLOOKUP(D1813,'(Semelles.Monument.€HT)'!C:G,4,FALSE()))</f>
        <v>1390</v>
      </c>
      <c r="I1813" s="5">
        <f>F1813+(VLOOKUP(D1813,'(Semelles.Monument.€HT)'!C:G,5,FALSE()))</f>
        <v>1441</v>
      </c>
    </row>
    <row r="1814" spans="1:9" ht="26" customHeight="1">
      <c r="A1814" s="17" t="s">
        <v>181</v>
      </c>
      <c r="B1814" s="18" t="s">
        <v>186</v>
      </c>
      <c r="C1814" s="18" t="s">
        <v>128</v>
      </c>
      <c r="D1814" s="18">
        <v>37</v>
      </c>
      <c r="E1814" s="17" t="s">
        <v>135</v>
      </c>
      <c r="F1814" s="19">
        <v>1307</v>
      </c>
      <c r="G1814" s="20">
        <f>F1814+(VLOOKUP(D1814,'(Semelles.Monument.€HT)'!C:G,3,FALSE()))</f>
        <v>1515</v>
      </c>
      <c r="H1814" s="21">
        <f>F1814+(VLOOKUP(D1814,'(Semelles.Monument.€HT)'!C:G,4,FALSE()))</f>
        <v>1575</v>
      </c>
      <c r="I1814" s="22">
        <f>F1814+(VLOOKUP(D1814,'(Semelles.Monument.€HT)'!C:G,5,FALSE()))</f>
        <v>1639</v>
      </c>
    </row>
    <row r="1815" spans="1:9" ht="26" customHeight="1">
      <c r="A1815" s="2" t="s">
        <v>181</v>
      </c>
      <c r="B1815" s="13" t="s">
        <v>186</v>
      </c>
      <c r="C1815" s="13" t="s">
        <v>128</v>
      </c>
      <c r="D1815" s="13">
        <v>38</v>
      </c>
      <c r="E1815" s="2" t="s">
        <v>136</v>
      </c>
      <c r="F1815" s="7">
        <v>1348</v>
      </c>
      <c r="G1815" s="3">
        <f>F1815+(VLOOKUP(D1815,'(Semelles.Monument.€HT)'!C:G,3,FALSE()))</f>
        <v>1568</v>
      </c>
      <c r="H1815" s="4">
        <f>F1815+(VLOOKUP(D1815,'(Semelles.Monument.€HT)'!C:G,4,FALSE()))</f>
        <v>1632</v>
      </c>
      <c r="I1815" s="5">
        <f>F1815+(VLOOKUP(D1815,'(Semelles.Monument.€HT)'!C:G,5,FALSE()))</f>
        <v>1699</v>
      </c>
    </row>
    <row r="1816" spans="1:9" ht="26" customHeight="1">
      <c r="A1816" s="17" t="s">
        <v>181</v>
      </c>
      <c r="B1816" s="18" t="s">
        <v>186</v>
      </c>
      <c r="C1816" s="18" t="s">
        <v>128</v>
      </c>
      <c r="D1816" s="18">
        <v>39</v>
      </c>
      <c r="E1816" s="17" t="s">
        <v>137</v>
      </c>
      <c r="F1816" s="19">
        <v>1367</v>
      </c>
      <c r="G1816" s="20">
        <f>F1816+(VLOOKUP(D1816,'(Semelles.Monument.€HT)'!C:G,3,FALSE()))</f>
        <v>1593</v>
      </c>
      <c r="H1816" s="21">
        <f>F1816+(VLOOKUP(D1816,'(Semelles.Monument.€HT)'!C:G,4,FALSE()))</f>
        <v>1658</v>
      </c>
      <c r="I1816" s="22">
        <f>F1816+(VLOOKUP(D1816,'(Semelles.Monument.€HT)'!C:G,5,FALSE()))</f>
        <v>1727</v>
      </c>
    </row>
    <row r="1817" spans="1:9" ht="26" customHeight="1">
      <c r="A1817" s="2" t="s">
        <v>181</v>
      </c>
      <c r="B1817" s="13" t="s">
        <v>186</v>
      </c>
      <c r="C1817" s="13" t="s">
        <v>128</v>
      </c>
      <c r="D1817" s="13">
        <v>40</v>
      </c>
      <c r="E1817" s="2" t="s">
        <v>138</v>
      </c>
      <c r="F1817" s="7">
        <v>1389</v>
      </c>
      <c r="G1817" s="3">
        <f>F1817+(VLOOKUP(D1817,'(Semelles.Monument.€HT)'!C:G,3,FALSE()))</f>
        <v>1621</v>
      </c>
      <c r="H1817" s="4">
        <f>F1817+(VLOOKUP(D1817,'(Semelles.Monument.€HT)'!C:G,4,FALSE()))</f>
        <v>1689</v>
      </c>
      <c r="I1817" s="5">
        <f>F1817+(VLOOKUP(D1817,'(Semelles.Monument.€HT)'!C:G,5,FALSE()))</f>
        <v>1759</v>
      </c>
    </row>
    <row r="1818" spans="1:9" ht="26" customHeight="1">
      <c r="A1818" s="17" t="s">
        <v>181</v>
      </c>
      <c r="B1818" s="18" t="s">
        <v>186</v>
      </c>
      <c r="C1818" s="18" t="s">
        <v>128</v>
      </c>
      <c r="D1818" s="18">
        <v>41</v>
      </c>
      <c r="E1818" s="17" t="s">
        <v>139</v>
      </c>
      <c r="F1818" s="19">
        <v>1438</v>
      </c>
      <c r="G1818" s="20">
        <f>F1818+(VLOOKUP(D1818,'(Semelles.Monument.€HT)'!C:G,3,FALSE()))</f>
        <v>1685</v>
      </c>
      <c r="H1818" s="21">
        <f>F1818+(VLOOKUP(D1818,'(Semelles.Monument.€HT)'!C:G,4,FALSE()))</f>
        <v>1757</v>
      </c>
      <c r="I1818" s="22">
        <f>F1818+(VLOOKUP(D1818,'(Semelles.Monument.€HT)'!C:G,5,FALSE()))</f>
        <v>1832</v>
      </c>
    </row>
    <row r="1819" spans="1:9" ht="26" customHeight="1">
      <c r="A1819" s="2" t="s">
        <v>181</v>
      </c>
      <c r="B1819" s="13" t="s">
        <v>186</v>
      </c>
      <c r="C1819" s="13" t="s">
        <v>128</v>
      </c>
      <c r="D1819" s="13">
        <v>42</v>
      </c>
      <c r="E1819" s="2" t="s">
        <v>140</v>
      </c>
      <c r="F1819" s="7">
        <v>1520</v>
      </c>
      <c r="G1819" s="3">
        <f>F1819+(VLOOKUP(D1819,'(Semelles.Monument.€HT)'!C:G,3,FALSE()))</f>
        <v>1791</v>
      </c>
      <c r="H1819" s="4">
        <f>F1819+(VLOOKUP(D1819,'(Semelles.Monument.€HT)'!C:G,4,FALSE()))</f>
        <v>1870</v>
      </c>
      <c r="I1819" s="5">
        <f>F1819+(VLOOKUP(D1819,'(Semelles.Monument.€HT)'!C:G,5,FALSE()))</f>
        <v>1953</v>
      </c>
    </row>
    <row r="1820" spans="1:9" ht="26" customHeight="1">
      <c r="A1820" s="17" t="s">
        <v>181</v>
      </c>
      <c r="B1820" s="18" t="s">
        <v>186</v>
      </c>
      <c r="C1820" s="18" t="s">
        <v>128</v>
      </c>
      <c r="D1820" s="18">
        <v>43</v>
      </c>
      <c r="E1820" s="17" t="s">
        <v>141</v>
      </c>
      <c r="F1820" s="19">
        <v>1520</v>
      </c>
      <c r="G1820" s="20">
        <f>F1820+(VLOOKUP(D1820,'(Semelles.Monument.€HT)'!C:G,3,FALSE()))</f>
        <v>1791</v>
      </c>
      <c r="H1820" s="21">
        <f>F1820+(VLOOKUP(D1820,'(Semelles.Monument.€HT)'!C:G,4,FALSE()))</f>
        <v>1870</v>
      </c>
      <c r="I1820" s="22">
        <f>F1820+(VLOOKUP(D1820,'(Semelles.Monument.€HT)'!C:G,5,FALSE()))</f>
        <v>1953</v>
      </c>
    </row>
    <row r="1821" spans="1:9" ht="26" customHeight="1">
      <c r="A1821" s="2" t="s">
        <v>181</v>
      </c>
      <c r="B1821" s="13" t="s">
        <v>186</v>
      </c>
      <c r="C1821" s="13" t="s">
        <v>128</v>
      </c>
      <c r="D1821" s="13">
        <v>44</v>
      </c>
      <c r="E1821" s="2" t="s">
        <v>142</v>
      </c>
      <c r="F1821" s="7">
        <v>1531</v>
      </c>
      <c r="G1821" s="3">
        <f>F1821+(VLOOKUP(D1821,'(Semelles.Monument.€HT)'!C:G,3,FALSE()))</f>
        <v>1806</v>
      </c>
      <c r="H1821" s="4">
        <f>F1821+(VLOOKUP(D1821,'(Semelles.Monument.€HT)'!C:G,4,FALSE()))</f>
        <v>1885</v>
      </c>
      <c r="I1821" s="5">
        <f>F1821+(VLOOKUP(D1821,'(Semelles.Monument.€HT)'!C:G,5,FALSE()))</f>
        <v>1969</v>
      </c>
    </row>
    <row r="1822" spans="1:9" ht="26" customHeight="1">
      <c r="A1822" s="17" t="s">
        <v>181</v>
      </c>
      <c r="B1822" s="18" t="s">
        <v>186</v>
      </c>
      <c r="C1822" s="18" t="s">
        <v>128</v>
      </c>
      <c r="D1822" s="18">
        <v>45</v>
      </c>
      <c r="E1822" s="17" t="s">
        <v>143</v>
      </c>
      <c r="F1822" s="19">
        <v>1542</v>
      </c>
      <c r="G1822" s="20">
        <f>F1822+(VLOOKUP(D1822,'(Semelles.Monument.€HT)'!C:G,3,FALSE()))</f>
        <v>1820</v>
      </c>
      <c r="H1822" s="21">
        <f>F1822+(VLOOKUP(D1822,'(Semelles.Monument.€HT)'!C:G,4,FALSE()))</f>
        <v>1900</v>
      </c>
      <c r="I1822" s="22">
        <f>F1822+(VLOOKUP(D1822,'(Semelles.Monument.€HT)'!C:G,5,FALSE()))</f>
        <v>1985</v>
      </c>
    </row>
    <row r="1823" spans="1:9" ht="26" customHeight="1">
      <c r="A1823" s="2" t="s">
        <v>181</v>
      </c>
      <c r="B1823" s="13" t="s">
        <v>186</v>
      </c>
      <c r="C1823" s="13" t="s">
        <v>128</v>
      </c>
      <c r="D1823" s="13">
        <v>46</v>
      </c>
      <c r="E1823" s="2" t="s">
        <v>144</v>
      </c>
      <c r="F1823" s="7">
        <v>1542</v>
      </c>
      <c r="G1823" s="3">
        <f>F1823+(VLOOKUP(D1823,'(Semelles.Monument.€HT)'!C:G,3,FALSE()))</f>
        <v>1820</v>
      </c>
      <c r="H1823" s="4">
        <f>F1823+(VLOOKUP(D1823,'(Semelles.Monument.€HT)'!C:G,4,FALSE()))</f>
        <v>1900</v>
      </c>
      <c r="I1823" s="5">
        <f>F1823+(VLOOKUP(D1823,'(Semelles.Monument.€HT)'!C:G,5,FALSE()))</f>
        <v>1985</v>
      </c>
    </row>
    <row r="1824" spans="1:9" ht="26" customHeight="1">
      <c r="A1824" s="17" t="s">
        <v>181</v>
      </c>
      <c r="B1824" s="18" t="s">
        <v>186</v>
      </c>
      <c r="C1824" s="18" t="s">
        <v>128</v>
      </c>
      <c r="D1824" s="18">
        <v>47</v>
      </c>
      <c r="E1824" s="17" t="s">
        <v>145</v>
      </c>
      <c r="F1824" s="19">
        <v>1561</v>
      </c>
      <c r="G1824" s="20">
        <f>F1824+(VLOOKUP(D1824,'(Semelles.Monument.€HT)'!C:G,3,FALSE()))</f>
        <v>1845</v>
      </c>
      <c r="H1824" s="21">
        <f>F1824+(VLOOKUP(D1824,'(Semelles.Monument.€HT)'!C:G,4,FALSE()))</f>
        <v>1927</v>
      </c>
      <c r="I1824" s="22">
        <f>F1824+(VLOOKUP(D1824,'(Semelles.Monument.€HT)'!C:G,5,FALSE()))</f>
        <v>2013</v>
      </c>
    </row>
    <row r="1825" spans="1:9" ht="26" customHeight="1">
      <c r="A1825" s="2" t="s">
        <v>181</v>
      </c>
      <c r="B1825" s="13" t="s">
        <v>186</v>
      </c>
      <c r="C1825" s="13" t="s">
        <v>128</v>
      </c>
      <c r="D1825" s="13">
        <v>48</v>
      </c>
      <c r="E1825" s="2" t="s">
        <v>146</v>
      </c>
      <c r="F1825" s="7">
        <v>1572</v>
      </c>
      <c r="G1825" s="3">
        <f>F1825+(VLOOKUP(D1825,'(Semelles.Monument.€HT)'!C:G,3,FALSE()))</f>
        <v>1859</v>
      </c>
      <c r="H1825" s="4">
        <f>F1825+(VLOOKUP(D1825,'(Semelles.Monument.€HT)'!C:G,4,FALSE()))</f>
        <v>1942</v>
      </c>
      <c r="I1825" s="5">
        <f>F1825+(VLOOKUP(D1825,'(Semelles.Monument.€HT)'!C:G,5,FALSE()))</f>
        <v>2029</v>
      </c>
    </row>
    <row r="1826" spans="1:9" ht="26" customHeight="1">
      <c r="A1826" s="17" t="s">
        <v>181</v>
      </c>
      <c r="B1826" s="18" t="s">
        <v>187</v>
      </c>
      <c r="C1826" s="18" t="s">
        <v>97</v>
      </c>
      <c r="D1826" s="18">
        <v>1</v>
      </c>
      <c r="E1826" s="17" t="s">
        <v>98</v>
      </c>
      <c r="F1826" s="19">
        <v>592</v>
      </c>
      <c r="G1826" s="20">
        <f>F1826+(VLOOKUP(D1826,'(Semelles.Monument.€HT)'!C:G,3,FALSE()))</f>
        <v>750</v>
      </c>
      <c r="H1826" s="21">
        <f>F1826+(VLOOKUP(D1826,'(Semelles.Monument.€HT)'!C:G,4,FALSE()))</f>
        <v>796</v>
      </c>
      <c r="I1826" s="22">
        <f>F1826+(VLOOKUP(D1826,'(Semelles.Monument.€HT)'!C:G,5,FALSE()))</f>
        <v>844</v>
      </c>
    </row>
    <row r="1827" spans="1:9" ht="26" customHeight="1">
      <c r="A1827" s="2" t="s">
        <v>181</v>
      </c>
      <c r="B1827" s="13" t="s">
        <v>187</v>
      </c>
      <c r="C1827" s="13" t="s">
        <v>97</v>
      </c>
      <c r="D1827" s="13">
        <v>2</v>
      </c>
      <c r="E1827" s="2" t="s">
        <v>99</v>
      </c>
      <c r="F1827" s="7">
        <v>591</v>
      </c>
      <c r="G1827" s="3">
        <f>F1827+(VLOOKUP(D1827,'(Semelles.Monument.€HT)'!C:G,3,FALSE()))</f>
        <v>749</v>
      </c>
      <c r="H1827" s="4">
        <f>F1827+(VLOOKUP(D1827,'(Semelles.Monument.€HT)'!C:G,4,FALSE()))</f>
        <v>795</v>
      </c>
      <c r="I1827" s="5">
        <f>F1827+(VLOOKUP(D1827,'(Semelles.Monument.€HT)'!C:G,5,FALSE()))</f>
        <v>843</v>
      </c>
    </row>
    <row r="1828" spans="1:9" ht="26" customHeight="1">
      <c r="A1828" s="17" t="s">
        <v>181</v>
      </c>
      <c r="B1828" s="18" t="s">
        <v>187</v>
      </c>
      <c r="C1828" s="18" t="s">
        <v>97</v>
      </c>
      <c r="D1828" s="18">
        <v>3</v>
      </c>
      <c r="E1828" s="17" t="s">
        <v>100</v>
      </c>
      <c r="F1828" s="19">
        <v>654</v>
      </c>
      <c r="G1828" s="20">
        <f>F1828+(VLOOKUP(D1828,'(Semelles.Monument.€HT)'!C:G,3,FALSE()))</f>
        <v>830</v>
      </c>
      <c r="H1828" s="21">
        <f>F1828+(VLOOKUP(D1828,'(Semelles.Monument.€HT)'!C:G,4,FALSE()))</f>
        <v>881</v>
      </c>
      <c r="I1828" s="22">
        <f>F1828+(VLOOKUP(D1828,'(Semelles.Monument.€HT)'!C:G,5,FALSE()))</f>
        <v>934</v>
      </c>
    </row>
    <row r="1829" spans="1:9" ht="26" customHeight="1">
      <c r="A1829" s="2" t="s">
        <v>181</v>
      </c>
      <c r="B1829" s="13" t="s">
        <v>187</v>
      </c>
      <c r="C1829" s="13" t="s">
        <v>97</v>
      </c>
      <c r="D1829" s="13">
        <v>4</v>
      </c>
      <c r="E1829" s="2" t="s">
        <v>101</v>
      </c>
      <c r="F1829" s="7">
        <v>669</v>
      </c>
      <c r="G1829" s="3">
        <f>F1829+(VLOOKUP(D1829,'(Semelles.Monument.€HT)'!C:G,3,FALSE()))</f>
        <v>848</v>
      </c>
      <c r="H1829" s="4">
        <f>F1829+(VLOOKUP(D1829,'(Semelles.Monument.€HT)'!C:G,4,FALSE()))</f>
        <v>900</v>
      </c>
      <c r="I1829" s="5">
        <f>F1829+(VLOOKUP(D1829,'(Semelles.Monument.€HT)'!C:G,5,FALSE()))</f>
        <v>954</v>
      </c>
    </row>
    <row r="1830" spans="1:9" ht="26" customHeight="1">
      <c r="A1830" s="17" t="s">
        <v>181</v>
      </c>
      <c r="B1830" s="18" t="s">
        <v>187</v>
      </c>
      <c r="C1830" s="18" t="s">
        <v>97</v>
      </c>
      <c r="D1830" s="18">
        <v>5</v>
      </c>
      <c r="E1830" s="17" t="s">
        <v>102</v>
      </c>
      <c r="F1830" s="19">
        <v>669</v>
      </c>
      <c r="G1830" s="20">
        <f>F1830+(VLOOKUP(D1830,'(Semelles.Monument.€HT)'!C:G,3,FALSE()))</f>
        <v>848</v>
      </c>
      <c r="H1830" s="21">
        <f>F1830+(VLOOKUP(D1830,'(Semelles.Monument.€HT)'!C:G,4,FALSE()))</f>
        <v>900</v>
      </c>
      <c r="I1830" s="22">
        <f>F1830+(VLOOKUP(D1830,'(Semelles.Monument.€HT)'!C:G,5,FALSE()))</f>
        <v>954</v>
      </c>
    </row>
    <row r="1831" spans="1:9" ht="26" customHeight="1">
      <c r="A1831" s="2" t="s">
        <v>181</v>
      </c>
      <c r="B1831" s="13" t="s">
        <v>187</v>
      </c>
      <c r="C1831" s="13" t="s">
        <v>97</v>
      </c>
      <c r="D1831" s="13">
        <v>6</v>
      </c>
      <c r="E1831" s="2" t="s">
        <v>103</v>
      </c>
      <c r="F1831" s="7">
        <v>672</v>
      </c>
      <c r="G1831" s="3">
        <f>F1831+(VLOOKUP(D1831,'(Semelles.Monument.€HT)'!C:G,3,FALSE()))</f>
        <v>852</v>
      </c>
      <c r="H1831" s="4">
        <f>F1831+(VLOOKUP(D1831,'(Semelles.Monument.€HT)'!C:G,4,FALSE()))</f>
        <v>904</v>
      </c>
      <c r="I1831" s="5">
        <f>F1831+(VLOOKUP(D1831,'(Semelles.Monument.€HT)'!C:G,5,FALSE()))</f>
        <v>959</v>
      </c>
    </row>
    <row r="1832" spans="1:9" ht="26" customHeight="1">
      <c r="A1832" s="17" t="s">
        <v>181</v>
      </c>
      <c r="B1832" s="18" t="s">
        <v>187</v>
      </c>
      <c r="C1832" s="18" t="s">
        <v>97</v>
      </c>
      <c r="D1832" s="18">
        <v>7</v>
      </c>
      <c r="E1832" s="17" t="s">
        <v>104</v>
      </c>
      <c r="F1832" s="19">
        <v>672</v>
      </c>
      <c r="G1832" s="20">
        <f>F1832+(VLOOKUP(D1832,'(Semelles.Monument.€HT)'!C:G,3,FALSE()))</f>
        <v>852</v>
      </c>
      <c r="H1832" s="21">
        <f>F1832+(VLOOKUP(D1832,'(Semelles.Monument.€HT)'!C:G,4,FALSE()))</f>
        <v>904</v>
      </c>
      <c r="I1832" s="22">
        <f>F1832+(VLOOKUP(D1832,'(Semelles.Monument.€HT)'!C:G,5,FALSE()))</f>
        <v>959</v>
      </c>
    </row>
    <row r="1833" spans="1:9" ht="26" customHeight="1">
      <c r="A1833" s="2" t="s">
        <v>181</v>
      </c>
      <c r="B1833" s="13" t="s">
        <v>187</v>
      </c>
      <c r="C1833" s="13" t="s">
        <v>97</v>
      </c>
      <c r="D1833" s="13">
        <v>8</v>
      </c>
      <c r="E1833" s="2" t="s">
        <v>105</v>
      </c>
      <c r="F1833" s="7">
        <v>672</v>
      </c>
      <c r="G1833" s="3">
        <f>F1833+(VLOOKUP(D1833,'(Semelles.Monument.€HT)'!C:G,3,FALSE()))</f>
        <v>852</v>
      </c>
      <c r="H1833" s="4">
        <f>F1833+(VLOOKUP(D1833,'(Semelles.Monument.€HT)'!C:G,4,FALSE()))</f>
        <v>904</v>
      </c>
      <c r="I1833" s="5">
        <f>F1833+(VLOOKUP(D1833,'(Semelles.Monument.€HT)'!C:G,5,FALSE()))</f>
        <v>959</v>
      </c>
    </row>
    <row r="1834" spans="1:9" ht="26" customHeight="1">
      <c r="A1834" s="17" t="s">
        <v>181</v>
      </c>
      <c r="B1834" s="18" t="s">
        <v>187</v>
      </c>
      <c r="C1834" s="18" t="s">
        <v>97</v>
      </c>
      <c r="D1834" s="18">
        <v>9</v>
      </c>
      <c r="E1834" s="17" t="s">
        <v>106</v>
      </c>
      <c r="F1834" s="19">
        <v>672</v>
      </c>
      <c r="G1834" s="20">
        <f>F1834+(VLOOKUP(D1834,'(Semelles.Monument.€HT)'!C:G,3,FALSE()))</f>
        <v>852</v>
      </c>
      <c r="H1834" s="21">
        <f>F1834+(VLOOKUP(D1834,'(Semelles.Monument.€HT)'!C:G,4,FALSE()))</f>
        <v>904</v>
      </c>
      <c r="I1834" s="22">
        <f>F1834+(VLOOKUP(D1834,'(Semelles.Monument.€HT)'!C:G,5,FALSE()))</f>
        <v>959</v>
      </c>
    </row>
    <row r="1835" spans="1:9" ht="26" customHeight="1">
      <c r="A1835" s="2" t="s">
        <v>181</v>
      </c>
      <c r="B1835" s="13" t="s">
        <v>187</v>
      </c>
      <c r="C1835" s="13" t="s">
        <v>97</v>
      </c>
      <c r="D1835" s="13">
        <v>10</v>
      </c>
      <c r="E1835" s="2" t="s">
        <v>107</v>
      </c>
      <c r="F1835" s="7">
        <v>672</v>
      </c>
      <c r="G1835" s="3">
        <f>F1835+(VLOOKUP(D1835,'(Semelles.Monument.€HT)'!C:G,3,FALSE()))</f>
        <v>852</v>
      </c>
      <c r="H1835" s="4">
        <f>F1835+(VLOOKUP(D1835,'(Semelles.Monument.€HT)'!C:G,4,FALSE()))</f>
        <v>904</v>
      </c>
      <c r="I1835" s="5">
        <f>F1835+(VLOOKUP(D1835,'(Semelles.Monument.€HT)'!C:G,5,FALSE()))</f>
        <v>959</v>
      </c>
    </row>
    <row r="1836" spans="1:9" ht="26" customHeight="1">
      <c r="A1836" s="17" t="s">
        <v>181</v>
      </c>
      <c r="B1836" s="18" t="s">
        <v>187</v>
      </c>
      <c r="C1836" s="18" t="s">
        <v>97</v>
      </c>
      <c r="D1836" s="18">
        <v>11</v>
      </c>
      <c r="E1836" s="17" t="s">
        <v>108</v>
      </c>
      <c r="F1836" s="19">
        <v>672</v>
      </c>
      <c r="G1836" s="20">
        <f>F1836+(VLOOKUP(D1836,'(Semelles.Monument.€HT)'!C:G,3,FALSE()))</f>
        <v>852</v>
      </c>
      <c r="H1836" s="21">
        <f>F1836+(VLOOKUP(D1836,'(Semelles.Monument.€HT)'!C:G,4,FALSE()))</f>
        <v>904</v>
      </c>
      <c r="I1836" s="22">
        <f>F1836+(VLOOKUP(D1836,'(Semelles.Monument.€HT)'!C:G,5,FALSE()))</f>
        <v>959</v>
      </c>
    </row>
    <row r="1837" spans="1:9" ht="26" customHeight="1">
      <c r="A1837" s="2" t="s">
        <v>181</v>
      </c>
      <c r="B1837" s="13" t="s">
        <v>187</v>
      </c>
      <c r="C1837" s="13" t="s">
        <v>97</v>
      </c>
      <c r="D1837" s="13">
        <v>12</v>
      </c>
      <c r="E1837" s="2" t="s">
        <v>109</v>
      </c>
      <c r="F1837" s="7">
        <v>681</v>
      </c>
      <c r="G1837" s="3">
        <f>F1837+(VLOOKUP(D1837,'(Semelles.Monument.€HT)'!C:G,3,FALSE()))</f>
        <v>863</v>
      </c>
      <c r="H1837" s="4">
        <f>F1837+(VLOOKUP(D1837,'(Semelles.Monument.€HT)'!C:G,4,FALSE()))</f>
        <v>916</v>
      </c>
      <c r="I1837" s="5">
        <f>F1837+(VLOOKUP(D1837,'(Semelles.Monument.€HT)'!C:G,5,FALSE()))</f>
        <v>972</v>
      </c>
    </row>
    <row r="1838" spans="1:9" ht="26" customHeight="1">
      <c r="A1838" s="17" t="s">
        <v>181</v>
      </c>
      <c r="B1838" s="18" t="s">
        <v>187</v>
      </c>
      <c r="C1838" s="18" t="s">
        <v>97</v>
      </c>
      <c r="D1838" s="18">
        <v>13</v>
      </c>
      <c r="E1838" s="17" t="s">
        <v>110</v>
      </c>
      <c r="F1838" s="19">
        <v>681</v>
      </c>
      <c r="G1838" s="20">
        <f>F1838+(VLOOKUP(D1838,'(Semelles.Monument.€HT)'!C:G,3,FALSE()))</f>
        <v>863</v>
      </c>
      <c r="H1838" s="21">
        <f>F1838+(VLOOKUP(D1838,'(Semelles.Monument.€HT)'!C:G,4,FALSE()))</f>
        <v>916</v>
      </c>
      <c r="I1838" s="22">
        <f>F1838+(VLOOKUP(D1838,'(Semelles.Monument.€HT)'!C:G,5,FALSE()))</f>
        <v>972</v>
      </c>
    </row>
    <row r="1839" spans="1:9" ht="26" customHeight="1">
      <c r="A1839" s="2" t="s">
        <v>181</v>
      </c>
      <c r="B1839" s="13" t="s">
        <v>187</v>
      </c>
      <c r="C1839" s="13" t="s">
        <v>97</v>
      </c>
      <c r="D1839" s="13">
        <v>14</v>
      </c>
      <c r="E1839" s="2" t="s">
        <v>111</v>
      </c>
      <c r="F1839" s="7">
        <v>684</v>
      </c>
      <c r="G1839" s="3">
        <f>F1839+(VLOOKUP(D1839,'(Semelles.Monument.€HT)'!C:G,3,FALSE()))</f>
        <v>867</v>
      </c>
      <c r="H1839" s="4">
        <f>F1839+(VLOOKUP(D1839,'(Semelles.Monument.€HT)'!C:G,4,FALSE()))</f>
        <v>920</v>
      </c>
      <c r="I1839" s="5">
        <f>F1839+(VLOOKUP(D1839,'(Semelles.Monument.€HT)'!C:G,5,FALSE()))</f>
        <v>976</v>
      </c>
    </row>
    <row r="1840" spans="1:9" ht="26" customHeight="1">
      <c r="A1840" s="17" t="s">
        <v>181</v>
      </c>
      <c r="B1840" s="18" t="s">
        <v>187</v>
      </c>
      <c r="C1840" s="18" t="s">
        <v>97</v>
      </c>
      <c r="D1840" s="18">
        <v>15</v>
      </c>
      <c r="E1840" s="17" t="s">
        <v>112</v>
      </c>
      <c r="F1840" s="19">
        <v>684</v>
      </c>
      <c r="G1840" s="20">
        <f>F1840+(VLOOKUP(D1840,'(Semelles.Monument.€HT)'!C:G,3,FALSE()))</f>
        <v>867</v>
      </c>
      <c r="H1840" s="21">
        <f>F1840+(VLOOKUP(D1840,'(Semelles.Monument.€HT)'!C:G,4,FALSE()))</f>
        <v>920</v>
      </c>
      <c r="I1840" s="22">
        <f>F1840+(VLOOKUP(D1840,'(Semelles.Monument.€HT)'!C:G,5,FALSE()))</f>
        <v>976</v>
      </c>
    </row>
    <row r="1841" spans="1:9" ht="26" customHeight="1">
      <c r="A1841" s="2" t="s">
        <v>181</v>
      </c>
      <c r="B1841" s="13" t="s">
        <v>187</v>
      </c>
      <c r="C1841" s="13" t="s">
        <v>97</v>
      </c>
      <c r="D1841" s="13">
        <v>16</v>
      </c>
      <c r="E1841" s="2" t="s">
        <v>113</v>
      </c>
      <c r="F1841" s="7">
        <v>684</v>
      </c>
      <c r="G1841" s="3">
        <f>F1841+(VLOOKUP(D1841,'(Semelles.Monument.€HT)'!C:G,3,FALSE()))</f>
        <v>867</v>
      </c>
      <c r="H1841" s="4">
        <f>F1841+(VLOOKUP(D1841,'(Semelles.Monument.€HT)'!C:G,4,FALSE()))</f>
        <v>920</v>
      </c>
      <c r="I1841" s="5">
        <f>F1841+(VLOOKUP(D1841,'(Semelles.Monument.€HT)'!C:G,5,FALSE()))</f>
        <v>976</v>
      </c>
    </row>
    <row r="1842" spans="1:9" ht="26" customHeight="1">
      <c r="A1842" s="17" t="s">
        <v>181</v>
      </c>
      <c r="B1842" s="18" t="s">
        <v>187</v>
      </c>
      <c r="C1842" s="18" t="s">
        <v>97</v>
      </c>
      <c r="D1842" s="18">
        <v>17</v>
      </c>
      <c r="E1842" s="17" t="s">
        <v>114</v>
      </c>
      <c r="F1842" s="19">
        <v>695</v>
      </c>
      <c r="G1842" s="20">
        <f>F1842+(VLOOKUP(D1842,'(Semelles.Monument.€HT)'!C:G,3,FALSE()))</f>
        <v>881</v>
      </c>
      <c r="H1842" s="21">
        <f>F1842+(VLOOKUP(D1842,'(Semelles.Monument.€HT)'!C:G,4,FALSE()))</f>
        <v>935</v>
      </c>
      <c r="I1842" s="22">
        <f>F1842+(VLOOKUP(D1842,'(Semelles.Monument.€HT)'!C:G,5,FALSE()))</f>
        <v>992</v>
      </c>
    </row>
    <row r="1843" spans="1:9" ht="26" customHeight="1">
      <c r="A1843" s="2" t="s">
        <v>181</v>
      </c>
      <c r="B1843" s="13" t="s">
        <v>187</v>
      </c>
      <c r="C1843" s="13" t="s">
        <v>97</v>
      </c>
      <c r="D1843" s="13">
        <v>18</v>
      </c>
      <c r="E1843" s="2" t="s">
        <v>115</v>
      </c>
      <c r="F1843" s="7">
        <v>695</v>
      </c>
      <c r="G1843" s="3">
        <f>F1843+(VLOOKUP(D1843,'(Semelles.Monument.€HT)'!C:G,3,FALSE()))</f>
        <v>881</v>
      </c>
      <c r="H1843" s="4">
        <f>F1843+(VLOOKUP(D1843,'(Semelles.Monument.€HT)'!C:G,4,FALSE()))</f>
        <v>935</v>
      </c>
      <c r="I1843" s="5">
        <f>F1843+(VLOOKUP(D1843,'(Semelles.Monument.€HT)'!C:G,5,FALSE()))</f>
        <v>992</v>
      </c>
    </row>
    <row r="1844" spans="1:9" ht="26" customHeight="1">
      <c r="A1844" s="17" t="s">
        <v>181</v>
      </c>
      <c r="B1844" s="18" t="s">
        <v>187</v>
      </c>
      <c r="C1844" s="18" t="s">
        <v>97</v>
      </c>
      <c r="D1844" s="18">
        <v>19</v>
      </c>
      <c r="E1844" s="17" t="s">
        <v>116</v>
      </c>
      <c r="F1844" s="19">
        <v>695</v>
      </c>
      <c r="G1844" s="20">
        <f>F1844+(VLOOKUP(D1844,'(Semelles.Monument.€HT)'!C:G,3,FALSE()))</f>
        <v>881</v>
      </c>
      <c r="H1844" s="21">
        <f>F1844+(VLOOKUP(D1844,'(Semelles.Monument.€HT)'!C:G,4,FALSE()))</f>
        <v>935</v>
      </c>
      <c r="I1844" s="22">
        <f>F1844+(VLOOKUP(D1844,'(Semelles.Monument.€HT)'!C:G,5,FALSE()))</f>
        <v>992</v>
      </c>
    </row>
    <row r="1845" spans="1:9" ht="26" customHeight="1">
      <c r="A1845" s="2" t="s">
        <v>181</v>
      </c>
      <c r="B1845" s="13" t="s">
        <v>187</v>
      </c>
      <c r="C1845" s="13" t="s">
        <v>97</v>
      </c>
      <c r="D1845" s="13">
        <v>20</v>
      </c>
      <c r="E1845" s="2" t="s">
        <v>117</v>
      </c>
      <c r="F1845" s="7">
        <v>700</v>
      </c>
      <c r="G1845" s="3">
        <f>F1845+(VLOOKUP(D1845,'(Semelles.Monument.€HT)'!C:G,3,FALSE()))</f>
        <v>888</v>
      </c>
      <c r="H1845" s="4">
        <f>F1845+(VLOOKUP(D1845,'(Semelles.Monument.€HT)'!C:G,4,FALSE()))</f>
        <v>942</v>
      </c>
      <c r="I1845" s="5">
        <f>F1845+(VLOOKUP(D1845,'(Semelles.Monument.€HT)'!C:G,5,FALSE()))</f>
        <v>999</v>
      </c>
    </row>
    <row r="1846" spans="1:9" ht="26" customHeight="1">
      <c r="A1846" s="17" t="s">
        <v>181</v>
      </c>
      <c r="B1846" s="18" t="s">
        <v>187</v>
      </c>
      <c r="C1846" s="18" t="s">
        <v>97</v>
      </c>
      <c r="D1846" s="18">
        <v>21</v>
      </c>
      <c r="E1846" s="17" t="s">
        <v>118</v>
      </c>
      <c r="F1846" s="19">
        <v>704</v>
      </c>
      <c r="G1846" s="20">
        <f>F1846+(VLOOKUP(D1846,'(Semelles.Monument.€HT)'!C:G,3,FALSE()))</f>
        <v>893</v>
      </c>
      <c r="H1846" s="21">
        <f>F1846+(VLOOKUP(D1846,'(Semelles.Monument.€HT)'!C:G,4,FALSE()))</f>
        <v>947</v>
      </c>
      <c r="I1846" s="22">
        <f>F1846+(VLOOKUP(D1846,'(Semelles.Monument.€HT)'!C:G,5,FALSE()))</f>
        <v>1005</v>
      </c>
    </row>
    <row r="1847" spans="1:9" ht="26" customHeight="1">
      <c r="A1847" s="2" t="s">
        <v>181</v>
      </c>
      <c r="B1847" s="13" t="s">
        <v>187</v>
      </c>
      <c r="C1847" s="13" t="s">
        <v>97</v>
      </c>
      <c r="D1847" s="13">
        <v>22</v>
      </c>
      <c r="E1847" s="2" t="s">
        <v>119</v>
      </c>
      <c r="F1847" s="7">
        <v>704</v>
      </c>
      <c r="G1847" s="3">
        <f>F1847+(VLOOKUP(D1847,'(Semelles.Monument.€HT)'!C:G,3,FALSE()))</f>
        <v>893</v>
      </c>
      <c r="H1847" s="4">
        <f>F1847+(VLOOKUP(D1847,'(Semelles.Monument.€HT)'!C:G,4,FALSE()))</f>
        <v>947</v>
      </c>
      <c r="I1847" s="5">
        <f>F1847+(VLOOKUP(D1847,'(Semelles.Monument.€HT)'!C:G,5,FALSE()))</f>
        <v>1005</v>
      </c>
    </row>
    <row r="1848" spans="1:9" ht="26" customHeight="1">
      <c r="A1848" s="17" t="s">
        <v>181</v>
      </c>
      <c r="B1848" s="18" t="s">
        <v>187</v>
      </c>
      <c r="C1848" s="18" t="s">
        <v>97</v>
      </c>
      <c r="D1848" s="18">
        <v>23</v>
      </c>
      <c r="E1848" s="17" t="s">
        <v>120</v>
      </c>
      <c r="F1848" s="19">
        <v>714</v>
      </c>
      <c r="G1848" s="20">
        <f>F1848+(VLOOKUP(D1848,'(Semelles.Monument.€HT)'!C:G,3,FALSE()))</f>
        <v>906</v>
      </c>
      <c r="H1848" s="21">
        <f>F1848+(VLOOKUP(D1848,'(Semelles.Monument.€HT)'!C:G,4,FALSE()))</f>
        <v>961</v>
      </c>
      <c r="I1848" s="22">
        <f>F1848+(VLOOKUP(D1848,'(Semelles.Monument.€HT)'!C:G,5,FALSE()))</f>
        <v>1019</v>
      </c>
    </row>
    <row r="1849" spans="1:9" ht="26" customHeight="1">
      <c r="A1849" s="2" t="s">
        <v>181</v>
      </c>
      <c r="B1849" s="13" t="s">
        <v>187</v>
      </c>
      <c r="C1849" s="13" t="s">
        <v>97</v>
      </c>
      <c r="D1849" s="13">
        <v>24</v>
      </c>
      <c r="E1849" s="2" t="s">
        <v>121</v>
      </c>
      <c r="F1849" s="7">
        <v>714</v>
      </c>
      <c r="G1849" s="3">
        <f>F1849+(VLOOKUP(D1849,'(Semelles.Monument.€HT)'!C:G,3,FALSE()))</f>
        <v>906</v>
      </c>
      <c r="H1849" s="4">
        <f>F1849+(VLOOKUP(D1849,'(Semelles.Monument.€HT)'!C:G,4,FALSE()))</f>
        <v>961</v>
      </c>
      <c r="I1849" s="5">
        <f>F1849+(VLOOKUP(D1849,'(Semelles.Monument.€HT)'!C:G,5,FALSE()))</f>
        <v>1019</v>
      </c>
    </row>
    <row r="1850" spans="1:9" ht="26" customHeight="1">
      <c r="A1850" s="17" t="s">
        <v>181</v>
      </c>
      <c r="B1850" s="18" t="s">
        <v>187</v>
      </c>
      <c r="C1850" s="18" t="s">
        <v>97</v>
      </c>
      <c r="D1850" s="18">
        <v>25</v>
      </c>
      <c r="E1850" s="17" t="s">
        <v>122</v>
      </c>
      <c r="F1850" s="19">
        <v>714</v>
      </c>
      <c r="G1850" s="20">
        <f>F1850+(VLOOKUP(D1850,'(Semelles.Monument.€HT)'!C:G,3,FALSE()))</f>
        <v>906</v>
      </c>
      <c r="H1850" s="21">
        <f>F1850+(VLOOKUP(D1850,'(Semelles.Monument.€HT)'!C:G,4,FALSE()))</f>
        <v>961</v>
      </c>
      <c r="I1850" s="22">
        <f>F1850+(VLOOKUP(D1850,'(Semelles.Monument.€HT)'!C:G,5,FALSE()))</f>
        <v>1019</v>
      </c>
    </row>
    <row r="1851" spans="1:9" ht="26" customHeight="1">
      <c r="A1851" s="2" t="s">
        <v>181</v>
      </c>
      <c r="B1851" s="13" t="s">
        <v>187</v>
      </c>
      <c r="C1851" s="13" t="s">
        <v>97</v>
      </c>
      <c r="D1851" s="13">
        <v>26</v>
      </c>
      <c r="E1851" s="2" t="s">
        <v>123</v>
      </c>
      <c r="F1851" s="7">
        <v>726</v>
      </c>
      <c r="G1851" s="3">
        <f>F1851+(VLOOKUP(D1851,'(Semelles.Monument.€HT)'!C:G,3,FALSE()))</f>
        <v>921</v>
      </c>
      <c r="H1851" s="4">
        <f>F1851+(VLOOKUP(D1851,'(Semelles.Monument.€HT)'!C:G,4,FALSE()))</f>
        <v>977</v>
      </c>
      <c r="I1851" s="5">
        <f>F1851+(VLOOKUP(D1851,'(Semelles.Monument.€HT)'!C:G,5,FALSE()))</f>
        <v>1036</v>
      </c>
    </row>
    <row r="1852" spans="1:9" ht="26" customHeight="1">
      <c r="A1852" s="17" t="s">
        <v>181</v>
      </c>
      <c r="B1852" s="18" t="s">
        <v>187</v>
      </c>
      <c r="C1852" s="18" t="s">
        <v>97</v>
      </c>
      <c r="D1852" s="18">
        <v>27</v>
      </c>
      <c r="E1852" s="17" t="s">
        <v>124</v>
      </c>
      <c r="F1852" s="19">
        <v>771</v>
      </c>
      <c r="G1852" s="20">
        <f>F1852+(VLOOKUP(D1852,'(Semelles.Monument.€HT)'!C:G,3,FALSE()))</f>
        <v>979</v>
      </c>
      <c r="H1852" s="21">
        <f>F1852+(VLOOKUP(D1852,'(Semelles.Monument.€HT)'!C:G,4,FALSE()))</f>
        <v>1039</v>
      </c>
      <c r="I1852" s="22">
        <f>F1852+(VLOOKUP(D1852,'(Semelles.Monument.€HT)'!C:G,5,FALSE()))</f>
        <v>1138</v>
      </c>
    </row>
    <row r="1853" spans="1:9" ht="26" customHeight="1">
      <c r="A1853" s="2" t="s">
        <v>181</v>
      </c>
      <c r="B1853" s="13" t="s">
        <v>187</v>
      </c>
      <c r="C1853" s="13" t="s">
        <v>97</v>
      </c>
      <c r="D1853" s="13">
        <v>28</v>
      </c>
      <c r="E1853" s="2" t="s">
        <v>125</v>
      </c>
      <c r="F1853" s="7">
        <v>850</v>
      </c>
      <c r="G1853" s="3">
        <f>F1853+(VLOOKUP(D1853,'(Semelles.Monument.€HT)'!C:G,3,FALSE()))</f>
        <v>1080</v>
      </c>
      <c r="H1853" s="4">
        <f>F1853+(VLOOKUP(D1853,'(Semelles.Monument.€HT)'!C:G,4,FALSE()))</f>
        <v>1147</v>
      </c>
      <c r="I1853" s="5">
        <f>F1853+(VLOOKUP(D1853,'(Semelles.Monument.€HT)'!C:G,5,FALSE()))</f>
        <v>1217</v>
      </c>
    </row>
    <row r="1854" spans="1:9" ht="26" customHeight="1">
      <c r="A1854" s="17" t="s">
        <v>181</v>
      </c>
      <c r="B1854" s="18" t="s">
        <v>187</v>
      </c>
      <c r="C1854" s="18" t="s">
        <v>97</v>
      </c>
      <c r="D1854" s="18">
        <v>29</v>
      </c>
      <c r="E1854" s="17" t="s">
        <v>126</v>
      </c>
      <c r="F1854" s="19">
        <v>884</v>
      </c>
      <c r="G1854" s="20">
        <f>F1854+(VLOOKUP(D1854,'(Semelles.Monument.€HT)'!C:G,3,FALSE()))</f>
        <v>1124</v>
      </c>
      <c r="H1854" s="21">
        <f>F1854+(VLOOKUP(D1854,'(Semelles.Monument.€HT)'!C:G,4,FALSE()))</f>
        <v>1193</v>
      </c>
      <c r="I1854" s="22">
        <f>F1854+(VLOOKUP(D1854,'(Semelles.Monument.€HT)'!C:G,5,FALSE()))</f>
        <v>1266</v>
      </c>
    </row>
    <row r="1855" spans="1:9" ht="26" customHeight="1">
      <c r="A1855" s="2" t="s">
        <v>181</v>
      </c>
      <c r="B1855" s="13" t="s">
        <v>187</v>
      </c>
      <c r="C1855" s="13" t="s">
        <v>97</v>
      </c>
      <c r="D1855" s="13">
        <v>30</v>
      </c>
      <c r="E1855" s="2" t="s">
        <v>127</v>
      </c>
      <c r="F1855" s="7">
        <v>884</v>
      </c>
      <c r="G1855" s="3">
        <f>F1855+(VLOOKUP(D1855,'(Semelles.Monument.€HT)'!C:G,3,FALSE()))</f>
        <v>1124</v>
      </c>
      <c r="H1855" s="4">
        <f>F1855+(VLOOKUP(D1855,'(Semelles.Monument.€HT)'!C:G,4,FALSE()))</f>
        <v>1193</v>
      </c>
      <c r="I1855" s="5">
        <f>F1855+(VLOOKUP(D1855,'(Semelles.Monument.€HT)'!C:G,5,FALSE()))</f>
        <v>1266</v>
      </c>
    </row>
    <row r="1856" spans="1:9" ht="26" customHeight="1">
      <c r="A1856" s="17" t="s">
        <v>181</v>
      </c>
      <c r="B1856" s="18" t="s">
        <v>187</v>
      </c>
      <c r="C1856" s="18" t="s">
        <v>128</v>
      </c>
      <c r="D1856" s="18">
        <v>31</v>
      </c>
      <c r="E1856" s="17" t="s">
        <v>129</v>
      </c>
      <c r="F1856" s="19">
        <v>472</v>
      </c>
      <c r="G1856" s="20">
        <f>F1856+(VLOOKUP(D1856,'(Semelles.Monument.€HT)'!C:G,3,FALSE()))</f>
        <v>604</v>
      </c>
      <c r="H1856" s="21">
        <f>F1856+(VLOOKUP(D1856,'(Semelles.Monument.€HT)'!C:G,4,FALSE()))</f>
        <v>642</v>
      </c>
      <c r="I1856" s="22">
        <f>F1856+(VLOOKUP(D1856,'(Semelles.Monument.€HT)'!C:G,5,FALSE()))</f>
        <v>682</v>
      </c>
    </row>
    <row r="1857" spans="1:9" ht="26" customHeight="1">
      <c r="A1857" s="2" t="s">
        <v>181</v>
      </c>
      <c r="B1857" s="13" t="s">
        <v>187</v>
      </c>
      <c r="C1857" s="13" t="s">
        <v>128</v>
      </c>
      <c r="D1857" s="13">
        <v>32</v>
      </c>
      <c r="E1857" s="2" t="s">
        <v>130</v>
      </c>
      <c r="F1857" s="7">
        <v>479</v>
      </c>
      <c r="G1857" s="3">
        <f>F1857+(VLOOKUP(D1857,'(Semelles.Monument.€HT)'!C:G,3,FALSE()))</f>
        <v>613</v>
      </c>
      <c r="H1857" s="4">
        <f>F1857+(VLOOKUP(D1857,'(Semelles.Monument.€HT)'!C:G,4,FALSE()))</f>
        <v>652</v>
      </c>
      <c r="I1857" s="5">
        <f>F1857+(VLOOKUP(D1857,'(Semelles.Monument.€HT)'!C:G,5,FALSE()))</f>
        <v>692</v>
      </c>
    </row>
    <row r="1858" spans="1:9" ht="26" customHeight="1">
      <c r="A1858" s="17" t="s">
        <v>181</v>
      </c>
      <c r="B1858" s="18" t="s">
        <v>187</v>
      </c>
      <c r="C1858" s="18" t="s">
        <v>128</v>
      </c>
      <c r="D1858" s="18">
        <v>33</v>
      </c>
      <c r="E1858" s="17" t="s">
        <v>131</v>
      </c>
      <c r="F1858" s="19">
        <v>479</v>
      </c>
      <c r="G1858" s="20">
        <f>F1858+(VLOOKUP(D1858,'(Semelles.Monument.€HT)'!C:G,3,FALSE()))</f>
        <v>613</v>
      </c>
      <c r="H1858" s="21">
        <f>F1858+(VLOOKUP(D1858,'(Semelles.Monument.€HT)'!C:G,4,FALSE()))</f>
        <v>652</v>
      </c>
      <c r="I1858" s="22">
        <f>F1858+(VLOOKUP(D1858,'(Semelles.Monument.€HT)'!C:G,5,FALSE()))</f>
        <v>692</v>
      </c>
    </row>
    <row r="1859" spans="1:9" ht="26" customHeight="1">
      <c r="A1859" s="2" t="s">
        <v>181</v>
      </c>
      <c r="B1859" s="13" t="s">
        <v>187</v>
      </c>
      <c r="C1859" s="13" t="s">
        <v>128</v>
      </c>
      <c r="D1859" s="13">
        <v>34</v>
      </c>
      <c r="E1859" s="2" t="s">
        <v>132</v>
      </c>
      <c r="F1859" s="7">
        <v>484</v>
      </c>
      <c r="G1859" s="3">
        <f>F1859+(VLOOKUP(D1859,'(Semelles.Monument.€HT)'!C:G,3,FALSE()))</f>
        <v>619</v>
      </c>
      <c r="H1859" s="4">
        <f>F1859+(VLOOKUP(D1859,'(Semelles.Monument.€HT)'!C:G,4,FALSE()))</f>
        <v>658</v>
      </c>
      <c r="I1859" s="5">
        <f>F1859+(VLOOKUP(D1859,'(Semelles.Monument.€HT)'!C:G,5,FALSE()))</f>
        <v>699</v>
      </c>
    </row>
    <row r="1860" spans="1:9" ht="26" customHeight="1">
      <c r="A1860" s="17" t="s">
        <v>181</v>
      </c>
      <c r="B1860" s="18" t="s">
        <v>187</v>
      </c>
      <c r="C1860" s="18" t="s">
        <v>128</v>
      </c>
      <c r="D1860" s="18">
        <v>35</v>
      </c>
      <c r="E1860" s="17" t="s">
        <v>133</v>
      </c>
      <c r="F1860" s="19">
        <v>581</v>
      </c>
      <c r="G1860" s="20">
        <f>F1860+(VLOOKUP(D1860,'(Semelles.Monument.€HT)'!C:G,3,FALSE()))</f>
        <v>744</v>
      </c>
      <c r="H1860" s="21">
        <f>F1860+(VLOOKUP(D1860,'(Semelles.Monument.€HT)'!C:G,4,FALSE()))</f>
        <v>791</v>
      </c>
      <c r="I1860" s="22">
        <f>F1860+(VLOOKUP(D1860,'(Semelles.Monument.€HT)'!C:G,5,FALSE()))</f>
        <v>840</v>
      </c>
    </row>
    <row r="1861" spans="1:9" ht="26" customHeight="1">
      <c r="A1861" s="2" t="s">
        <v>181</v>
      </c>
      <c r="B1861" s="13" t="s">
        <v>187</v>
      </c>
      <c r="C1861" s="13" t="s">
        <v>128</v>
      </c>
      <c r="D1861" s="13">
        <v>36</v>
      </c>
      <c r="E1861" s="2" t="s">
        <v>134</v>
      </c>
      <c r="F1861" s="7">
        <v>602</v>
      </c>
      <c r="G1861" s="3">
        <f>F1861+(VLOOKUP(D1861,'(Semelles.Monument.€HT)'!C:G,3,FALSE()))</f>
        <v>770</v>
      </c>
      <c r="H1861" s="4">
        <f>F1861+(VLOOKUP(D1861,'(Semelles.Monument.€HT)'!C:G,4,FALSE()))</f>
        <v>819</v>
      </c>
      <c r="I1861" s="5">
        <f>F1861+(VLOOKUP(D1861,'(Semelles.Monument.€HT)'!C:G,5,FALSE()))</f>
        <v>870</v>
      </c>
    </row>
    <row r="1862" spans="1:9" ht="26" customHeight="1">
      <c r="A1862" s="17" t="s">
        <v>181</v>
      </c>
      <c r="B1862" s="18" t="s">
        <v>187</v>
      </c>
      <c r="C1862" s="18" t="s">
        <v>128</v>
      </c>
      <c r="D1862" s="18">
        <v>37</v>
      </c>
      <c r="E1862" s="17" t="s">
        <v>135</v>
      </c>
      <c r="F1862" s="19">
        <v>743</v>
      </c>
      <c r="G1862" s="20">
        <f>F1862+(VLOOKUP(D1862,'(Semelles.Monument.€HT)'!C:G,3,FALSE()))</f>
        <v>951</v>
      </c>
      <c r="H1862" s="21">
        <f>F1862+(VLOOKUP(D1862,'(Semelles.Monument.€HT)'!C:G,4,FALSE()))</f>
        <v>1011</v>
      </c>
      <c r="I1862" s="22">
        <f>F1862+(VLOOKUP(D1862,'(Semelles.Monument.€HT)'!C:G,5,FALSE()))</f>
        <v>1075</v>
      </c>
    </row>
    <row r="1863" spans="1:9" ht="26" customHeight="1">
      <c r="A1863" s="2" t="s">
        <v>181</v>
      </c>
      <c r="B1863" s="13" t="s">
        <v>187</v>
      </c>
      <c r="C1863" s="13" t="s">
        <v>128</v>
      </c>
      <c r="D1863" s="13">
        <v>38</v>
      </c>
      <c r="E1863" s="2" t="s">
        <v>136</v>
      </c>
      <c r="F1863" s="7">
        <v>786</v>
      </c>
      <c r="G1863" s="3">
        <f>F1863+(VLOOKUP(D1863,'(Semelles.Monument.€HT)'!C:G,3,FALSE()))</f>
        <v>1006</v>
      </c>
      <c r="H1863" s="4">
        <f>F1863+(VLOOKUP(D1863,'(Semelles.Monument.€HT)'!C:G,4,FALSE()))</f>
        <v>1070</v>
      </c>
      <c r="I1863" s="5">
        <f>F1863+(VLOOKUP(D1863,'(Semelles.Monument.€HT)'!C:G,5,FALSE()))</f>
        <v>1137</v>
      </c>
    </row>
    <row r="1864" spans="1:9" ht="26" customHeight="1">
      <c r="A1864" s="17" t="s">
        <v>181</v>
      </c>
      <c r="B1864" s="18" t="s">
        <v>187</v>
      </c>
      <c r="C1864" s="18" t="s">
        <v>128</v>
      </c>
      <c r="D1864" s="18">
        <v>39</v>
      </c>
      <c r="E1864" s="17" t="s">
        <v>137</v>
      </c>
      <c r="F1864" s="19">
        <v>806</v>
      </c>
      <c r="G1864" s="20">
        <f>F1864+(VLOOKUP(D1864,'(Semelles.Monument.€HT)'!C:G,3,FALSE()))</f>
        <v>1032</v>
      </c>
      <c r="H1864" s="21">
        <f>F1864+(VLOOKUP(D1864,'(Semelles.Monument.€HT)'!C:G,4,FALSE()))</f>
        <v>1097</v>
      </c>
      <c r="I1864" s="22">
        <f>F1864+(VLOOKUP(D1864,'(Semelles.Monument.€HT)'!C:G,5,FALSE()))</f>
        <v>1166</v>
      </c>
    </row>
    <row r="1865" spans="1:9" ht="26" customHeight="1">
      <c r="A1865" s="2" t="s">
        <v>181</v>
      </c>
      <c r="B1865" s="13" t="s">
        <v>187</v>
      </c>
      <c r="C1865" s="13" t="s">
        <v>128</v>
      </c>
      <c r="D1865" s="13">
        <v>40</v>
      </c>
      <c r="E1865" s="2" t="s">
        <v>138</v>
      </c>
      <c r="F1865" s="7">
        <v>829</v>
      </c>
      <c r="G1865" s="3">
        <f>F1865+(VLOOKUP(D1865,'(Semelles.Monument.€HT)'!C:G,3,FALSE()))</f>
        <v>1061</v>
      </c>
      <c r="H1865" s="4">
        <f>F1865+(VLOOKUP(D1865,'(Semelles.Monument.€HT)'!C:G,4,FALSE()))</f>
        <v>1129</v>
      </c>
      <c r="I1865" s="5">
        <f>F1865+(VLOOKUP(D1865,'(Semelles.Monument.€HT)'!C:G,5,FALSE()))</f>
        <v>1199</v>
      </c>
    </row>
    <row r="1866" spans="1:9" ht="26" customHeight="1">
      <c r="A1866" s="17" t="s">
        <v>181</v>
      </c>
      <c r="B1866" s="18" t="s">
        <v>187</v>
      </c>
      <c r="C1866" s="18" t="s">
        <v>128</v>
      </c>
      <c r="D1866" s="18">
        <v>41</v>
      </c>
      <c r="E1866" s="17" t="s">
        <v>139</v>
      </c>
      <c r="F1866" s="19">
        <v>881</v>
      </c>
      <c r="G1866" s="20">
        <f>F1866+(VLOOKUP(D1866,'(Semelles.Monument.€HT)'!C:G,3,FALSE()))</f>
        <v>1128</v>
      </c>
      <c r="H1866" s="21">
        <f>F1866+(VLOOKUP(D1866,'(Semelles.Monument.€HT)'!C:G,4,FALSE()))</f>
        <v>1200</v>
      </c>
      <c r="I1866" s="22">
        <f>F1866+(VLOOKUP(D1866,'(Semelles.Monument.€HT)'!C:G,5,FALSE()))</f>
        <v>1275</v>
      </c>
    </row>
    <row r="1867" spans="1:9" ht="26" customHeight="1">
      <c r="A1867" s="2" t="s">
        <v>181</v>
      </c>
      <c r="B1867" s="13" t="s">
        <v>187</v>
      </c>
      <c r="C1867" s="13" t="s">
        <v>128</v>
      </c>
      <c r="D1867" s="13">
        <v>42</v>
      </c>
      <c r="E1867" s="2" t="s">
        <v>140</v>
      </c>
      <c r="F1867" s="7">
        <v>967</v>
      </c>
      <c r="G1867" s="3">
        <f>F1867+(VLOOKUP(D1867,'(Semelles.Monument.€HT)'!C:G,3,FALSE()))</f>
        <v>1238</v>
      </c>
      <c r="H1867" s="4">
        <f>F1867+(VLOOKUP(D1867,'(Semelles.Monument.€HT)'!C:G,4,FALSE()))</f>
        <v>1317</v>
      </c>
      <c r="I1867" s="5">
        <f>F1867+(VLOOKUP(D1867,'(Semelles.Monument.€HT)'!C:G,5,FALSE()))</f>
        <v>1400</v>
      </c>
    </row>
    <row r="1868" spans="1:9" ht="26" customHeight="1">
      <c r="A1868" s="17" t="s">
        <v>181</v>
      </c>
      <c r="B1868" s="18" t="s">
        <v>187</v>
      </c>
      <c r="C1868" s="18" t="s">
        <v>128</v>
      </c>
      <c r="D1868" s="18">
        <v>43</v>
      </c>
      <c r="E1868" s="17" t="s">
        <v>141</v>
      </c>
      <c r="F1868" s="19">
        <v>967</v>
      </c>
      <c r="G1868" s="20">
        <f>F1868+(VLOOKUP(D1868,'(Semelles.Monument.€HT)'!C:G,3,FALSE()))</f>
        <v>1238</v>
      </c>
      <c r="H1868" s="21">
        <f>F1868+(VLOOKUP(D1868,'(Semelles.Monument.€HT)'!C:G,4,FALSE()))</f>
        <v>1317</v>
      </c>
      <c r="I1868" s="22">
        <f>F1868+(VLOOKUP(D1868,'(Semelles.Monument.€HT)'!C:G,5,FALSE()))</f>
        <v>1400</v>
      </c>
    </row>
    <row r="1869" spans="1:9" ht="26" customHeight="1">
      <c r="A1869" s="2" t="s">
        <v>181</v>
      </c>
      <c r="B1869" s="13" t="s">
        <v>187</v>
      </c>
      <c r="C1869" s="13" t="s">
        <v>128</v>
      </c>
      <c r="D1869" s="13">
        <v>44</v>
      </c>
      <c r="E1869" s="2" t="s">
        <v>142</v>
      </c>
      <c r="F1869" s="7">
        <v>979</v>
      </c>
      <c r="G1869" s="3">
        <f>F1869+(VLOOKUP(D1869,'(Semelles.Monument.€HT)'!C:G,3,FALSE()))</f>
        <v>1254</v>
      </c>
      <c r="H1869" s="4">
        <f>F1869+(VLOOKUP(D1869,'(Semelles.Monument.€HT)'!C:G,4,FALSE()))</f>
        <v>1333</v>
      </c>
      <c r="I1869" s="5">
        <f>F1869+(VLOOKUP(D1869,'(Semelles.Monument.€HT)'!C:G,5,FALSE()))</f>
        <v>1417</v>
      </c>
    </row>
    <row r="1870" spans="1:9" ht="26" customHeight="1">
      <c r="A1870" s="17" t="s">
        <v>181</v>
      </c>
      <c r="B1870" s="18" t="s">
        <v>187</v>
      </c>
      <c r="C1870" s="18" t="s">
        <v>128</v>
      </c>
      <c r="D1870" s="18">
        <v>45</v>
      </c>
      <c r="E1870" s="17" t="s">
        <v>143</v>
      </c>
      <c r="F1870" s="19">
        <v>990</v>
      </c>
      <c r="G1870" s="20">
        <f>F1870+(VLOOKUP(D1870,'(Semelles.Monument.€HT)'!C:G,3,FALSE()))</f>
        <v>1268</v>
      </c>
      <c r="H1870" s="21">
        <f>F1870+(VLOOKUP(D1870,'(Semelles.Monument.€HT)'!C:G,4,FALSE()))</f>
        <v>1348</v>
      </c>
      <c r="I1870" s="22">
        <f>F1870+(VLOOKUP(D1870,'(Semelles.Monument.€HT)'!C:G,5,FALSE()))</f>
        <v>1433</v>
      </c>
    </row>
    <row r="1871" spans="1:9" ht="26" customHeight="1">
      <c r="A1871" s="2" t="s">
        <v>181</v>
      </c>
      <c r="B1871" s="13" t="s">
        <v>187</v>
      </c>
      <c r="C1871" s="13" t="s">
        <v>128</v>
      </c>
      <c r="D1871" s="13">
        <v>46</v>
      </c>
      <c r="E1871" s="2" t="s">
        <v>144</v>
      </c>
      <c r="F1871" s="7">
        <v>990</v>
      </c>
      <c r="G1871" s="3">
        <f>F1871+(VLOOKUP(D1871,'(Semelles.Monument.€HT)'!C:G,3,FALSE()))</f>
        <v>1268</v>
      </c>
      <c r="H1871" s="4">
        <f>F1871+(VLOOKUP(D1871,'(Semelles.Monument.€HT)'!C:G,4,FALSE()))</f>
        <v>1348</v>
      </c>
      <c r="I1871" s="5">
        <f>F1871+(VLOOKUP(D1871,'(Semelles.Monument.€HT)'!C:G,5,FALSE()))</f>
        <v>1433</v>
      </c>
    </row>
    <row r="1872" spans="1:9" ht="26" customHeight="1">
      <c r="A1872" s="17" t="s">
        <v>181</v>
      </c>
      <c r="B1872" s="18" t="s">
        <v>187</v>
      </c>
      <c r="C1872" s="18" t="s">
        <v>128</v>
      </c>
      <c r="D1872" s="18">
        <v>47</v>
      </c>
      <c r="E1872" s="17" t="s">
        <v>145</v>
      </c>
      <c r="F1872" s="19">
        <v>1010</v>
      </c>
      <c r="G1872" s="20">
        <f>F1872+(VLOOKUP(D1872,'(Semelles.Monument.€HT)'!C:G,3,FALSE()))</f>
        <v>1294</v>
      </c>
      <c r="H1872" s="21">
        <f>F1872+(VLOOKUP(D1872,'(Semelles.Monument.€HT)'!C:G,4,FALSE()))</f>
        <v>1376</v>
      </c>
      <c r="I1872" s="22">
        <f>F1872+(VLOOKUP(D1872,'(Semelles.Monument.€HT)'!C:G,5,FALSE()))</f>
        <v>1462</v>
      </c>
    </row>
    <row r="1873" spans="1:9" ht="26" customHeight="1">
      <c r="A1873" s="2" t="s">
        <v>181</v>
      </c>
      <c r="B1873" s="13" t="s">
        <v>187</v>
      </c>
      <c r="C1873" s="13" t="s">
        <v>128</v>
      </c>
      <c r="D1873" s="13">
        <v>48</v>
      </c>
      <c r="E1873" s="2" t="s">
        <v>146</v>
      </c>
      <c r="F1873" s="7">
        <v>1022</v>
      </c>
      <c r="G1873" s="3">
        <f>F1873+(VLOOKUP(D1873,'(Semelles.Monument.€HT)'!C:G,3,FALSE()))</f>
        <v>1309</v>
      </c>
      <c r="H1873" s="4">
        <f>F1873+(VLOOKUP(D1873,'(Semelles.Monument.€HT)'!C:G,4,FALSE()))</f>
        <v>1392</v>
      </c>
      <c r="I1873" s="5">
        <f>F1873+(VLOOKUP(D1873,'(Semelles.Monument.€HT)'!C:G,5,FALSE()))</f>
        <v>1479</v>
      </c>
    </row>
    <row r="1874" spans="1:9" ht="26" customHeight="1">
      <c r="A1874" s="17" t="s">
        <v>181</v>
      </c>
      <c r="B1874" s="18" t="s">
        <v>188</v>
      </c>
      <c r="C1874" s="18" t="s">
        <v>97</v>
      </c>
      <c r="D1874" s="18">
        <v>1</v>
      </c>
      <c r="E1874" s="17" t="s">
        <v>98</v>
      </c>
      <c r="F1874" s="19">
        <v>1208</v>
      </c>
      <c r="G1874" s="20">
        <f>F1874+(VLOOKUP(D1874,'(Semelles.Monument.€HT)'!C:G,3,FALSE()))</f>
        <v>1366</v>
      </c>
      <c r="H1874" s="21">
        <f>F1874+(VLOOKUP(D1874,'(Semelles.Monument.€HT)'!C:G,4,FALSE()))</f>
        <v>1412</v>
      </c>
      <c r="I1874" s="22">
        <f>F1874+(VLOOKUP(D1874,'(Semelles.Monument.€HT)'!C:G,5,FALSE()))</f>
        <v>1460</v>
      </c>
    </row>
    <row r="1875" spans="1:9" ht="26" customHeight="1">
      <c r="A1875" s="2" t="s">
        <v>181</v>
      </c>
      <c r="B1875" s="13" t="s">
        <v>188</v>
      </c>
      <c r="C1875" s="13" t="s">
        <v>97</v>
      </c>
      <c r="D1875" s="13">
        <v>2</v>
      </c>
      <c r="E1875" s="2" t="s">
        <v>99</v>
      </c>
      <c r="F1875" s="7">
        <v>1207</v>
      </c>
      <c r="G1875" s="3">
        <f>F1875+(VLOOKUP(D1875,'(Semelles.Monument.€HT)'!C:G,3,FALSE()))</f>
        <v>1365</v>
      </c>
      <c r="H1875" s="4">
        <f>F1875+(VLOOKUP(D1875,'(Semelles.Monument.€HT)'!C:G,4,FALSE()))</f>
        <v>1411</v>
      </c>
      <c r="I1875" s="5">
        <f>F1875+(VLOOKUP(D1875,'(Semelles.Monument.€HT)'!C:G,5,FALSE()))</f>
        <v>1459</v>
      </c>
    </row>
    <row r="1876" spans="1:9" ht="26" customHeight="1">
      <c r="A1876" s="17" t="s">
        <v>181</v>
      </c>
      <c r="B1876" s="18" t="s">
        <v>188</v>
      </c>
      <c r="C1876" s="18" t="s">
        <v>97</v>
      </c>
      <c r="D1876" s="18">
        <v>3</v>
      </c>
      <c r="E1876" s="17" t="s">
        <v>100</v>
      </c>
      <c r="F1876" s="19">
        <v>1333</v>
      </c>
      <c r="G1876" s="20">
        <f>F1876+(VLOOKUP(D1876,'(Semelles.Monument.€HT)'!C:G,3,FALSE()))</f>
        <v>1509</v>
      </c>
      <c r="H1876" s="21">
        <f>F1876+(VLOOKUP(D1876,'(Semelles.Monument.€HT)'!C:G,4,FALSE()))</f>
        <v>1560</v>
      </c>
      <c r="I1876" s="22">
        <f>F1876+(VLOOKUP(D1876,'(Semelles.Monument.€HT)'!C:G,5,FALSE()))</f>
        <v>1613</v>
      </c>
    </row>
    <row r="1877" spans="1:9" ht="26" customHeight="1">
      <c r="A1877" s="2" t="s">
        <v>181</v>
      </c>
      <c r="B1877" s="13" t="s">
        <v>188</v>
      </c>
      <c r="C1877" s="13" t="s">
        <v>97</v>
      </c>
      <c r="D1877" s="13">
        <v>4</v>
      </c>
      <c r="E1877" s="2" t="s">
        <v>101</v>
      </c>
      <c r="F1877" s="7">
        <v>1362</v>
      </c>
      <c r="G1877" s="3">
        <f>F1877+(VLOOKUP(D1877,'(Semelles.Monument.€HT)'!C:G,3,FALSE()))</f>
        <v>1541</v>
      </c>
      <c r="H1877" s="4">
        <f>F1877+(VLOOKUP(D1877,'(Semelles.Monument.€HT)'!C:G,4,FALSE()))</f>
        <v>1593</v>
      </c>
      <c r="I1877" s="5">
        <f>F1877+(VLOOKUP(D1877,'(Semelles.Monument.€HT)'!C:G,5,FALSE()))</f>
        <v>1647</v>
      </c>
    </row>
    <row r="1878" spans="1:9" ht="26" customHeight="1">
      <c r="A1878" s="17" t="s">
        <v>181</v>
      </c>
      <c r="B1878" s="18" t="s">
        <v>188</v>
      </c>
      <c r="C1878" s="18" t="s">
        <v>97</v>
      </c>
      <c r="D1878" s="18">
        <v>5</v>
      </c>
      <c r="E1878" s="17" t="s">
        <v>102</v>
      </c>
      <c r="F1878" s="19">
        <v>1362</v>
      </c>
      <c r="G1878" s="20">
        <f>F1878+(VLOOKUP(D1878,'(Semelles.Monument.€HT)'!C:G,3,FALSE()))</f>
        <v>1541</v>
      </c>
      <c r="H1878" s="21">
        <f>F1878+(VLOOKUP(D1878,'(Semelles.Monument.€HT)'!C:G,4,FALSE()))</f>
        <v>1593</v>
      </c>
      <c r="I1878" s="22">
        <f>F1878+(VLOOKUP(D1878,'(Semelles.Monument.€HT)'!C:G,5,FALSE()))</f>
        <v>1647</v>
      </c>
    </row>
    <row r="1879" spans="1:9" ht="26" customHeight="1">
      <c r="A1879" s="2" t="s">
        <v>181</v>
      </c>
      <c r="B1879" s="13" t="s">
        <v>188</v>
      </c>
      <c r="C1879" s="13" t="s">
        <v>97</v>
      </c>
      <c r="D1879" s="13">
        <v>6</v>
      </c>
      <c r="E1879" s="2" t="s">
        <v>103</v>
      </c>
      <c r="F1879" s="7">
        <v>1369</v>
      </c>
      <c r="G1879" s="3">
        <f>F1879+(VLOOKUP(D1879,'(Semelles.Monument.€HT)'!C:G,3,FALSE()))</f>
        <v>1549</v>
      </c>
      <c r="H1879" s="4">
        <f>F1879+(VLOOKUP(D1879,'(Semelles.Monument.€HT)'!C:G,4,FALSE()))</f>
        <v>1601</v>
      </c>
      <c r="I1879" s="5">
        <f>F1879+(VLOOKUP(D1879,'(Semelles.Monument.€HT)'!C:G,5,FALSE()))</f>
        <v>1656</v>
      </c>
    </row>
    <row r="1880" spans="1:9" ht="26" customHeight="1">
      <c r="A1880" s="17" t="s">
        <v>181</v>
      </c>
      <c r="B1880" s="18" t="s">
        <v>188</v>
      </c>
      <c r="C1880" s="18" t="s">
        <v>97</v>
      </c>
      <c r="D1880" s="18">
        <v>7</v>
      </c>
      <c r="E1880" s="17" t="s">
        <v>104</v>
      </c>
      <c r="F1880" s="19">
        <v>1369</v>
      </c>
      <c r="G1880" s="20">
        <f>F1880+(VLOOKUP(D1880,'(Semelles.Monument.€HT)'!C:G,3,FALSE()))</f>
        <v>1549</v>
      </c>
      <c r="H1880" s="21">
        <f>F1880+(VLOOKUP(D1880,'(Semelles.Monument.€HT)'!C:G,4,FALSE()))</f>
        <v>1601</v>
      </c>
      <c r="I1880" s="22">
        <f>F1880+(VLOOKUP(D1880,'(Semelles.Monument.€HT)'!C:G,5,FALSE()))</f>
        <v>1656</v>
      </c>
    </row>
    <row r="1881" spans="1:9" ht="26" customHeight="1">
      <c r="A1881" s="2" t="s">
        <v>181</v>
      </c>
      <c r="B1881" s="13" t="s">
        <v>188</v>
      </c>
      <c r="C1881" s="13" t="s">
        <v>97</v>
      </c>
      <c r="D1881" s="13">
        <v>8</v>
      </c>
      <c r="E1881" s="2" t="s">
        <v>105</v>
      </c>
      <c r="F1881" s="7">
        <v>1369</v>
      </c>
      <c r="G1881" s="3">
        <f>F1881+(VLOOKUP(D1881,'(Semelles.Monument.€HT)'!C:G,3,FALSE()))</f>
        <v>1549</v>
      </c>
      <c r="H1881" s="4">
        <f>F1881+(VLOOKUP(D1881,'(Semelles.Monument.€HT)'!C:G,4,FALSE()))</f>
        <v>1601</v>
      </c>
      <c r="I1881" s="5">
        <f>F1881+(VLOOKUP(D1881,'(Semelles.Monument.€HT)'!C:G,5,FALSE()))</f>
        <v>1656</v>
      </c>
    </row>
    <row r="1882" spans="1:9" ht="26" customHeight="1">
      <c r="A1882" s="17" t="s">
        <v>181</v>
      </c>
      <c r="B1882" s="18" t="s">
        <v>188</v>
      </c>
      <c r="C1882" s="18" t="s">
        <v>97</v>
      </c>
      <c r="D1882" s="18">
        <v>9</v>
      </c>
      <c r="E1882" s="17" t="s">
        <v>106</v>
      </c>
      <c r="F1882" s="19">
        <v>1369</v>
      </c>
      <c r="G1882" s="20">
        <f>F1882+(VLOOKUP(D1882,'(Semelles.Monument.€HT)'!C:G,3,FALSE()))</f>
        <v>1549</v>
      </c>
      <c r="H1882" s="21">
        <f>F1882+(VLOOKUP(D1882,'(Semelles.Monument.€HT)'!C:G,4,FALSE()))</f>
        <v>1601</v>
      </c>
      <c r="I1882" s="22">
        <f>F1882+(VLOOKUP(D1882,'(Semelles.Monument.€HT)'!C:G,5,FALSE()))</f>
        <v>1656</v>
      </c>
    </row>
    <row r="1883" spans="1:9" ht="26" customHeight="1">
      <c r="A1883" s="2" t="s">
        <v>181</v>
      </c>
      <c r="B1883" s="13" t="s">
        <v>188</v>
      </c>
      <c r="C1883" s="13" t="s">
        <v>97</v>
      </c>
      <c r="D1883" s="13">
        <v>10</v>
      </c>
      <c r="E1883" s="2" t="s">
        <v>107</v>
      </c>
      <c r="F1883" s="7">
        <v>1369</v>
      </c>
      <c r="G1883" s="3">
        <f>F1883+(VLOOKUP(D1883,'(Semelles.Monument.€HT)'!C:G,3,FALSE()))</f>
        <v>1549</v>
      </c>
      <c r="H1883" s="4">
        <f>F1883+(VLOOKUP(D1883,'(Semelles.Monument.€HT)'!C:G,4,FALSE()))</f>
        <v>1601</v>
      </c>
      <c r="I1883" s="5">
        <f>F1883+(VLOOKUP(D1883,'(Semelles.Monument.€HT)'!C:G,5,FALSE()))</f>
        <v>1656</v>
      </c>
    </row>
    <row r="1884" spans="1:9" ht="26" customHeight="1">
      <c r="A1884" s="17" t="s">
        <v>181</v>
      </c>
      <c r="B1884" s="18" t="s">
        <v>188</v>
      </c>
      <c r="C1884" s="18" t="s">
        <v>97</v>
      </c>
      <c r="D1884" s="18">
        <v>11</v>
      </c>
      <c r="E1884" s="17" t="s">
        <v>108</v>
      </c>
      <c r="F1884" s="19">
        <v>1369</v>
      </c>
      <c r="G1884" s="20">
        <f>F1884+(VLOOKUP(D1884,'(Semelles.Monument.€HT)'!C:G,3,FALSE()))</f>
        <v>1549</v>
      </c>
      <c r="H1884" s="21">
        <f>F1884+(VLOOKUP(D1884,'(Semelles.Monument.€HT)'!C:G,4,FALSE()))</f>
        <v>1601</v>
      </c>
      <c r="I1884" s="22">
        <f>F1884+(VLOOKUP(D1884,'(Semelles.Monument.€HT)'!C:G,5,FALSE()))</f>
        <v>1656</v>
      </c>
    </row>
    <row r="1885" spans="1:9" ht="26" customHeight="1">
      <c r="A1885" s="2" t="s">
        <v>181</v>
      </c>
      <c r="B1885" s="13" t="s">
        <v>188</v>
      </c>
      <c r="C1885" s="13" t="s">
        <v>97</v>
      </c>
      <c r="D1885" s="13">
        <v>12</v>
      </c>
      <c r="E1885" s="2" t="s">
        <v>109</v>
      </c>
      <c r="F1885" s="7">
        <v>1387</v>
      </c>
      <c r="G1885" s="3">
        <f>F1885+(VLOOKUP(D1885,'(Semelles.Monument.€HT)'!C:G,3,FALSE()))</f>
        <v>1569</v>
      </c>
      <c r="H1885" s="4">
        <f>F1885+(VLOOKUP(D1885,'(Semelles.Monument.€HT)'!C:G,4,FALSE()))</f>
        <v>1622</v>
      </c>
      <c r="I1885" s="5">
        <f>F1885+(VLOOKUP(D1885,'(Semelles.Monument.€HT)'!C:G,5,FALSE()))</f>
        <v>1678</v>
      </c>
    </row>
    <row r="1886" spans="1:9" ht="26" customHeight="1">
      <c r="A1886" s="17" t="s">
        <v>181</v>
      </c>
      <c r="B1886" s="18" t="s">
        <v>188</v>
      </c>
      <c r="C1886" s="18" t="s">
        <v>97</v>
      </c>
      <c r="D1886" s="18">
        <v>13</v>
      </c>
      <c r="E1886" s="17" t="s">
        <v>110</v>
      </c>
      <c r="F1886" s="19">
        <v>1387</v>
      </c>
      <c r="G1886" s="20">
        <f>F1886+(VLOOKUP(D1886,'(Semelles.Monument.€HT)'!C:G,3,FALSE()))</f>
        <v>1569</v>
      </c>
      <c r="H1886" s="21">
        <f>F1886+(VLOOKUP(D1886,'(Semelles.Monument.€HT)'!C:G,4,FALSE()))</f>
        <v>1622</v>
      </c>
      <c r="I1886" s="22">
        <f>F1886+(VLOOKUP(D1886,'(Semelles.Monument.€HT)'!C:G,5,FALSE()))</f>
        <v>1678</v>
      </c>
    </row>
    <row r="1887" spans="1:9" ht="26" customHeight="1">
      <c r="A1887" s="2" t="s">
        <v>181</v>
      </c>
      <c r="B1887" s="13" t="s">
        <v>188</v>
      </c>
      <c r="C1887" s="13" t="s">
        <v>97</v>
      </c>
      <c r="D1887" s="13">
        <v>14</v>
      </c>
      <c r="E1887" s="2" t="s">
        <v>111</v>
      </c>
      <c r="F1887" s="7">
        <v>1391</v>
      </c>
      <c r="G1887" s="3">
        <f>F1887+(VLOOKUP(D1887,'(Semelles.Monument.€HT)'!C:G,3,FALSE()))</f>
        <v>1574</v>
      </c>
      <c r="H1887" s="4">
        <f>F1887+(VLOOKUP(D1887,'(Semelles.Monument.€HT)'!C:G,4,FALSE()))</f>
        <v>1627</v>
      </c>
      <c r="I1887" s="5">
        <f>F1887+(VLOOKUP(D1887,'(Semelles.Monument.€HT)'!C:G,5,FALSE()))</f>
        <v>1683</v>
      </c>
    </row>
    <row r="1888" spans="1:9" ht="26" customHeight="1">
      <c r="A1888" s="17" t="s">
        <v>181</v>
      </c>
      <c r="B1888" s="18" t="s">
        <v>188</v>
      </c>
      <c r="C1888" s="18" t="s">
        <v>97</v>
      </c>
      <c r="D1888" s="18">
        <v>15</v>
      </c>
      <c r="E1888" s="17" t="s">
        <v>112</v>
      </c>
      <c r="F1888" s="19">
        <v>1391</v>
      </c>
      <c r="G1888" s="20">
        <f>F1888+(VLOOKUP(D1888,'(Semelles.Monument.€HT)'!C:G,3,FALSE()))</f>
        <v>1574</v>
      </c>
      <c r="H1888" s="21">
        <f>F1888+(VLOOKUP(D1888,'(Semelles.Monument.€HT)'!C:G,4,FALSE()))</f>
        <v>1627</v>
      </c>
      <c r="I1888" s="22">
        <f>F1888+(VLOOKUP(D1888,'(Semelles.Monument.€HT)'!C:G,5,FALSE()))</f>
        <v>1683</v>
      </c>
    </row>
    <row r="1889" spans="1:9" ht="26" customHeight="1">
      <c r="A1889" s="2" t="s">
        <v>181</v>
      </c>
      <c r="B1889" s="13" t="s">
        <v>188</v>
      </c>
      <c r="C1889" s="13" t="s">
        <v>97</v>
      </c>
      <c r="D1889" s="13">
        <v>16</v>
      </c>
      <c r="E1889" s="2" t="s">
        <v>113</v>
      </c>
      <c r="F1889" s="7">
        <v>1391</v>
      </c>
      <c r="G1889" s="3">
        <f>F1889+(VLOOKUP(D1889,'(Semelles.Monument.€HT)'!C:G,3,FALSE()))</f>
        <v>1574</v>
      </c>
      <c r="H1889" s="4">
        <f>F1889+(VLOOKUP(D1889,'(Semelles.Monument.€HT)'!C:G,4,FALSE()))</f>
        <v>1627</v>
      </c>
      <c r="I1889" s="5">
        <f>F1889+(VLOOKUP(D1889,'(Semelles.Monument.€HT)'!C:G,5,FALSE()))</f>
        <v>1683</v>
      </c>
    </row>
    <row r="1890" spans="1:9" ht="26" customHeight="1">
      <c r="A1890" s="17" t="s">
        <v>181</v>
      </c>
      <c r="B1890" s="18" t="s">
        <v>188</v>
      </c>
      <c r="C1890" s="18" t="s">
        <v>97</v>
      </c>
      <c r="D1890" s="18">
        <v>17</v>
      </c>
      <c r="E1890" s="17" t="s">
        <v>114</v>
      </c>
      <c r="F1890" s="19">
        <v>1413</v>
      </c>
      <c r="G1890" s="20">
        <f>F1890+(VLOOKUP(D1890,'(Semelles.Monument.€HT)'!C:G,3,FALSE()))</f>
        <v>1599</v>
      </c>
      <c r="H1890" s="21">
        <f>F1890+(VLOOKUP(D1890,'(Semelles.Monument.€HT)'!C:G,4,FALSE()))</f>
        <v>1653</v>
      </c>
      <c r="I1890" s="22">
        <f>F1890+(VLOOKUP(D1890,'(Semelles.Monument.€HT)'!C:G,5,FALSE()))</f>
        <v>1710</v>
      </c>
    </row>
    <row r="1891" spans="1:9" ht="26" customHeight="1">
      <c r="A1891" s="2" t="s">
        <v>181</v>
      </c>
      <c r="B1891" s="13" t="s">
        <v>188</v>
      </c>
      <c r="C1891" s="13" t="s">
        <v>97</v>
      </c>
      <c r="D1891" s="13">
        <v>18</v>
      </c>
      <c r="E1891" s="2" t="s">
        <v>115</v>
      </c>
      <c r="F1891" s="7">
        <v>1413</v>
      </c>
      <c r="G1891" s="3">
        <f>F1891+(VLOOKUP(D1891,'(Semelles.Monument.€HT)'!C:G,3,FALSE()))</f>
        <v>1599</v>
      </c>
      <c r="H1891" s="4">
        <f>F1891+(VLOOKUP(D1891,'(Semelles.Monument.€HT)'!C:G,4,FALSE()))</f>
        <v>1653</v>
      </c>
      <c r="I1891" s="5">
        <f>F1891+(VLOOKUP(D1891,'(Semelles.Monument.€HT)'!C:G,5,FALSE()))</f>
        <v>1710</v>
      </c>
    </row>
    <row r="1892" spans="1:9" ht="26" customHeight="1">
      <c r="A1892" s="17" t="s">
        <v>181</v>
      </c>
      <c r="B1892" s="18" t="s">
        <v>188</v>
      </c>
      <c r="C1892" s="18" t="s">
        <v>97</v>
      </c>
      <c r="D1892" s="18">
        <v>19</v>
      </c>
      <c r="E1892" s="17" t="s">
        <v>116</v>
      </c>
      <c r="F1892" s="19">
        <v>1413</v>
      </c>
      <c r="G1892" s="20">
        <f>F1892+(VLOOKUP(D1892,'(Semelles.Monument.€HT)'!C:G,3,FALSE()))</f>
        <v>1599</v>
      </c>
      <c r="H1892" s="21">
        <f>F1892+(VLOOKUP(D1892,'(Semelles.Monument.€HT)'!C:G,4,FALSE()))</f>
        <v>1653</v>
      </c>
      <c r="I1892" s="22">
        <f>F1892+(VLOOKUP(D1892,'(Semelles.Monument.€HT)'!C:G,5,FALSE()))</f>
        <v>1710</v>
      </c>
    </row>
    <row r="1893" spans="1:9" ht="26" customHeight="1">
      <c r="A1893" s="2" t="s">
        <v>181</v>
      </c>
      <c r="B1893" s="13" t="s">
        <v>188</v>
      </c>
      <c r="C1893" s="13" t="s">
        <v>97</v>
      </c>
      <c r="D1893" s="13">
        <v>20</v>
      </c>
      <c r="E1893" s="2" t="s">
        <v>117</v>
      </c>
      <c r="F1893" s="7">
        <v>1424</v>
      </c>
      <c r="G1893" s="3">
        <f>F1893+(VLOOKUP(D1893,'(Semelles.Monument.€HT)'!C:G,3,FALSE()))</f>
        <v>1612</v>
      </c>
      <c r="H1893" s="4">
        <f>F1893+(VLOOKUP(D1893,'(Semelles.Monument.€HT)'!C:G,4,FALSE()))</f>
        <v>1666</v>
      </c>
      <c r="I1893" s="5">
        <f>F1893+(VLOOKUP(D1893,'(Semelles.Monument.€HT)'!C:G,5,FALSE()))</f>
        <v>1723</v>
      </c>
    </row>
    <row r="1894" spans="1:9" ht="26" customHeight="1">
      <c r="A1894" s="17" t="s">
        <v>181</v>
      </c>
      <c r="B1894" s="18" t="s">
        <v>188</v>
      </c>
      <c r="C1894" s="18" t="s">
        <v>97</v>
      </c>
      <c r="D1894" s="18">
        <v>21</v>
      </c>
      <c r="E1894" s="17" t="s">
        <v>118</v>
      </c>
      <c r="F1894" s="19">
        <v>1432</v>
      </c>
      <c r="G1894" s="20">
        <f>F1894+(VLOOKUP(D1894,'(Semelles.Monument.€HT)'!C:G,3,FALSE()))</f>
        <v>1621</v>
      </c>
      <c r="H1894" s="21">
        <f>F1894+(VLOOKUP(D1894,'(Semelles.Monument.€HT)'!C:G,4,FALSE()))</f>
        <v>1675</v>
      </c>
      <c r="I1894" s="22">
        <f>F1894+(VLOOKUP(D1894,'(Semelles.Monument.€HT)'!C:G,5,FALSE()))</f>
        <v>1733</v>
      </c>
    </row>
    <row r="1895" spans="1:9" ht="26" customHeight="1">
      <c r="A1895" s="2" t="s">
        <v>181</v>
      </c>
      <c r="B1895" s="13" t="s">
        <v>188</v>
      </c>
      <c r="C1895" s="13" t="s">
        <v>97</v>
      </c>
      <c r="D1895" s="13">
        <v>22</v>
      </c>
      <c r="E1895" s="2" t="s">
        <v>119</v>
      </c>
      <c r="F1895" s="7">
        <v>1432</v>
      </c>
      <c r="G1895" s="3">
        <f>F1895+(VLOOKUP(D1895,'(Semelles.Monument.€HT)'!C:G,3,FALSE()))</f>
        <v>1621</v>
      </c>
      <c r="H1895" s="4">
        <f>F1895+(VLOOKUP(D1895,'(Semelles.Monument.€HT)'!C:G,4,FALSE()))</f>
        <v>1675</v>
      </c>
      <c r="I1895" s="5">
        <f>F1895+(VLOOKUP(D1895,'(Semelles.Monument.€HT)'!C:G,5,FALSE()))</f>
        <v>1733</v>
      </c>
    </row>
    <row r="1896" spans="1:9" ht="26" customHeight="1">
      <c r="A1896" s="17" t="s">
        <v>181</v>
      </c>
      <c r="B1896" s="18" t="s">
        <v>188</v>
      </c>
      <c r="C1896" s="18" t="s">
        <v>97</v>
      </c>
      <c r="D1896" s="18">
        <v>23</v>
      </c>
      <c r="E1896" s="17" t="s">
        <v>120</v>
      </c>
      <c r="F1896" s="19">
        <v>1452</v>
      </c>
      <c r="G1896" s="20">
        <f>F1896+(VLOOKUP(D1896,'(Semelles.Monument.€HT)'!C:G,3,FALSE()))</f>
        <v>1644</v>
      </c>
      <c r="H1896" s="21">
        <f>F1896+(VLOOKUP(D1896,'(Semelles.Monument.€HT)'!C:G,4,FALSE()))</f>
        <v>1699</v>
      </c>
      <c r="I1896" s="22">
        <f>F1896+(VLOOKUP(D1896,'(Semelles.Monument.€HT)'!C:G,5,FALSE()))</f>
        <v>1757</v>
      </c>
    </row>
    <row r="1897" spans="1:9" ht="26" customHeight="1">
      <c r="A1897" s="2" t="s">
        <v>181</v>
      </c>
      <c r="B1897" s="13" t="s">
        <v>188</v>
      </c>
      <c r="C1897" s="13" t="s">
        <v>97</v>
      </c>
      <c r="D1897" s="13">
        <v>24</v>
      </c>
      <c r="E1897" s="2" t="s">
        <v>121</v>
      </c>
      <c r="F1897" s="7">
        <v>1452</v>
      </c>
      <c r="G1897" s="3">
        <f>F1897+(VLOOKUP(D1897,'(Semelles.Monument.€HT)'!C:G,3,FALSE()))</f>
        <v>1644</v>
      </c>
      <c r="H1897" s="4">
        <f>F1897+(VLOOKUP(D1897,'(Semelles.Monument.€HT)'!C:G,4,FALSE()))</f>
        <v>1699</v>
      </c>
      <c r="I1897" s="5">
        <f>F1897+(VLOOKUP(D1897,'(Semelles.Monument.€HT)'!C:G,5,FALSE()))</f>
        <v>1757</v>
      </c>
    </row>
    <row r="1898" spans="1:9" ht="26" customHeight="1">
      <c r="A1898" s="17" t="s">
        <v>181</v>
      </c>
      <c r="B1898" s="18" t="s">
        <v>188</v>
      </c>
      <c r="C1898" s="18" t="s">
        <v>97</v>
      </c>
      <c r="D1898" s="18">
        <v>25</v>
      </c>
      <c r="E1898" s="17" t="s">
        <v>122</v>
      </c>
      <c r="F1898" s="19">
        <v>1452</v>
      </c>
      <c r="G1898" s="20">
        <f>F1898+(VLOOKUP(D1898,'(Semelles.Monument.€HT)'!C:G,3,FALSE()))</f>
        <v>1644</v>
      </c>
      <c r="H1898" s="21">
        <f>F1898+(VLOOKUP(D1898,'(Semelles.Monument.€HT)'!C:G,4,FALSE()))</f>
        <v>1699</v>
      </c>
      <c r="I1898" s="22">
        <f>F1898+(VLOOKUP(D1898,'(Semelles.Monument.€HT)'!C:G,5,FALSE()))</f>
        <v>1757</v>
      </c>
    </row>
    <row r="1899" spans="1:9" ht="26" customHeight="1">
      <c r="A1899" s="2" t="s">
        <v>181</v>
      </c>
      <c r="B1899" s="13" t="s">
        <v>188</v>
      </c>
      <c r="C1899" s="13" t="s">
        <v>97</v>
      </c>
      <c r="D1899" s="13">
        <v>26</v>
      </c>
      <c r="E1899" s="2" t="s">
        <v>123</v>
      </c>
      <c r="F1899" s="7">
        <v>1475</v>
      </c>
      <c r="G1899" s="3">
        <f>F1899+(VLOOKUP(D1899,'(Semelles.Monument.€HT)'!C:G,3,FALSE()))</f>
        <v>1670</v>
      </c>
      <c r="H1899" s="4">
        <f>F1899+(VLOOKUP(D1899,'(Semelles.Monument.€HT)'!C:G,4,FALSE()))</f>
        <v>1726</v>
      </c>
      <c r="I1899" s="5">
        <f>F1899+(VLOOKUP(D1899,'(Semelles.Monument.€HT)'!C:G,5,FALSE()))</f>
        <v>1785</v>
      </c>
    </row>
    <row r="1900" spans="1:9" ht="26" customHeight="1">
      <c r="A1900" s="17" t="s">
        <v>181</v>
      </c>
      <c r="B1900" s="18" t="s">
        <v>188</v>
      </c>
      <c r="C1900" s="18" t="s">
        <v>97</v>
      </c>
      <c r="D1900" s="18">
        <v>27</v>
      </c>
      <c r="E1900" s="17" t="s">
        <v>124</v>
      </c>
      <c r="F1900" s="19">
        <v>1565</v>
      </c>
      <c r="G1900" s="20">
        <f>F1900+(VLOOKUP(D1900,'(Semelles.Monument.€HT)'!C:G,3,FALSE()))</f>
        <v>1773</v>
      </c>
      <c r="H1900" s="21">
        <f>F1900+(VLOOKUP(D1900,'(Semelles.Monument.€HT)'!C:G,4,FALSE()))</f>
        <v>1833</v>
      </c>
      <c r="I1900" s="22">
        <f>F1900+(VLOOKUP(D1900,'(Semelles.Monument.€HT)'!C:G,5,FALSE()))</f>
        <v>1932</v>
      </c>
    </row>
    <row r="1901" spans="1:9" ht="26" customHeight="1">
      <c r="A1901" s="2" t="s">
        <v>181</v>
      </c>
      <c r="B1901" s="13" t="s">
        <v>188</v>
      </c>
      <c r="C1901" s="13" t="s">
        <v>97</v>
      </c>
      <c r="D1901" s="13">
        <v>28</v>
      </c>
      <c r="E1901" s="2" t="s">
        <v>125</v>
      </c>
      <c r="F1901" s="7">
        <v>1724</v>
      </c>
      <c r="G1901" s="3">
        <f>F1901+(VLOOKUP(D1901,'(Semelles.Monument.€HT)'!C:G,3,FALSE()))</f>
        <v>1954</v>
      </c>
      <c r="H1901" s="4">
        <f>F1901+(VLOOKUP(D1901,'(Semelles.Monument.€HT)'!C:G,4,FALSE()))</f>
        <v>2021</v>
      </c>
      <c r="I1901" s="5">
        <f>F1901+(VLOOKUP(D1901,'(Semelles.Monument.€HT)'!C:G,5,FALSE()))</f>
        <v>2091</v>
      </c>
    </row>
    <row r="1902" spans="1:9" ht="26" customHeight="1">
      <c r="A1902" s="17" t="s">
        <v>181</v>
      </c>
      <c r="B1902" s="18" t="s">
        <v>188</v>
      </c>
      <c r="C1902" s="18" t="s">
        <v>97</v>
      </c>
      <c r="D1902" s="18">
        <v>29</v>
      </c>
      <c r="E1902" s="17" t="s">
        <v>126</v>
      </c>
      <c r="F1902" s="19">
        <v>1791</v>
      </c>
      <c r="G1902" s="20">
        <f>F1902+(VLOOKUP(D1902,'(Semelles.Monument.€HT)'!C:G,3,FALSE()))</f>
        <v>2031</v>
      </c>
      <c r="H1902" s="21">
        <f>F1902+(VLOOKUP(D1902,'(Semelles.Monument.€HT)'!C:G,4,FALSE()))</f>
        <v>2100</v>
      </c>
      <c r="I1902" s="22">
        <f>F1902+(VLOOKUP(D1902,'(Semelles.Monument.€HT)'!C:G,5,FALSE()))</f>
        <v>2173</v>
      </c>
    </row>
    <row r="1903" spans="1:9" ht="26" customHeight="1">
      <c r="A1903" s="2" t="s">
        <v>181</v>
      </c>
      <c r="B1903" s="13" t="s">
        <v>188</v>
      </c>
      <c r="C1903" s="13" t="s">
        <v>97</v>
      </c>
      <c r="D1903" s="13">
        <v>30</v>
      </c>
      <c r="E1903" s="2" t="s">
        <v>127</v>
      </c>
      <c r="F1903" s="7">
        <v>1791</v>
      </c>
      <c r="G1903" s="3">
        <f>F1903+(VLOOKUP(D1903,'(Semelles.Monument.€HT)'!C:G,3,FALSE()))</f>
        <v>2031</v>
      </c>
      <c r="H1903" s="4">
        <f>F1903+(VLOOKUP(D1903,'(Semelles.Monument.€HT)'!C:G,4,FALSE()))</f>
        <v>2100</v>
      </c>
      <c r="I1903" s="5">
        <f>F1903+(VLOOKUP(D1903,'(Semelles.Monument.€HT)'!C:G,5,FALSE()))</f>
        <v>2173</v>
      </c>
    </row>
    <row r="1904" spans="1:9" ht="26" customHeight="1">
      <c r="A1904" s="17" t="s">
        <v>181</v>
      </c>
      <c r="B1904" s="18" t="s">
        <v>188</v>
      </c>
      <c r="C1904" s="18" t="s">
        <v>128</v>
      </c>
      <c r="D1904" s="18">
        <v>31</v>
      </c>
      <c r="E1904" s="17" t="s">
        <v>129</v>
      </c>
      <c r="F1904" s="19">
        <v>941</v>
      </c>
      <c r="G1904" s="20">
        <f>F1904+(VLOOKUP(D1904,'(Semelles.Monument.€HT)'!C:G,3,FALSE()))</f>
        <v>1073</v>
      </c>
      <c r="H1904" s="21">
        <f>F1904+(VLOOKUP(D1904,'(Semelles.Monument.€HT)'!C:G,4,FALSE()))</f>
        <v>1111</v>
      </c>
      <c r="I1904" s="22">
        <f>F1904+(VLOOKUP(D1904,'(Semelles.Monument.€HT)'!C:G,5,FALSE()))</f>
        <v>1151</v>
      </c>
    </row>
    <row r="1905" spans="1:9" ht="26" customHeight="1">
      <c r="A1905" s="2" t="s">
        <v>181</v>
      </c>
      <c r="B1905" s="13" t="s">
        <v>188</v>
      </c>
      <c r="C1905" s="13" t="s">
        <v>128</v>
      </c>
      <c r="D1905" s="13">
        <v>32</v>
      </c>
      <c r="E1905" s="2" t="s">
        <v>130</v>
      </c>
      <c r="F1905" s="7">
        <v>954</v>
      </c>
      <c r="G1905" s="3">
        <f>F1905+(VLOOKUP(D1905,'(Semelles.Monument.€HT)'!C:G,3,FALSE()))</f>
        <v>1088</v>
      </c>
      <c r="H1905" s="4">
        <f>F1905+(VLOOKUP(D1905,'(Semelles.Monument.€HT)'!C:G,4,FALSE()))</f>
        <v>1127</v>
      </c>
      <c r="I1905" s="5">
        <f>F1905+(VLOOKUP(D1905,'(Semelles.Monument.€HT)'!C:G,5,FALSE()))</f>
        <v>1167</v>
      </c>
    </row>
    <row r="1906" spans="1:9" ht="26" customHeight="1">
      <c r="A1906" s="17" t="s">
        <v>181</v>
      </c>
      <c r="B1906" s="18" t="s">
        <v>188</v>
      </c>
      <c r="C1906" s="18" t="s">
        <v>128</v>
      </c>
      <c r="D1906" s="18">
        <v>33</v>
      </c>
      <c r="E1906" s="17" t="s">
        <v>131</v>
      </c>
      <c r="F1906" s="19">
        <v>954</v>
      </c>
      <c r="G1906" s="20">
        <f>F1906+(VLOOKUP(D1906,'(Semelles.Monument.€HT)'!C:G,3,FALSE()))</f>
        <v>1088</v>
      </c>
      <c r="H1906" s="21">
        <f>F1906+(VLOOKUP(D1906,'(Semelles.Monument.€HT)'!C:G,4,FALSE()))</f>
        <v>1127</v>
      </c>
      <c r="I1906" s="22">
        <f>F1906+(VLOOKUP(D1906,'(Semelles.Monument.€HT)'!C:G,5,FALSE()))</f>
        <v>1167</v>
      </c>
    </row>
    <row r="1907" spans="1:9" ht="26" customHeight="1">
      <c r="A1907" s="2" t="s">
        <v>181</v>
      </c>
      <c r="B1907" s="13" t="s">
        <v>188</v>
      </c>
      <c r="C1907" s="13" t="s">
        <v>128</v>
      </c>
      <c r="D1907" s="13">
        <v>34</v>
      </c>
      <c r="E1907" s="2" t="s">
        <v>132</v>
      </c>
      <c r="F1907" s="7">
        <v>963</v>
      </c>
      <c r="G1907" s="3">
        <f>F1907+(VLOOKUP(D1907,'(Semelles.Monument.€HT)'!C:G,3,FALSE()))</f>
        <v>1098</v>
      </c>
      <c r="H1907" s="4">
        <f>F1907+(VLOOKUP(D1907,'(Semelles.Monument.€HT)'!C:G,4,FALSE()))</f>
        <v>1137</v>
      </c>
      <c r="I1907" s="5">
        <f>F1907+(VLOOKUP(D1907,'(Semelles.Monument.€HT)'!C:G,5,FALSE()))</f>
        <v>1178</v>
      </c>
    </row>
    <row r="1908" spans="1:9" ht="26" customHeight="1">
      <c r="A1908" s="17" t="s">
        <v>181</v>
      </c>
      <c r="B1908" s="18" t="s">
        <v>188</v>
      </c>
      <c r="C1908" s="18" t="s">
        <v>128</v>
      </c>
      <c r="D1908" s="18">
        <v>35</v>
      </c>
      <c r="E1908" s="17" t="s">
        <v>133</v>
      </c>
      <c r="F1908" s="19">
        <v>1158</v>
      </c>
      <c r="G1908" s="20">
        <f>F1908+(VLOOKUP(D1908,'(Semelles.Monument.€HT)'!C:G,3,FALSE()))</f>
        <v>1321</v>
      </c>
      <c r="H1908" s="21">
        <f>F1908+(VLOOKUP(D1908,'(Semelles.Monument.€HT)'!C:G,4,FALSE()))</f>
        <v>1368</v>
      </c>
      <c r="I1908" s="22">
        <f>F1908+(VLOOKUP(D1908,'(Semelles.Monument.€HT)'!C:G,5,FALSE()))</f>
        <v>1417</v>
      </c>
    </row>
    <row r="1909" spans="1:9" ht="26" customHeight="1">
      <c r="A1909" s="2" t="s">
        <v>181</v>
      </c>
      <c r="B1909" s="13" t="s">
        <v>188</v>
      </c>
      <c r="C1909" s="13" t="s">
        <v>128</v>
      </c>
      <c r="D1909" s="13">
        <v>36</v>
      </c>
      <c r="E1909" s="2" t="s">
        <v>134</v>
      </c>
      <c r="F1909" s="7">
        <v>1198</v>
      </c>
      <c r="G1909" s="3">
        <f>F1909+(VLOOKUP(D1909,'(Semelles.Monument.€HT)'!C:G,3,FALSE()))</f>
        <v>1366</v>
      </c>
      <c r="H1909" s="4">
        <f>F1909+(VLOOKUP(D1909,'(Semelles.Monument.€HT)'!C:G,4,FALSE()))</f>
        <v>1415</v>
      </c>
      <c r="I1909" s="5">
        <f>F1909+(VLOOKUP(D1909,'(Semelles.Monument.€HT)'!C:G,5,FALSE()))</f>
        <v>1466</v>
      </c>
    </row>
    <row r="1910" spans="1:9" ht="26" customHeight="1">
      <c r="A1910" s="17" t="s">
        <v>181</v>
      </c>
      <c r="B1910" s="18" t="s">
        <v>188</v>
      </c>
      <c r="C1910" s="18" t="s">
        <v>128</v>
      </c>
      <c r="D1910" s="18">
        <v>37</v>
      </c>
      <c r="E1910" s="17" t="s">
        <v>135</v>
      </c>
      <c r="F1910" s="19">
        <v>1478</v>
      </c>
      <c r="G1910" s="20">
        <f>F1910+(VLOOKUP(D1910,'(Semelles.Monument.€HT)'!C:G,3,FALSE()))</f>
        <v>1686</v>
      </c>
      <c r="H1910" s="21">
        <f>F1910+(VLOOKUP(D1910,'(Semelles.Monument.€HT)'!C:G,4,FALSE()))</f>
        <v>1746</v>
      </c>
      <c r="I1910" s="22">
        <f>F1910+(VLOOKUP(D1910,'(Semelles.Monument.€HT)'!C:G,5,FALSE()))</f>
        <v>1810</v>
      </c>
    </row>
    <row r="1911" spans="1:9" ht="26" customHeight="1">
      <c r="A1911" s="2" t="s">
        <v>181</v>
      </c>
      <c r="B1911" s="13" t="s">
        <v>188</v>
      </c>
      <c r="C1911" s="13" t="s">
        <v>128</v>
      </c>
      <c r="D1911" s="13">
        <v>38</v>
      </c>
      <c r="E1911" s="2" t="s">
        <v>136</v>
      </c>
      <c r="F1911" s="7">
        <v>1564</v>
      </c>
      <c r="G1911" s="3">
        <f>F1911+(VLOOKUP(D1911,'(Semelles.Monument.€HT)'!C:G,3,FALSE()))</f>
        <v>1784</v>
      </c>
      <c r="H1911" s="4">
        <f>F1911+(VLOOKUP(D1911,'(Semelles.Monument.€HT)'!C:G,4,FALSE()))</f>
        <v>1848</v>
      </c>
      <c r="I1911" s="5">
        <f>F1911+(VLOOKUP(D1911,'(Semelles.Monument.€HT)'!C:G,5,FALSE()))</f>
        <v>1915</v>
      </c>
    </row>
    <row r="1912" spans="1:9" ht="26" customHeight="1">
      <c r="A1912" s="17" t="s">
        <v>181</v>
      </c>
      <c r="B1912" s="18" t="s">
        <v>188</v>
      </c>
      <c r="C1912" s="18" t="s">
        <v>128</v>
      </c>
      <c r="D1912" s="18">
        <v>39</v>
      </c>
      <c r="E1912" s="17" t="s">
        <v>137</v>
      </c>
      <c r="F1912" s="19">
        <v>1605</v>
      </c>
      <c r="G1912" s="20">
        <f>F1912+(VLOOKUP(D1912,'(Semelles.Monument.€HT)'!C:G,3,FALSE()))</f>
        <v>1831</v>
      </c>
      <c r="H1912" s="21">
        <f>F1912+(VLOOKUP(D1912,'(Semelles.Monument.€HT)'!C:G,4,FALSE()))</f>
        <v>1896</v>
      </c>
      <c r="I1912" s="22">
        <f>F1912+(VLOOKUP(D1912,'(Semelles.Monument.€HT)'!C:G,5,FALSE()))</f>
        <v>1965</v>
      </c>
    </row>
    <row r="1913" spans="1:9" ht="26" customHeight="1">
      <c r="A1913" s="2" t="s">
        <v>181</v>
      </c>
      <c r="B1913" s="13" t="s">
        <v>188</v>
      </c>
      <c r="C1913" s="13" t="s">
        <v>128</v>
      </c>
      <c r="D1913" s="13">
        <v>40</v>
      </c>
      <c r="E1913" s="2" t="s">
        <v>138</v>
      </c>
      <c r="F1913" s="7">
        <v>1650</v>
      </c>
      <c r="G1913" s="3">
        <f>F1913+(VLOOKUP(D1913,'(Semelles.Monument.€HT)'!C:G,3,FALSE()))</f>
        <v>1882</v>
      </c>
      <c r="H1913" s="4">
        <f>F1913+(VLOOKUP(D1913,'(Semelles.Monument.€HT)'!C:G,4,FALSE()))</f>
        <v>1950</v>
      </c>
      <c r="I1913" s="5">
        <f>F1913+(VLOOKUP(D1913,'(Semelles.Monument.€HT)'!C:G,5,FALSE()))</f>
        <v>2020</v>
      </c>
    </row>
    <row r="1914" spans="1:9" ht="26" customHeight="1">
      <c r="A1914" s="17" t="s">
        <v>181</v>
      </c>
      <c r="B1914" s="18" t="s">
        <v>188</v>
      </c>
      <c r="C1914" s="18" t="s">
        <v>128</v>
      </c>
      <c r="D1914" s="18">
        <v>41</v>
      </c>
      <c r="E1914" s="17" t="s">
        <v>139</v>
      </c>
      <c r="F1914" s="19">
        <v>1754</v>
      </c>
      <c r="G1914" s="20">
        <f>F1914+(VLOOKUP(D1914,'(Semelles.Monument.€HT)'!C:G,3,FALSE()))</f>
        <v>2001</v>
      </c>
      <c r="H1914" s="21">
        <f>F1914+(VLOOKUP(D1914,'(Semelles.Monument.€HT)'!C:G,4,FALSE()))</f>
        <v>2073</v>
      </c>
      <c r="I1914" s="22">
        <f>F1914+(VLOOKUP(D1914,'(Semelles.Monument.€HT)'!C:G,5,FALSE()))</f>
        <v>2148</v>
      </c>
    </row>
    <row r="1915" spans="1:9" ht="26" customHeight="1">
      <c r="A1915" s="2" t="s">
        <v>181</v>
      </c>
      <c r="B1915" s="13" t="s">
        <v>188</v>
      </c>
      <c r="C1915" s="13" t="s">
        <v>128</v>
      </c>
      <c r="D1915" s="13">
        <v>42</v>
      </c>
      <c r="E1915" s="2" t="s">
        <v>140</v>
      </c>
      <c r="F1915" s="7">
        <v>1926</v>
      </c>
      <c r="G1915" s="3">
        <f>F1915+(VLOOKUP(D1915,'(Semelles.Monument.€HT)'!C:G,3,FALSE()))</f>
        <v>2197</v>
      </c>
      <c r="H1915" s="4">
        <f>F1915+(VLOOKUP(D1915,'(Semelles.Monument.€HT)'!C:G,4,FALSE()))</f>
        <v>2276</v>
      </c>
      <c r="I1915" s="5">
        <f>F1915+(VLOOKUP(D1915,'(Semelles.Monument.€HT)'!C:G,5,FALSE()))</f>
        <v>2359</v>
      </c>
    </row>
    <row r="1916" spans="1:9" ht="26" customHeight="1">
      <c r="A1916" s="17" t="s">
        <v>181</v>
      </c>
      <c r="B1916" s="18" t="s">
        <v>188</v>
      </c>
      <c r="C1916" s="18" t="s">
        <v>128</v>
      </c>
      <c r="D1916" s="18">
        <v>43</v>
      </c>
      <c r="E1916" s="17" t="s">
        <v>141</v>
      </c>
      <c r="F1916" s="19">
        <v>1926</v>
      </c>
      <c r="G1916" s="20">
        <f>F1916+(VLOOKUP(D1916,'(Semelles.Monument.€HT)'!C:G,3,FALSE()))</f>
        <v>2197</v>
      </c>
      <c r="H1916" s="21">
        <f>F1916+(VLOOKUP(D1916,'(Semelles.Monument.€HT)'!C:G,4,FALSE()))</f>
        <v>2276</v>
      </c>
      <c r="I1916" s="22">
        <f>F1916+(VLOOKUP(D1916,'(Semelles.Monument.€HT)'!C:G,5,FALSE()))</f>
        <v>2359</v>
      </c>
    </row>
    <row r="1917" spans="1:9" ht="26" customHeight="1">
      <c r="A1917" s="2" t="s">
        <v>181</v>
      </c>
      <c r="B1917" s="13" t="s">
        <v>188</v>
      </c>
      <c r="C1917" s="13" t="s">
        <v>128</v>
      </c>
      <c r="D1917" s="13">
        <v>44</v>
      </c>
      <c r="E1917" s="2" t="s">
        <v>142</v>
      </c>
      <c r="F1917" s="7">
        <v>1949</v>
      </c>
      <c r="G1917" s="3">
        <f>F1917+(VLOOKUP(D1917,'(Semelles.Monument.€HT)'!C:G,3,FALSE()))</f>
        <v>2224</v>
      </c>
      <c r="H1917" s="4">
        <f>F1917+(VLOOKUP(D1917,'(Semelles.Monument.€HT)'!C:G,4,FALSE()))</f>
        <v>2303</v>
      </c>
      <c r="I1917" s="5">
        <f>F1917+(VLOOKUP(D1917,'(Semelles.Monument.€HT)'!C:G,5,FALSE()))</f>
        <v>2387</v>
      </c>
    </row>
    <row r="1918" spans="1:9" ht="26" customHeight="1">
      <c r="A1918" s="17" t="s">
        <v>181</v>
      </c>
      <c r="B1918" s="18" t="s">
        <v>188</v>
      </c>
      <c r="C1918" s="18" t="s">
        <v>128</v>
      </c>
      <c r="D1918" s="18">
        <v>45</v>
      </c>
      <c r="E1918" s="17" t="s">
        <v>143</v>
      </c>
      <c r="F1918" s="19">
        <v>1971</v>
      </c>
      <c r="G1918" s="20">
        <f>F1918+(VLOOKUP(D1918,'(Semelles.Monument.€HT)'!C:G,3,FALSE()))</f>
        <v>2249</v>
      </c>
      <c r="H1918" s="21">
        <f>F1918+(VLOOKUP(D1918,'(Semelles.Monument.€HT)'!C:G,4,FALSE()))</f>
        <v>2329</v>
      </c>
      <c r="I1918" s="22">
        <f>F1918+(VLOOKUP(D1918,'(Semelles.Monument.€HT)'!C:G,5,FALSE()))</f>
        <v>2414</v>
      </c>
    </row>
    <row r="1919" spans="1:9" ht="26" customHeight="1">
      <c r="A1919" s="2" t="s">
        <v>181</v>
      </c>
      <c r="B1919" s="13" t="s">
        <v>188</v>
      </c>
      <c r="C1919" s="13" t="s">
        <v>128</v>
      </c>
      <c r="D1919" s="13">
        <v>46</v>
      </c>
      <c r="E1919" s="2" t="s">
        <v>144</v>
      </c>
      <c r="F1919" s="7">
        <v>1971</v>
      </c>
      <c r="G1919" s="3">
        <f>F1919+(VLOOKUP(D1919,'(Semelles.Monument.€HT)'!C:G,3,FALSE()))</f>
        <v>2249</v>
      </c>
      <c r="H1919" s="4">
        <f>F1919+(VLOOKUP(D1919,'(Semelles.Monument.€HT)'!C:G,4,FALSE()))</f>
        <v>2329</v>
      </c>
      <c r="I1919" s="5">
        <f>F1919+(VLOOKUP(D1919,'(Semelles.Monument.€HT)'!C:G,5,FALSE()))</f>
        <v>2414</v>
      </c>
    </row>
    <row r="1920" spans="1:9" ht="26" customHeight="1">
      <c r="A1920" s="17" t="s">
        <v>181</v>
      </c>
      <c r="B1920" s="18" t="s">
        <v>188</v>
      </c>
      <c r="C1920" s="18" t="s">
        <v>128</v>
      </c>
      <c r="D1920" s="18">
        <v>47</v>
      </c>
      <c r="E1920" s="17" t="s">
        <v>145</v>
      </c>
      <c r="F1920" s="19">
        <v>2012</v>
      </c>
      <c r="G1920" s="20">
        <f>F1920+(VLOOKUP(D1920,'(Semelles.Monument.€HT)'!C:G,3,FALSE()))</f>
        <v>2296</v>
      </c>
      <c r="H1920" s="21">
        <f>F1920+(VLOOKUP(D1920,'(Semelles.Monument.€HT)'!C:G,4,FALSE()))</f>
        <v>2378</v>
      </c>
      <c r="I1920" s="22">
        <f>F1920+(VLOOKUP(D1920,'(Semelles.Monument.€HT)'!C:G,5,FALSE()))</f>
        <v>2464</v>
      </c>
    </row>
    <row r="1921" spans="1:9" ht="26" customHeight="1">
      <c r="A1921" s="2" t="s">
        <v>181</v>
      </c>
      <c r="B1921" s="13" t="s">
        <v>188</v>
      </c>
      <c r="C1921" s="13" t="s">
        <v>128</v>
      </c>
      <c r="D1921" s="13">
        <v>48</v>
      </c>
      <c r="E1921" s="2" t="s">
        <v>146</v>
      </c>
      <c r="F1921" s="7">
        <v>2034</v>
      </c>
      <c r="G1921" s="3">
        <f>F1921+(VLOOKUP(D1921,'(Semelles.Monument.€HT)'!C:G,3,FALSE()))</f>
        <v>2321</v>
      </c>
      <c r="H1921" s="4">
        <f>F1921+(VLOOKUP(D1921,'(Semelles.Monument.€HT)'!C:G,4,FALSE()))</f>
        <v>2404</v>
      </c>
      <c r="I1921" s="5">
        <f>F1921+(VLOOKUP(D1921,'(Semelles.Monument.€HT)'!C:G,5,FALSE()))</f>
        <v>2491</v>
      </c>
    </row>
    <row r="1922" spans="1:9" ht="26" customHeight="1">
      <c r="A1922" s="17" t="s">
        <v>181</v>
      </c>
      <c r="B1922" s="18" t="s">
        <v>189</v>
      </c>
      <c r="C1922" s="18" t="s">
        <v>97</v>
      </c>
      <c r="D1922" s="18">
        <v>1</v>
      </c>
      <c r="E1922" s="17" t="s">
        <v>98</v>
      </c>
      <c r="F1922" s="19">
        <v>622</v>
      </c>
      <c r="G1922" s="20">
        <f>F1922+(VLOOKUP(D1922,'(Semelles.Monument.€HT)'!C:G,3,FALSE()))</f>
        <v>780</v>
      </c>
      <c r="H1922" s="21">
        <f>F1922+(VLOOKUP(D1922,'(Semelles.Monument.€HT)'!C:G,4,FALSE()))</f>
        <v>826</v>
      </c>
      <c r="I1922" s="22">
        <f>F1922+(VLOOKUP(D1922,'(Semelles.Monument.€HT)'!C:G,5,FALSE()))</f>
        <v>874</v>
      </c>
    </row>
    <row r="1923" spans="1:9" ht="26" customHeight="1">
      <c r="A1923" s="2" t="s">
        <v>181</v>
      </c>
      <c r="B1923" s="13" t="s">
        <v>189</v>
      </c>
      <c r="C1923" s="13" t="s">
        <v>97</v>
      </c>
      <c r="D1923" s="13">
        <v>2</v>
      </c>
      <c r="E1923" s="2" t="s">
        <v>99</v>
      </c>
      <c r="F1923" s="7">
        <v>621</v>
      </c>
      <c r="G1923" s="3">
        <f>F1923+(VLOOKUP(D1923,'(Semelles.Monument.€HT)'!C:G,3,FALSE()))</f>
        <v>779</v>
      </c>
      <c r="H1923" s="4">
        <f>F1923+(VLOOKUP(D1923,'(Semelles.Monument.€HT)'!C:G,4,FALSE()))</f>
        <v>825</v>
      </c>
      <c r="I1923" s="5">
        <f>F1923+(VLOOKUP(D1923,'(Semelles.Monument.€HT)'!C:G,5,FALSE()))</f>
        <v>873</v>
      </c>
    </row>
    <row r="1924" spans="1:9" ht="26" customHeight="1">
      <c r="A1924" s="17" t="s">
        <v>181</v>
      </c>
      <c r="B1924" s="18" t="s">
        <v>189</v>
      </c>
      <c r="C1924" s="18" t="s">
        <v>97</v>
      </c>
      <c r="D1924" s="18">
        <v>3</v>
      </c>
      <c r="E1924" s="17" t="s">
        <v>100</v>
      </c>
      <c r="F1924" s="19">
        <v>691</v>
      </c>
      <c r="G1924" s="20">
        <f>F1924+(VLOOKUP(D1924,'(Semelles.Monument.€HT)'!C:G,3,FALSE()))</f>
        <v>867</v>
      </c>
      <c r="H1924" s="21">
        <f>F1924+(VLOOKUP(D1924,'(Semelles.Monument.€HT)'!C:G,4,FALSE()))</f>
        <v>918</v>
      </c>
      <c r="I1924" s="22">
        <f>F1924+(VLOOKUP(D1924,'(Semelles.Monument.€HT)'!C:G,5,FALSE()))</f>
        <v>971</v>
      </c>
    </row>
    <row r="1925" spans="1:9" ht="26" customHeight="1">
      <c r="A1925" s="2" t="s">
        <v>181</v>
      </c>
      <c r="B1925" s="13" t="s">
        <v>189</v>
      </c>
      <c r="C1925" s="13" t="s">
        <v>97</v>
      </c>
      <c r="D1925" s="13">
        <v>4</v>
      </c>
      <c r="E1925" s="2" t="s">
        <v>101</v>
      </c>
      <c r="F1925" s="7">
        <v>707</v>
      </c>
      <c r="G1925" s="3">
        <f>F1925+(VLOOKUP(D1925,'(Semelles.Monument.€HT)'!C:G,3,FALSE()))</f>
        <v>886</v>
      </c>
      <c r="H1925" s="4">
        <f>F1925+(VLOOKUP(D1925,'(Semelles.Monument.€HT)'!C:G,4,FALSE()))</f>
        <v>938</v>
      </c>
      <c r="I1925" s="5">
        <f>F1925+(VLOOKUP(D1925,'(Semelles.Monument.€HT)'!C:G,5,FALSE()))</f>
        <v>992</v>
      </c>
    </row>
    <row r="1926" spans="1:9" ht="26" customHeight="1">
      <c r="A1926" s="17" t="s">
        <v>181</v>
      </c>
      <c r="B1926" s="18" t="s">
        <v>189</v>
      </c>
      <c r="C1926" s="18" t="s">
        <v>97</v>
      </c>
      <c r="D1926" s="18">
        <v>5</v>
      </c>
      <c r="E1926" s="17" t="s">
        <v>102</v>
      </c>
      <c r="F1926" s="19">
        <v>707</v>
      </c>
      <c r="G1926" s="20">
        <f>F1926+(VLOOKUP(D1926,'(Semelles.Monument.€HT)'!C:G,3,FALSE()))</f>
        <v>886</v>
      </c>
      <c r="H1926" s="21">
        <f>F1926+(VLOOKUP(D1926,'(Semelles.Monument.€HT)'!C:G,4,FALSE()))</f>
        <v>938</v>
      </c>
      <c r="I1926" s="22">
        <f>F1926+(VLOOKUP(D1926,'(Semelles.Monument.€HT)'!C:G,5,FALSE()))</f>
        <v>992</v>
      </c>
    </row>
    <row r="1927" spans="1:9" ht="26" customHeight="1">
      <c r="A1927" s="2" t="s">
        <v>181</v>
      </c>
      <c r="B1927" s="13" t="s">
        <v>189</v>
      </c>
      <c r="C1927" s="13" t="s">
        <v>97</v>
      </c>
      <c r="D1927" s="13">
        <v>6</v>
      </c>
      <c r="E1927" s="2" t="s">
        <v>103</v>
      </c>
      <c r="F1927" s="7">
        <v>711</v>
      </c>
      <c r="G1927" s="3">
        <f>F1927+(VLOOKUP(D1927,'(Semelles.Monument.€HT)'!C:G,3,FALSE()))</f>
        <v>891</v>
      </c>
      <c r="H1927" s="4">
        <f>F1927+(VLOOKUP(D1927,'(Semelles.Monument.€HT)'!C:G,4,FALSE()))</f>
        <v>943</v>
      </c>
      <c r="I1927" s="5">
        <f>F1927+(VLOOKUP(D1927,'(Semelles.Monument.€HT)'!C:G,5,FALSE()))</f>
        <v>998</v>
      </c>
    </row>
    <row r="1928" spans="1:9" ht="26" customHeight="1">
      <c r="A1928" s="17" t="s">
        <v>181</v>
      </c>
      <c r="B1928" s="18" t="s">
        <v>189</v>
      </c>
      <c r="C1928" s="18" t="s">
        <v>97</v>
      </c>
      <c r="D1928" s="18">
        <v>7</v>
      </c>
      <c r="E1928" s="17" t="s">
        <v>104</v>
      </c>
      <c r="F1928" s="19">
        <v>711</v>
      </c>
      <c r="G1928" s="20">
        <f>F1928+(VLOOKUP(D1928,'(Semelles.Monument.€HT)'!C:G,3,FALSE()))</f>
        <v>891</v>
      </c>
      <c r="H1928" s="21">
        <f>F1928+(VLOOKUP(D1928,'(Semelles.Monument.€HT)'!C:G,4,FALSE()))</f>
        <v>943</v>
      </c>
      <c r="I1928" s="22">
        <f>F1928+(VLOOKUP(D1928,'(Semelles.Monument.€HT)'!C:G,5,FALSE()))</f>
        <v>998</v>
      </c>
    </row>
    <row r="1929" spans="1:9" ht="26" customHeight="1">
      <c r="A1929" s="2" t="s">
        <v>181</v>
      </c>
      <c r="B1929" s="13" t="s">
        <v>189</v>
      </c>
      <c r="C1929" s="13" t="s">
        <v>97</v>
      </c>
      <c r="D1929" s="13">
        <v>8</v>
      </c>
      <c r="E1929" s="2" t="s">
        <v>105</v>
      </c>
      <c r="F1929" s="7">
        <v>711</v>
      </c>
      <c r="G1929" s="3">
        <f>F1929+(VLOOKUP(D1929,'(Semelles.Monument.€HT)'!C:G,3,FALSE()))</f>
        <v>891</v>
      </c>
      <c r="H1929" s="4">
        <f>F1929+(VLOOKUP(D1929,'(Semelles.Monument.€HT)'!C:G,4,FALSE()))</f>
        <v>943</v>
      </c>
      <c r="I1929" s="5">
        <f>F1929+(VLOOKUP(D1929,'(Semelles.Monument.€HT)'!C:G,5,FALSE()))</f>
        <v>998</v>
      </c>
    </row>
    <row r="1930" spans="1:9" ht="26" customHeight="1">
      <c r="A1930" s="17" t="s">
        <v>181</v>
      </c>
      <c r="B1930" s="18" t="s">
        <v>189</v>
      </c>
      <c r="C1930" s="18" t="s">
        <v>97</v>
      </c>
      <c r="D1930" s="18">
        <v>9</v>
      </c>
      <c r="E1930" s="17" t="s">
        <v>106</v>
      </c>
      <c r="F1930" s="19">
        <v>711</v>
      </c>
      <c r="G1930" s="20">
        <f>F1930+(VLOOKUP(D1930,'(Semelles.Monument.€HT)'!C:G,3,FALSE()))</f>
        <v>891</v>
      </c>
      <c r="H1930" s="21">
        <f>F1930+(VLOOKUP(D1930,'(Semelles.Monument.€HT)'!C:G,4,FALSE()))</f>
        <v>943</v>
      </c>
      <c r="I1930" s="22">
        <f>F1930+(VLOOKUP(D1930,'(Semelles.Monument.€HT)'!C:G,5,FALSE()))</f>
        <v>998</v>
      </c>
    </row>
    <row r="1931" spans="1:9" ht="26" customHeight="1">
      <c r="A1931" s="2" t="s">
        <v>181</v>
      </c>
      <c r="B1931" s="13" t="s">
        <v>189</v>
      </c>
      <c r="C1931" s="13" t="s">
        <v>97</v>
      </c>
      <c r="D1931" s="13">
        <v>10</v>
      </c>
      <c r="E1931" s="2" t="s">
        <v>107</v>
      </c>
      <c r="F1931" s="7">
        <v>711</v>
      </c>
      <c r="G1931" s="3">
        <f>F1931+(VLOOKUP(D1931,'(Semelles.Monument.€HT)'!C:G,3,FALSE()))</f>
        <v>891</v>
      </c>
      <c r="H1931" s="4">
        <f>F1931+(VLOOKUP(D1931,'(Semelles.Monument.€HT)'!C:G,4,FALSE()))</f>
        <v>943</v>
      </c>
      <c r="I1931" s="5">
        <f>F1931+(VLOOKUP(D1931,'(Semelles.Monument.€HT)'!C:G,5,FALSE()))</f>
        <v>998</v>
      </c>
    </row>
    <row r="1932" spans="1:9" ht="26" customHeight="1">
      <c r="A1932" s="17" t="s">
        <v>181</v>
      </c>
      <c r="B1932" s="18" t="s">
        <v>189</v>
      </c>
      <c r="C1932" s="18" t="s">
        <v>97</v>
      </c>
      <c r="D1932" s="18">
        <v>11</v>
      </c>
      <c r="E1932" s="17" t="s">
        <v>108</v>
      </c>
      <c r="F1932" s="19">
        <v>711</v>
      </c>
      <c r="G1932" s="20">
        <f>F1932+(VLOOKUP(D1932,'(Semelles.Monument.€HT)'!C:G,3,FALSE()))</f>
        <v>891</v>
      </c>
      <c r="H1932" s="21">
        <f>F1932+(VLOOKUP(D1932,'(Semelles.Monument.€HT)'!C:G,4,FALSE()))</f>
        <v>943</v>
      </c>
      <c r="I1932" s="22">
        <f>F1932+(VLOOKUP(D1932,'(Semelles.Monument.€HT)'!C:G,5,FALSE()))</f>
        <v>998</v>
      </c>
    </row>
    <row r="1933" spans="1:9" ht="26" customHeight="1">
      <c r="A1933" s="2" t="s">
        <v>181</v>
      </c>
      <c r="B1933" s="13" t="s">
        <v>189</v>
      </c>
      <c r="C1933" s="13" t="s">
        <v>97</v>
      </c>
      <c r="D1933" s="13">
        <v>12</v>
      </c>
      <c r="E1933" s="2" t="s">
        <v>109</v>
      </c>
      <c r="F1933" s="7">
        <v>721</v>
      </c>
      <c r="G1933" s="3">
        <f>F1933+(VLOOKUP(D1933,'(Semelles.Monument.€HT)'!C:G,3,FALSE()))</f>
        <v>903</v>
      </c>
      <c r="H1933" s="4">
        <f>F1933+(VLOOKUP(D1933,'(Semelles.Monument.€HT)'!C:G,4,FALSE()))</f>
        <v>956</v>
      </c>
      <c r="I1933" s="5">
        <f>F1933+(VLOOKUP(D1933,'(Semelles.Monument.€HT)'!C:G,5,FALSE()))</f>
        <v>1012</v>
      </c>
    </row>
    <row r="1934" spans="1:9" ht="26" customHeight="1">
      <c r="A1934" s="17" t="s">
        <v>181</v>
      </c>
      <c r="B1934" s="18" t="s">
        <v>189</v>
      </c>
      <c r="C1934" s="18" t="s">
        <v>97</v>
      </c>
      <c r="D1934" s="18">
        <v>13</v>
      </c>
      <c r="E1934" s="17" t="s">
        <v>110</v>
      </c>
      <c r="F1934" s="19">
        <v>721</v>
      </c>
      <c r="G1934" s="20">
        <f>F1934+(VLOOKUP(D1934,'(Semelles.Monument.€HT)'!C:G,3,FALSE()))</f>
        <v>903</v>
      </c>
      <c r="H1934" s="21">
        <f>F1934+(VLOOKUP(D1934,'(Semelles.Monument.€HT)'!C:G,4,FALSE()))</f>
        <v>956</v>
      </c>
      <c r="I1934" s="22">
        <f>F1934+(VLOOKUP(D1934,'(Semelles.Monument.€HT)'!C:G,5,FALSE()))</f>
        <v>1012</v>
      </c>
    </row>
    <row r="1935" spans="1:9" ht="26" customHeight="1">
      <c r="A1935" s="2" t="s">
        <v>181</v>
      </c>
      <c r="B1935" s="13" t="s">
        <v>189</v>
      </c>
      <c r="C1935" s="13" t="s">
        <v>97</v>
      </c>
      <c r="D1935" s="13">
        <v>14</v>
      </c>
      <c r="E1935" s="2" t="s">
        <v>111</v>
      </c>
      <c r="F1935" s="7">
        <v>723</v>
      </c>
      <c r="G1935" s="3">
        <f>F1935+(VLOOKUP(D1935,'(Semelles.Monument.€HT)'!C:G,3,FALSE()))</f>
        <v>906</v>
      </c>
      <c r="H1935" s="4">
        <f>F1935+(VLOOKUP(D1935,'(Semelles.Monument.€HT)'!C:G,4,FALSE()))</f>
        <v>959</v>
      </c>
      <c r="I1935" s="5">
        <f>F1935+(VLOOKUP(D1935,'(Semelles.Monument.€HT)'!C:G,5,FALSE()))</f>
        <v>1015</v>
      </c>
    </row>
    <row r="1936" spans="1:9" ht="26" customHeight="1">
      <c r="A1936" s="17" t="s">
        <v>181</v>
      </c>
      <c r="B1936" s="18" t="s">
        <v>189</v>
      </c>
      <c r="C1936" s="18" t="s">
        <v>97</v>
      </c>
      <c r="D1936" s="18">
        <v>15</v>
      </c>
      <c r="E1936" s="17" t="s">
        <v>112</v>
      </c>
      <c r="F1936" s="19">
        <v>723</v>
      </c>
      <c r="G1936" s="20">
        <f>F1936+(VLOOKUP(D1936,'(Semelles.Monument.€HT)'!C:G,3,FALSE()))</f>
        <v>906</v>
      </c>
      <c r="H1936" s="21">
        <f>F1936+(VLOOKUP(D1936,'(Semelles.Monument.€HT)'!C:G,4,FALSE()))</f>
        <v>959</v>
      </c>
      <c r="I1936" s="22">
        <f>F1936+(VLOOKUP(D1936,'(Semelles.Monument.€HT)'!C:G,5,FALSE()))</f>
        <v>1015</v>
      </c>
    </row>
    <row r="1937" spans="1:9" ht="26" customHeight="1">
      <c r="A1937" s="2" t="s">
        <v>181</v>
      </c>
      <c r="B1937" s="13" t="s">
        <v>189</v>
      </c>
      <c r="C1937" s="13" t="s">
        <v>97</v>
      </c>
      <c r="D1937" s="13">
        <v>16</v>
      </c>
      <c r="E1937" s="2" t="s">
        <v>113</v>
      </c>
      <c r="F1937" s="7">
        <v>723</v>
      </c>
      <c r="G1937" s="3">
        <f>F1937+(VLOOKUP(D1937,'(Semelles.Monument.€HT)'!C:G,3,FALSE()))</f>
        <v>906</v>
      </c>
      <c r="H1937" s="4">
        <f>F1937+(VLOOKUP(D1937,'(Semelles.Monument.€HT)'!C:G,4,FALSE()))</f>
        <v>959</v>
      </c>
      <c r="I1937" s="5">
        <f>F1937+(VLOOKUP(D1937,'(Semelles.Monument.€HT)'!C:G,5,FALSE()))</f>
        <v>1015</v>
      </c>
    </row>
    <row r="1938" spans="1:9" ht="26" customHeight="1">
      <c r="A1938" s="17" t="s">
        <v>181</v>
      </c>
      <c r="B1938" s="18" t="s">
        <v>189</v>
      </c>
      <c r="C1938" s="18" t="s">
        <v>97</v>
      </c>
      <c r="D1938" s="18">
        <v>17</v>
      </c>
      <c r="E1938" s="17" t="s">
        <v>114</v>
      </c>
      <c r="F1938" s="19">
        <v>736</v>
      </c>
      <c r="G1938" s="20">
        <f>F1938+(VLOOKUP(D1938,'(Semelles.Monument.€HT)'!C:G,3,FALSE()))</f>
        <v>922</v>
      </c>
      <c r="H1938" s="21">
        <f>F1938+(VLOOKUP(D1938,'(Semelles.Monument.€HT)'!C:G,4,FALSE()))</f>
        <v>976</v>
      </c>
      <c r="I1938" s="22">
        <f>F1938+(VLOOKUP(D1938,'(Semelles.Monument.€HT)'!C:G,5,FALSE()))</f>
        <v>1033</v>
      </c>
    </row>
    <row r="1939" spans="1:9" ht="26" customHeight="1">
      <c r="A1939" s="2" t="s">
        <v>181</v>
      </c>
      <c r="B1939" s="13" t="s">
        <v>189</v>
      </c>
      <c r="C1939" s="13" t="s">
        <v>97</v>
      </c>
      <c r="D1939" s="13">
        <v>18</v>
      </c>
      <c r="E1939" s="2" t="s">
        <v>115</v>
      </c>
      <c r="F1939" s="7">
        <v>736</v>
      </c>
      <c r="G1939" s="3">
        <f>F1939+(VLOOKUP(D1939,'(Semelles.Monument.€HT)'!C:G,3,FALSE()))</f>
        <v>922</v>
      </c>
      <c r="H1939" s="4">
        <f>F1939+(VLOOKUP(D1939,'(Semelles.Monument.€HT)'!C:G,4,FALSE()))</f>
        <v>976</v>
      </c>
      <c r="I1939" s="5">
        <f>F1939+(VLOOKUP(D1939,'(Semelles.Monument.€HT)'!C:G,5,FALSE()))</f>
        <v>1033</v>
      </c>
    </row>
    <row r="1940" spans="1:9" ht="26" customHeight="1">
      <c r="A1940" s="17" t="s">
        <v>181</v>
      </c>
      <c r="B1940" s="18" t="s">
        <v>189</v>
      </c>
      <c r="C1940" s="18" t="s">
        <v>97</v>
      </c>
      <c r="D1940" s="18">
        <v>19</v>
      </c>
      <c r="E1940" s="17" t="s">
        <v>116</v>
      </c>
      <c r="F1940" s="19">
        <v>736</v>
      </c>
      <c r="G1940" s="20">
        <f>F1940+(VLOOKUP(D1940,'(Semelles.Monument.€HT)'!C:G,3,FALSE()))</f>
        <v>922</v>
      </c>
      <c r="H1940" s="21">
        <f>F1940+(VLOOKUP(D1940,'(Semelles.Monument.€HT)'!C:G,4,FALSE()))</f>
        <v>976</v>
      </c>
      <c r="I1940" s="22">
        <f>F1940+(VLOOKUP(D1940,'(Semelles.Monument.€HT)'!C:G,5,FALSE()))</f>
        <v>1033</v>
      </c>
    </row>
    <row r="1941" spans="1:9" ht="26" customHeight="1">
      <c r="A1941" s="2" t="s">
        <v>181</v>
      </c>
      <c r="B1941" s="13" t="s">
        <v>189</v>
      </c>
      <c r="C1941" s="13" t="s">
        <v>97</v>
      </c>
      <c r="D1941" s="13">
        <v>20</v>
      </c>
      <c r="E1941" s="2" t="s">
        <v>117</v>
      </c>
      <c r="F1941" s="7">
        <v>742</v>
      </c>
      <c r="G1941" s="3">
        <f>F1941+(VLOOKUP(D1941,'(Semelles.Monument.€HT)'!C:G,3,FALSE()))</f>
        <v>930</v>
      </c>
      <c r="H1941" s="4">
        <f>F1941+(VLOOKUP(D1941,'(Semelles.Monument.€HT)'!C:G,4,FALSE()))</f>
        <v>984</v>
      </c>
      <c r="I1941" s="5">
        <f>F1941+(VLOOKUP(D1941,'(Semelles.Monument.€HT)'!C:G,5,FALSE()))</f>
        <v>1041</v>
      </c>
    </row>
    <row r="1942" spans="1:9" ht="26" customHeight="1">
      <c r="A1942" s="17" t="s">
        <v>181</v>
      </c>
      <c r="B1942" s="18" t="s">
        <v>189</v>
      </c>
      <c r="C1942" s="18" t="s">
        <v>97</v>
      </c>
      <c r="D1942" s="18">
        <v>21</v>
      </c>
      <c r="E1942" s="17" t="s">
        <v>118</v>
      </c>
      <c r="F1942" s="19">
        <v>746</v>
      </c>
      <c r="G1942" s="20">
        <f>F1942+(VLOOKUP(D1942,'(Semelles.Monument.€HT)'!C:G,3,FALSE()))</f>
        <v>935</v>
      </c>
      <c r="H1942" s="21">
        <f>F1942+(VLOOKUP(D1942,'(Semelles.Monument.€HT)'!C:G,4,FALSE()))</f>
        <v>989</v>
      </c>
      <c r="I1942" s="22">
        <f>F1942+(VLOOKUP(D1942,'(Semelles.Monument.€HT)'!C:G,5,FALSE()))</f>
        <v>1047</v>
      </c>
    </row>
    <row r="1943" spans="1:9" ht="26" customHeight="1">
      <c r="A1943" s="2" t="s">
        <v>181</v>
      </c>
      <c r="B1943" s="13" t="s">
        <v>189</v>
      </c>
      <c r="C1943" s="13" t="s">
        <v>97</v>
      </c>
      <c r="D1943" s="13">
        <v>22</v>
      </c>
      <c r="E1943" s="2" t="s">
        <v>119</v>
      </c>
      <c r="F1943" s="7">
        <v>746</v>
      </c>
      <c r="G1943" s="3">
        <f>F1943+(VLOOKUP(D1943,'(Semelles.Monument.€HT)'!C:G,3,FALSE()))</f>
        <v>935</v>
      </c>
      <c r="H1943" s="4">
        <f>F1943+(VLOOKUP(D1943,'(Semelles.Monument.€HT)'!C:G,4,FALSE()))</f>
        <v>989</v>
      </c>
      <c r="I1943" s="5">
        <f>F1943+(VLOOKUP(D1943,'(Semelles.Monument.€HT)'!C:G,5,FALSE()))</f>
        <v>1047</v>
      </c>
    </row>
    <row r="1944" spans="1:9" ht="26" customHeight="1">
      <c r="A1944" s="17" t="s">
        <v>181</v>
      </c>
      <c r="B1944" s="18" t="s">
        <v>189</v>
      </c>
      <c r="C1944" s="18" t="s">
        <v>97</v>
      </c>
      <c r="D1944" s="18">
        <v>23</v>
      </c>
      <c r="E1944" s="17" t="s">
        <v>120</v>
      </c>
      <c r="F1944" s="19">
        <v>757</v>
      </c>
      <c r="G1944" s="20">
        <f>F1944+(VLOOKUP(D1944,'(Semelles.Monument.€HT)'!C:G,3,FALSE()))</f>
        <v>949</v>
      </c>
      <c r="H1944" s="21">
        <f>F1944+(VLOOKUP(D1944,'(Semelles.Monument.€HT)'!C:G,4,FALSE()))</f>
        <v>1004</v>
      </c>
      <c r="I1944" s="22">
        <f>F1944+(VLOOKUP(D1944,'(Semelles.Monument.€HT)'!C:G,5,FALSE()))</f>
        <v>1062</v>
      </c>
    </row>
    <row r="1945" spans="1:9" ht="26" customHeight="1">
      <c r="A1945" s="2" t="s">
        <v>181</v>
      </c>
      <c r="B1945" s="13" t="s">
        <v>189</v>
      </c>
      <c r="C1945" s="13" t="s">
        <v>97</v>
      </c>
      <c r="D1945" s="13">
        <v>24</v>
      </c>
      <c r="E1945" s="2" t="s">
        <v>121</v>
      </c>
      <c r="F1945" s="7">
        <v>757</v>
      </c>
      <c r="G1945" s="3">
        <f>F1945+(VLOOKUP(D1945,'(Semelles.Monument.€HT)'!C:G,3,FALSE()))</f>
        <v>949</v>
      </c>
      <c r="H1945" s="4">
        <f>F1945+(VLOOKUP(D1945,'(Semelles.Monument.€HT)'!C:G,4,FALSE()))</f>
        <v>1004</v>
      </c>
      <c r="I1945" s="5">
        <f>F1945+(VLOOKUP(D1945,'(Semelles.Monument.€HT)'!C:G,5,FALSE()))</f>
        <v>1062</v>
      </c>
    </row>
    <row r="1946" spans="1:9" ht="26" customHeight="1">
      <c r="A1946" s="17" t="s">
        <v>181</v>
      </c>
      <c r="B1946" s="18" t="s">
        <v>189</v>
      </c>
      <c r="C1946" s="18" t="s">
        <v>97</v>
      </c>
      <c r="D1946" s="18">
        <v>25</v>
      </c>
      <c r="E1946" s="17" t="s">
        <v>122</v>
      </c>
      <c r="F1946" s="19">
        <v>757</v>
      </c>
      <c r="G1946" s="20">
        <f>F1946+(VLOOKUP(D1946,'(Semelles.Monument.€HT)'!C:G,3,FALSE()))</f>
        <v>949</v>
      </c>
      <c r="H1946" s="21">
        <f>F1946+(VLOOKUP(D1946,'(Semelles.Monument.€HT)'!C:G,4,FALSE()))</f>
        <v>1004</v>
      </c>
      <c r="I1946" s="22">
        <f>F1946+(VLOOKUP(D1946,'(Semelles.Monument.€HT)'!C:G,5,FALSE()))</f>
        <v>1062</v>
      </c>
    </row>
    <row r="1947" spans="1:9" ht="26" customHeight="1">
      <c r="A1947" s="2" t="s">
        <v>181</v>
      </c>
      <c r="B1947" s="13" t="s">
        <v>189</v>
      </c>
      <c r="C1947" s="13" t="s">
        <v>97</v>
      </c>
      <c r="D1947" s="13">
        <v>26</v>
      </c>
      <c r="E1947" s="2" t="s">
        <v>123</v>
      </c>
      <c r="F1947" s="7">
        <v>770</v>
      </c>
      <c r="G1947" s="3">
        <f>F1947+(VLOOKUP(D1947,'(Semelles.Monument.€HT)'!C:G,3,FALSE()))</f>
        <v>965</v>
      </c>
      <c r="H1947" s="4">
        <f>F1947+(VLOOKUP(D1947,'(Semelles.Monument.€HT)'!C:G,4,FALSE()))</f>
        <v>1021</v>
      </c>
      <c r="I1947" s="5">
        <f>F1947+(VLOOKUP(D1947,'(Semelles.Monument.€HT)'!C:G,5,FALSE()))</f>
        <v>1080</v>
      </c>
    </row>
    <row r="1948" spans="1:9" ht="26" customHeight="1">
      <c r="A1948" s="17" t="s">
        <v>181</v>
      </c>
      <c r="B1948" s="18" t="s">
        <v>189</v>
      </c>
      <c r="C1948" s="18" t="s">
        <v>97</v>
      </c>
      <c r="D1948" s="18">
        <v>27</v>
      </c>
      <c r="E1948" s="17" t="s">
        <v>124</v>
      </c>
      <c r="F1948" s="19">
        <v>820</v>
      </c>
      <c r="G1948" s="20">
        <f>F1948+(VLOOKUP(D1948,'(Semelles.Monument.€HT)'!C:G,3,FALSE()))</f>
        <v>1028</v>
      </c>
      <c r="H1948" s="21">
        <f>F1948+(VLOOKUP(D1948,'(Semelles.Monument.€HT)'!C:G,4,FALSE()))</f>
        <v>1088</v>
      </c>
      <c r="I1948" s="22">
        <f>F1948+(VLOOKUP(D1948,'(Semelles.Monument.€HT)'!C:G,5,FALSE()))</f>
        <v>1187</v>
      </c>
    </row>
    <row r="1949" spans="1:9" ht="26" customHeight="1">
      <c r="A1949" s="2" t="s">
        <v>181</v>
      </c>
      <c r="B1949" s="13" t="s">
        <v>189</v>
      </c>
      <c r="C1949" s="13" t="s">
        <v>97</v>
      </c>
      <c r="D1949" s="13">
        <v>28</v>
      </c>
      <c r="E1949" s="2" t="s">
        <v>125</v>
      </c>
      <c r="F1949" s="7">
        <v>908</v>
      </c>
      <c r="G1949" s="3">
        <f>F1949+(VLOOKUP(D1949,'(Semelles.Monument.€HT)'!C:G,3,FALSE()))</f>
        <v>1138</v>
      </c>
      <c r="H1949" s="4">
        <f>F1949+(VLOOKUP(D1949,'(Semelles.Monument.€HT)'!C:G,4,FALSE()))</f>
        <v>1205</v>
      </c>
      <c r="I1949" s="5">
        <f>F1949+(VLOOKUP(D1949,'(Semelles.Monument.€HT)'!C:G,5,FALSE()))</f>
        <v>1275</v>
      </c>
    </row>
    <row r="1950" spans="1:9" ht="26" customHeight="1">
      <c r="A1950" s="17" t="s">
        <v>181</v>
      </c>
      <c r="B1950" s="18" t="s">
        <v>189</v>
      </c>
      <c r="C1950" s="18" t="s">
        <v>97</v>
      </c>
      <c r="D1950" s="18">
        <v>29</v>
      </c>
      <c r="E1950" s="17" t="s">
        <v>126</v>
      </c>
      <c r="F1950" s="19">
        <v>946</v>
      </c>
      <c r="G1950" s="20">
        <f>F1950+(VLOOKUP(D1950,'(Semelles.Monument.€HT)'!C:G,3,FALSE()))</f>
        <v>1186</v>
      </c>
      <c r="H1950" s="21">
        <f>F1950+(VLOOKUP(D1950,'(Semelles.Monument.€HT)'!C:G,4,FALSE()))</f>
        <v>1255</v>
      </c>
      <c r="I1950" s="22">
        <f>F1950+(VLOOKUP(D1950,'(Semelles.Monument.€HT)'!C:G,5,FALSE()))</f>
        <v>1328</v>
      </c>
    </row>
    <row r="1951" spans="1:9" ht="26" customHeight="1">
      <c r="A1951" s="2" t="s">
        <v>181</v>
      </c>
      <c r="B1951" s="13" t="s">
        <v>189</v>
      </c>
      <c r="C1951" s="13" t="s">
        <v>97</v>
      </c>
      <c r="D1951" s="13">
        <v>30</v>
      </c>
      <c r="E1951" s="2" t="s">
        <v>127</v>
      </c>
      <c r="F1951" s="7">
        <v>946</v>
      </c>
      <c r="G1951" s="3">
        <f>F1951+(VLOOKUP(D1951,'(Semelles.Monument.€HT)'!C:G,3,FALSE()))</f>
        <v>1186</v>
      </c>
      <c r="H1951" s="4">
        <f>F1951+(VLOOKUP(D1951,'(Semelles.Monument.€HT)'!C:G,4,FALSE()))</f>
        <v>1255</v>
      </c>
      <c r="I1951" s="5">
        <f>F1951+(VLOOKUP(D1951,'(Semelles.Monument.€HT)'!C:G,5,FALSE()))</f>
        <v>1328</v>
      </c>
    </row>
    <row r="1952" spans="1:9" ht="26" customHeight="1">
      <c r="A1952" s="17" t="s">
        <v>181</v>
      </c>
      <c r="B1952" s="18" t="s">
        <v>189</v>
      </c>
      <c r="C1952" s="18" t="s">
        <v>128</v>
      </c>
      <c r="D1952" s="18">
        <v>31</v>
      </c>
      <c r="E1952" s="17" t="s">
        <v>129</v>
      </c>
      <c r="F1952" s="19">
        <v>523</v>
      </c>
      <c r="G1952" s="20">
        <f>F1952+(VLOOKUP(D1952,'(Semelles.Monument.€HT)'!C:G,3,FALSE()))</f>
        <v>655</v>
      </c>
      <c r="H1952" s="21">
        <f>F1952+(VLOOKUP(D1952,'(Semelles.Monument.€HT)'!C:G,4,FALSE()))</f>
        <v>693</v>
      </c>
      <c r="I1952" s="22">
        <f>F1952+(VLOOKUP(D1952,'(Semelles.Monument.€HT)'!C:G,5,FALSE()))</f>
        <v>733</v>
      </c>
    </row>
    <row r="1953" spans="1:9" ht="26" customHeight="1">
      <c r="A1953" s="2" t="s">
        <v>181</v>
      </c>
      <c r="B1953" s="13" t="s">
        <v>189</v>
      </c>
      <c r="C1953" s="13" t="s">
        <v>128</v>
      </c>
      <c r="D1953" s="13">
        <v>32</v>
      </c>
      <c r="E1953" s="2" t="s">
        <v>130</v>
      </c>
      <c r="F1953" s="7">
        <v>530</v>
      </c>
      <c r="G1953" s="3">
        <f>F1953+(VLOOKUP(D1953,'(Semelles.Monument.€HT)'!C:G,3,FALSE()))</f>
        <v>664</v>
      </c>
      <c r="H1953" s="4">
        <f>F1953+(VLOOKUP(D1953,'(Semelles.Monument.€HT)'!C:G,4,FALSE()))</f>
        <v>703</v>
      </c>
      <c r="I1953" s="5">
        <f>F1953+(VLOOKUP(D1953,'(Semelles.Monument.€HT)'!C:G,5,FALSE()))</f>
        <v>743</v>
      </c>
    </row>
    <row r="1954" spans="1:9" ht="26" customHeight="1">
      <c r="A1954" s="17" t="s">
        <v>181</v>
      </c>
      <c r="B1954" s="18" t="s">
        <v>189</v>
      </c>
      <c r="C1954" s="18" t="s">
        <v>128</v>
      </c>
      <c r="D1954" s="18">
        <v>33</v>
      </c>
      <c r="E1954" s="17" t="s">
        <v>131</v>
      </c>
      <c r="F1954" s="19">
        <v>530</v>
      </c>
      <c r="G1954" s="20">
        <f>F1954+(VLOOKUP(D1954,'(Semelles.Monument.€HT)'!C:G,3,FALSE()))</f>
        <v>664</v>
      </c>
      <c r="H1954" s="21">
        <f>F1954+(VLOOKUP(D1954,'(Semelles.Monument.€HT)'!C:G,4,FALSE()))</f>
        <v>703</v>
      </c>
      <c r="I1954" s="22">
        <f>F1954+(VLOOKUP(D1954,'(Semelles.Monument.€HT)'!C:G,5,FALSE()))</f>
        <v>743</v>
      </c>
    </row>
    <row r="1955" spans="1:9" ht="26" customHeight="1">
      <c r="A1955" s="2" t="s">
        <v>181</v>
      </c>
      <c r="B1955" s="13" t="s">
        <v>189</v>
      </c>
      <c r="C1955" s="13" t="s">
        <v>128</v>
      </c>
      <c r="D1955" s="13">
        <v>34</v>
      </c>
      <c r="E1955" s="2" t="s">
        <v>132</v>
      </c>
      <c r="F1955" s="7">
        <v>536</v>
      </c>
      <c r="G1955" s="3">
        <f>F1955+(VLOOKUP(D1955,'(Semelles.Monument.€HT)'!C:G,3,FALSE()))</f>
        <v>671</v>
      </c>
      <c r="H1955" s="4">
        <f>F1955+(VLOOKUP(D1955,'(Semelles.Monument.€HT)'!C:G,4,FALSE()))</f>
        <v>710</v>
      </c>
      <c r="I1955" s="5">
        <f>F1955+(VLOOKUP(D1955,'(Semelles.Monument.€HT)'!C:G,5,FALSE()))</f>
        <v>751</v>
      </c>
    </row>
    <row r="1956" spans="1:9" ht="26" customHeight="1">
      <c r="A1956" s="17" t="s">
        <v>181</v>
      </c>
      <c r="B1956" s="18" t="s">
        <v>189</v>
      </c>
      <c r="C1956" s="18" t="s">
        <v>128</v>
      </c>
      <c r="D1956" s="18">
        <v>35</v>
      </c>
      <c r="E1956" s="17" t="s">
        <v>133</v>
      </c>
      <c r="F1956" s="19">
        <v>644</v>
      </c>
      <c r="G1956" s="20">
        <f>F1956+(VLOOKUP(D1956,'(Semelles.Monument.€HT)'!C:G,3,FALSE()))</f>
        <v>807</v>
      </c>
      <c r="H1956" s="21">
        <f>F1956+(VLOOKUP(D1956,'(Semelles.Monument.€HT)'!C:G,4,FALSE()))</f>
        <v>854</v>
      </c>
      <c r="I1956" s="22">
        <f>F1956+(VLOOKUP(D1956,'(Semelles.Monument.€HT)'!C:G,5,FALSE()))</f>
        <v>903</v>
      </c>
    </row>
    <row r="1957" spans="1:9" ht="26" customHeight="1">
      <c r="A1957" s="2" t="s">
        <v>181</v>
      </c>
      <c r="B1957" s="13" t="s">
        <v>189</v>
      </c>
      <c r="C1957" s="13" t="s">
        <v>128</v>
      </c>
      <c r="D1957" s="13">
        <v>36</v>
      </c>
      <c r="E1957" s="2" t="s">
        <v>134</v>
      </c>
      <c r="F1957" s="7">
        <v>666</v>
      </c>
      <c r="G1957" s="3">
        <f>F1957+(VLOOKUP(D1957,'(Semelles.Monument.€HT)'!C:G,3,FALSE()))</f>
        <v>834</v>
      </c>
      <c r="H1957" s="4">
        <f>F1957+(VLOOKUP(D1957,'(Semelles.Monument.€HT)'!C:G,4,FALSE()))</f>
        <v>883</v>
      </c>
      <c r="I1957" s="5">
        <f>F1957+(VLOOKUP(D1957,'(Semelles.Monument.€HT)'!C:G,5,FALSE()))</f>
        <v>934</v>
      </c>
    </row>
    <row r="1958" spans="1:9" ht="26" customHeight="1">
      <c r="A1958" s="17" t="s">
        <v>181</v>
      </c>
      <c r="B1958" s="18" t="s">
        <v>189</v>
      </c>
      <c r="C1958" s="18" t="s">
        <v>128</v>
      </c>
      <c r="D1958" s="18">
        <v>37</v>
      </c>
      <c r="E1958" s="17" t="s">
        <v>135</v>
      </c>
      <c r="F1958" s="19">
        <v>822</v>
      </c>
      <c r="G1958" s="20">
        <f>F1958+(VLOOKUP(D1958,'(Semelles.Monument.€HT)'!C:G,3,FALSE()))</f>
        <v>1030</v>
      </c>
      <c r="H1958" s="21">
        <f>F1958+(VLOOKUP(D1958,'(Semelles.Monument.€HT)'!C:G,4,FALSE()))</f>
        <v>1090</v>
      </c>
      <c r="I1958" s="22">
        <f>F1958+(VLOOKUP(D1958,'(Semelles.Monument.€HT)'!C:G,5,FALSE()))</f>
        <v>1154</v>
      </c>
    </row>
    <row r="1959" spans="1:9" ht="26" customHeight="1">
      <c r="A1959" s="2" t="s">
        <v>181</v>
      </c>
      <c r="B1959" s="13" t="s">
        <v>189</v>
      </c>
      <c r="C1959" s="13" t="s">
        <v>128</v>
      </c>
      <c r="D1959" s="13">
        <v>38</v>
      </c>
      <c r="E1959" s="2" t="s">
        <v>136</v>
      </c>
      <c r="F1959" s="7">
        <v>870</v>
      </c>
      <c r="G1959" s="3">
        <f>F1959+(VLOOKUP(D1959,'(Semelles.Monument.€HT)'!C:G,3,FALSE()))</f>
        <v>1090</v>
      </c>
      <c r="H1959" s="4">
        <f>F1959+(VLOOKUP(D1959,'(Semelles.Monument.€HT)'!C:G,4,FALSE()))</f>
        <v>1154</v>
      </c>
      <c r="I1959" s="5">
        <f>F1959+(VLOOKUP(D1959,'(Semelles.Monument.€HT)'!C:G,5,FALSE()))</f>
        <v>1221</v>
      </c>
    </row>
    <row r="1960" spans="1:9" ht="26" customHeight="1">
      <c r="A1960" s="17" t="s">
        <v>181</v>
      </c>
      <c r="B1960" s="18" t="s">
        <v>189</v>
      </c>
      <c r="C1960" s="18" t="s">
        <v>128</v>
      </c>
      <c r="D1960" s="18">
        <v>39</v>
      </c>
      <c r="E1960" s="17" t="s">
        <v>137</v>
      </c>
      <c r="F1960" s="19">
        <v>892</v>
      </c>
      <c r="G1960" s="20">
        <f>F1960+(VLOOKUP(D1960,'(Semelles.Monument.€HT)'!C:G,3,FALSE()))</f>
        <v>1118</v>
      </c>
      <c r="H1960" s="21">
        <f>F1960+(VLOOKUP(D1960,'(Semelles.Monument.€HT)'!C:G,4,FALSE()))</f>
        <v>1183</v>
      </c>
      <c r="I1960" s="22">
        <f>F1960+(VLOOKUP(D1960,'(Semelles.Monument.€HT)'!C:G,5,FALSE()))</f>
        <v>1252</v>
      </c>
    </row>
    <row r="1961" spans="1:9" ht="26" customHeight="1">
      <c r="A1961" s="2" t="s">
        <v>181</v>
      </c>
      <c r="B1961" s="13" t="s">
        <v>189</v>
      </c>
      <c r="C1961" s="13" t="s">
        <v>128</v>
      </c>
      <c r="D1961" s="13">
        <v>40</v>
      </c>
      <c r="E1961" s="2" t="s">
        <v>138</v>
      </c>
      <c r="F1961" s="7">
        <v>917</v>
      </c>
      <c r="G1961" s="3">
        <f>F1961+(VLOOKUP(D1961,'(Semelles.Monument.€HT)'!C:G,3,FALSE()))</f>
        <v>1149</v>
      </c>
      <c r="H1961" s="4">
        <f>F1961+(VLOOKUP(D1961,'(Semelles.Monument.€HT)'!C:G,4,FALSE()))</f>
        <v>1217</v>
      </c>
      <c r="I1961" s="5">
        <f>F1961+(VLOOKUP(D1961,'(Semelles.Monument.€HT)'!C:G,5,FALSE()))</f>
        <v>1287</v>
      </c>
    </row>
    <row r="1962" spans="1:9" ht="26" customHeight="1">
      <c r="A1962" s="17" t="s">
        <v>181</v>
      </c>
      <c r="B1962" s="18" t="s">
        <v>189</v>
      </c>
      <c r="C1962" s="18" t="s">
        <v>128</v>
      </c>
      <c r="D1962" s="18">
        <v>41</v>
      </c>
      <c r="E1962" s="17" t="s">
        <v>139</v>
      </c>
      <c r="F1962" s="19">
        <v>975</v>
      </c>
      <c r="G1962" s="20">
        <f>F1962+(VLOOKUP(D1962,'(Semelles.Monument.€HT)'!C:G,3,FALSE()))</f>
        <v>1222</v>
      </c>
      <c r="H1962" s="21">
        <f>F1962+(VLOOKUP(D1962,'(Semelles.Monument.€HT)'!C:G,4,FALSE()))</f>
        <v>1294</v>
      </c>
      <c r="I1962" s="22">
        <f>F1962+(VLOOKUP(D1962,'(Semelles.Monument.€HT)'!C:G,5,FALSE()))</f>
        <v>1369</v>
      </c>
    </row>
    <row r="1963" spans="1:9" ht="26" customHeight="1">
      <c r="A1963" s="2" t="s">
        <v>181</v>
      </c>
      <c r="B1963" s="13" t="s">
        <v>189</v>
      </c>
      <c r="C1963" s="13" t="s">
        <v>128</v>
      </c>
      <c r="D1963" s="13">
        <v>42</v>
      </c>
      <c r="E1963" s="2" t="s">
        <v>140</v>
      </c>
      <c r="F1963" s="7">
        <v>1017</v>
      </c>
      <c r="G1963" s="3">
        <f>F1963+(VLOOKUP(D1963,'(Semelles.Monument.€HT)'!C:G,3,FALSE()))</f>
        <v>1288</v>
      </c>
      <c r="H1963" s="4">
        <f>F1963+(VLOOKUP(D1963,'(Semelles.Monument.€HT)'!C:G,4,FALSE()))</f>
        <v>1367</v>
      </c>
      <c r="I1963" s="5">
        <f>F1963+(VLOOKUP(D1963,'(Semelles.Monument.€HT)'!C:G,5,FALSE()))</f>
        <v>1450</v>
      </c>
    </row>
    <row r="1964" spans="1:9" ht="26" customHeight="1">
      <c r="A1964" s="17" t="s">
        <v>181</v>
      </c>
      <c r="B1964" s="18" t="s">
        <v>189</v>
      </c>
      <c r="C1964" s="18" t="s">
        <v>128</v>
      </c>
      <c r="D1964" s="18">
        <v>43</v>
      </c>
      <c r="E1964" s="17" t="s">
        <v>141</v>
      </c>
      <c r="F1964" s="19">
        <v>1017</v>
      </c>
      <c r="G1964" s="20">
        <f>F1964+(VLOOKUP(D1964,'(Semelles.Monument.€HT)'!C:G,3,FALSE()))</f>
        <v>1288</v>
      </c>
      <c r="H1964" s="21">
        <f>F1964+(VLOOKUP(D1964,'(Semelles.Monument.€HT)'!C:G,4,FALSE()))</f>
        <v>1367</v>
      </c>
      <c r="I1964" s="22">
        <f>F1964+(VLOOKUP(D1964,'(Semelles.Monument.€HT)'!C:G,5,FALSE()))</f>
        <v>1450</v>
      </c>
    </row>
    <row r="1965" spans="1:9" ht="26" customHeight="1">
      <c r="A1965" s="2" t="s">
        <v>181</v>
      </c>
      <c r="B1965" s="13" t="s">
        <v>189</v>
      </c>
      <c r="C1965" s="13" t="s">
        <v>128</v>
      </c>
      <c r="D1965" s="13">
        <v>44</v>
      </c>
      <c r="E1965" s="2" t="s">
        <v>142</v>
      </c>
      <c r="F1965" s="7">
        <v>1083</v>
      </c>
      <c r="G1965" s="3">
        <f>F1965+(VLOOKUP(D1965,'(Semelles.Monument.€HT)'!C:G,3,FALSE()))</f>
        <v>1358</v>
      </c>
      <c r="H1965" s="4">
        <f>F1965+(VLOOKUP(D1965,'(Semelles.Monument.€HT)'!C:G,4,FALSE()))</f>
        <v>1437</v>
      </c>
      <c r="I1965" s="5">
        <f>F1965+(VLOOKUP(D1965,'(Semelles.Monument.€HT)'!C:G,5,FALSE()))</f>
        <v>1521</v>
      </c>
    </row>
    <row r="1966" spans="1:9" ht="26" customHeight="1">
      <c r="A1966" s="17" t="s">
        <v>181</v>
      </c>
      <c r="B1966" s="18" t="s">
        <v>189</v>
      </c>
      <c r="C1966" s="18" t="s">
        <v>128</v>
      </c>
      <c r="D1966" s="18">
        <v>45</v>
      </c>
      <c r="E1966" s="17" t="s">
        <v>143</v>
      </c>
      <c r="F1966" s="19">
        <v>1096</v>
      </c>
      <c r="G1966" s="20">
        <f>F1966+(VLOOKUP(D1966,'(Semelles.Monument.€HT)'!C:G,3,FALSE()))</f>
        <v>1374</v>
      </c>
      <c r="H1966" s="21">
        <f>F1966+(VLOOKUP(D1966,'(Semelles.Monument.€HT)'!C:G,4,FALSE()))</f>
        <v>1454</v>
      </c>
      <c r="I1966" s="22">
        <f>F1966+(VLOOKUP(D1966,'(Semelles.Monument.€HT)'!C:G,5,FALSE()))</f>
        <v>1539</v>
      </c>
    </row>
    <row r="1967" spans="1:9" ht="26" customHeight="1">
      <c r="A1967" s="2" t="s">
        <v>181</v>
      </c>
      <c r="B1967" s="13" t="s">
        <v>189</v>
      </c>
      <c r="C1967" s="13" t="s">
        <v>128</v>
      </c>
      <c r="D1967" s="13">
        <v>46</v>
      </c>
      <c r="E1967" s="2" t="s">
        <v>144</v>
      </c>
      <c r="F1967" s="7">
        <v>1096</v>
      </c>
      <c r="G1967" s="3">
        <f>F1967+(VLOOKUP(D1967,'(Semelles.Monument.€HT)'!C:G,3,FALSE()))</f>
        <v>1374</v>
      </c>
      <c r="H1967" s="4">
        <f>F1967+(VLOOKUP(D1967,'(Semelles.Monument.€HT)'!C:G,4,FALSE()))</f>
        <v>1454</v>
      </c>
      <c r="I1967" s="5">
        <f>F1967+(VLOOKUP(D1967,'(Semelles.Monument.€HT)'!C:G,5,FALSE()))</f>
        <v>1539</v>
      </c>
    </row>
    <row r="1968" spans="1:9" ht="26" customHeight="1">
      <c r="A1968" s="17" t="s">
        <v>181</v>
      </c>
      <c r="B1968" s="18" t="s">
        <v>189</v>
      </c>
      <c r="C1968" s="18" t="s">
        <v>128</v>
      </c>
      <c r="D1968" s="18">
        <v>47</v>
      </c>
      <c r="E1968" s="17" t="s">
        <v>145</v>
      </c>
      <c r="F1968" s="19">
        <v>1119</v>
      </c>
      <c r="G1968" s="20">
        <f>F1968+(VLOOKUP(D1968,'(Semelles.Monument.€HT)'!C:G,3,FALSE()))</f>
        <v>1403</v>
      </c>
      <c r="H1968" s="21">
        <f>F1968+(VLOOKUP(D1968,'(Semelles.Monument.€HT)'!C:G,4,FALSE()))</f>
        <v>1485</v>
      </c>
      <c r="I1968" s="22">
        <f>F1968+(VLOOKUP(D1968,'(Semelles.Monument.€HT)'!C:G,5,FALSE()))</f>
        <v>1571</v>
      </c>
    </row>
    <row r="1969" spans="1:9" ht="26" customHeight="1">
      <c r="A1969" s="2" t="s">
        <v>181</v>
      </c>
      <c r="B1969" s="13" t="s">
        <v>189</v>
      </c>
      <c r="C1969" s="13" t="s">
        <v>128</v>
      </c>
      <c r="D1969" s="13">
        <v>48</v>
      </c>
      <c r="E1969" s="2" t="s">
        <v>146</v>
      </c>
      <c r="F1969" s="7">
        <v>1131</v>
      </c>
      <c r="G1969" s="3">
        <f>F1969+(VLOOKUP(D1969,'(Semelles.Monument.€HT)'!C:G,3,FALSE()))</f>
        <v>1418</v>
      </c>
      <c r="H1969" s="4">
        <f>F1969+(VLOOKUP(D1969,'(Semelles.Monument.€HT)'!C:G,4,FALSE()))</f>
        <v>1501</v>
      </c>
      <c r="I1969" s="5">
        <f>F1969+(VLOOKUP(D1969,'(Semelles.Monument.€HT)'!C:G,5,FALSE()))</f>
        <v>1588</v>
      </c>
    </row>
    <row r="1970" spans="1:9" ht="26" customHeight="1">
      <c r="A1970" s="17" t="s">
        <v>190</v>
      </c>
      <c r="B1970" s="18" t="s">
        <v>191</v>
      </c>
      <c r="C1970" s="18" t="s">
        <v>97</v>
      </c>
      <c r="D1970" s="18">
        <v>1</v>
      </c>
      <c r="E1970" s="17" t="s">
        <v>98</v>
      </c>
      <c r="F1970" s="19">
        <v>686</v>
      </c>
      <c r="G1970" s="20">
        <f>F1970+(VLOOKUP(D1970,'(Semelles.Monument.€HT)'!C:G,3,FALSE()))</f>
        <v>844</v>
      </c>
      <c r="H1970" s="21">
        <f>F1970+(VLOOKUP(D1970,'(Semelles.Monument.€HT)'!C:G,4,FALSE()))</f>
        <v>890</v>
      </c>
      <c r="I1970" s="22">
        <f>F1970+(VLOOKUP(D1970,'(Semelles.Monument.€HT)'!C:G,5,FALSE()))</f>
        <v>938</v>
      </c>
    </row>
    <row r="1971" spans="1:9" ht="26" customHeight="1">
      <c r="A1971" s="2" t="s">
        <v>190</v>
      </c>
      <c r="B1971" s="13" t="s">
        <v>191</v>
      </c>
      <c r="C1971" s="13" t="s">
        <v>97</v>
      </c>
      <c r="D1971" s="13">
        <v>2</v>
      </c>
      <c r="E1971" s="2" t="s">
        <v>99</v>
      </c>
      <c r="F1971" s="7">
        <v>685</v>
      </c>
      <c r="G1971" s="3">
        <f>F1971+(VLOOKUP(D1971,'(Semelles.Monument.€HT)'!C:G,3,FALSE()))</f>
        <v>843</v>
      </c>
      <c r="H1971" s="4">
        <f>F1971+(VLOOKUP(D1971,'(Semelles.Monument.€HT)'!C:G,4,FALSE()))</f>
        <v>889</v>
      </c>
      <c r="I1971" s="5">
        <f>F1971+(VLOOKUP(D1971,'(Semelles.Monument.€HT)'!C:G,5,FALSE()))</f>
        <v>937</v>
      </c>
    </row>
    <row r="1972" spans="1:9" ht="26" customHeight="1">
      <c r="A1972" s="17" t="s">
        <v>190</v>
      </c>
      <c r="B1972" s="18" t="s">
        <v>191</v>
      </c>
      <c r="C1972" s="18" t="s">
        <v>97</v>
      </c>
      <c r="D1972" s="18">
        <v>3</v>
      </c>
      <c r="E1972" s="17" t="s">
        <v>100</v>
      </c>
      <c r="F1972" s="19">
        <v>759</v>
      </c>
      <c r="G1972" s="20">
        <f>F1972+(VLOOKUP(D1972,'(Semelles.Monument.€HT)'!C:G,3,FALSE()))</f>
        <v>935</v>
      </c>
      <c r="H1972" s="21">
        <f>F1972+(VLOOKUP(D1972,'(Semelles.Monument.€HT)'!C:G,4,FALSE()))</f>
        <v>986</v>
      </c>
      <c r="I1972" s="22">
        <f>F1972+(VLOOKUP(D1972,'(Semelles.Monument.€HT)'!C:G,5,FALSE()))</f>
        <v>1039</v>
      </c>
    </row>
    <row r="1973" spans="1:9" ht="26" customHeight="1">
      <c r="A1973" s="2" t="s">
        <v>190</v>
      </c>
      <c r="B1973" s="13" t="s">
        <v>191</v>
      </c>
      <c r="C1973" s="13" t="s">
        <v>97</v>
      </c>
      <c r="D1973" s="13">
        <v>4</v>
      </c>
      <c r="E1973" s="2" t="s">
        <v>101</v>
      </c>
      <c r="F1973" s="7">
        <v>776</v>
      </c>
      <c r="G1973" s="3">
        <f>F1973+(VLOOKUP(D1973,'(Semelles.Monument.€HT)'!C:G,3,FALSE()))</f>
        <v>955</v>
      </c>
      <c r="H1973" s="4">
        <f>F1973+(VLOOKUP(D1973,'(Semelles.Monument.€HT)'!C:G,4,FALSE()))</f>
        <v>1007</v>
      </c>
      <c r="I1973" s="5">
        <f>F1973+(VLOOKUP(D1973,'(Semelles.Monument.€HT)'!C:G,5,FALSE()))</f>
        <v>1061</v>
      </c>
    </row>
    <row r="1974" spans="1:9" ht="26" customHeight="1">
      <c r="A1974" s="17" t="s">
        <v>190</v>
      </c>
      <c r="B1974" s="18" t="s">
        <v>191</v>
      </c>
      <c r="C1974" s="18" t="s">
        <v>97</v>
      </c>
      <c r="D1974" s="18">
        <v>5</v>
      </c>
      <c r="E1974" s="17" t="s">
        <v>102</v>
      </c>
      <c r="F1974" s="19">
        <v>776</v>
      </c>
      <c r="G1974" s="20">
        <f>F1974+(VLOOKUP(D1974,'(Semelles.Monument.€HT)'!C:G,3,FALSE()))</f>
        <v>955</v>
      </c>
      <c r="H1974" s="21">
        <f>F1974+(VLOOKUP(D1974,'(Semelles.Monument.€HT)'!C:G,4,FALSE()))</f>
        <v>1007</v>
      </c>
      <c r="I1974" s="22">
        <f>F1974+(VLOOKUP(D1974,'(Semelles.Monument.€HT)'!C:G,5,FALSE()))</f>
        <v>1061</v>
      </c>
    </row>
    <row r="1975" spans="1:9" ht="26" customHeight="1">
      <c r="A1975" s="2" t="s">
        <v>190</v>
      </c>
      <c r="B1975" s="13" t="s">
        <v>191</v>
      </c>
      <c r="C1975" s="13" t="s">
        <v>97</v>
      </c>
      <c r="D1975" s="13">
        <v>6</v>
      </c>
      <c r="E1975" s="2" t="s">
        <v>103</v>
      </c>
      <c r="F1975" s="7">
        <v>780</v>
      </c>
      <c r="G1975" s="3">
        <f>F1975+(VLOOKUP(D1975,'(Semelles.Monument.€HT)'!C:G,3,FALSE()))</f>
        <v>960</v>
      </c>
      <c r="H1975" s="4">
        <f>F1975+(VLOOKUP(D1975,'(Semelles.Monument.€HT)'!C:G,4,FALSE()))</f>
        <v>1012</v>
      </c>
      <c r="I1975" s="5">
        <f>F1975+(VLOOKUP(D1975,'(Semelles.Monument.€HT)'!C:G,5,FALSE()))</f>
        <v>1067</v>
      </c>
    </row>
    <row r="1976" spans="1:9" ht="26" customHeight="1">
      <c r="A1976" s="17" t="s">
        <v>190</v>
      </c>
      <c r="B1976" s="18" t="s">
        <v>191</v>
      </c>
      <c r="C1976" s="18" t="s">
        <v>97</v>
      </c>
      <c r="D1976" s="18">
        <v>7</v>
      </c>
      <c r="E1976" s="17" t="s">
        <v>104</v>
      </c>
      <c r="F1976" s="19">
        <v>780</v>
      </c>
      <c r="G1976" s="20">
        <f>F1976+(VLOOKUP(D1976,'(Semelles.Monument.€HT)'!C:G,3,FALSE()))</f>
        <v>960</v>
      </c>
      <c r="H1976" s="21">
        <f>F1976+(VLOOKUP(D1976,'(Semelles.Monument.€HT)'!C:G,4,FALSE()))</f>
        <v>1012</v>
      </c>
      <c r="I1976" s="22">
        <f>F1976+(VLOOKUP(D1976,'(Semelles.Monument.€HT)'!C:G,5,FALSE()))</f>
        <v>1067</v>
      </c>
    </row>
    <row r="1977" spans="1:9" ht="26" customHeight="1">
      <c r="A1977" s="2" t="s">
        <v>190</v>
      </c>
      <c r="B1977" s="13" t="s">
        <v>191</v>
      </c>
      <c r="C1977" s="13" t="s">
        <v>97</v>
      </c>
      <c r="D1977" s="13">
        <v>8</v>
      </c>
      <c r="E1977" s="2" t="s">
        <v>105</v>
      </c>
      <c r="F1977" s="7">
        <v>780</v>
      </c>
      <c r="G1977" s="3">
        <f>F1977+(VLOOKUP(D1977,'(Semelles.Monument.€HT)'!C:G,3,FALSE()))</f>
        <v>960</v>
      </c>
      <c r="H1977" s="4">
        <f>F1977+(VLOOKUP(D1977,'(Semelles.Monument.€HT)'!C:G,4,FALSE()))</f>
        <v>1012</v>
      </c>
      <c r="I1977" s="5">
        <f>F1977+(VLOOKUP(D1977,'(Semelles.Monument.€HT)'!C:G,5,FALSE()))</f>
        <v>1067</v>
      </c>
    </row>
    <row r="1978" spans="1:9" ht="26" customHeight="1">
      <c r="A1978" s="17" t="s">
        <v>190</v>
      </c>
      <c r="B1978" s="18" t="s">
        <v>191</v>
      </c>
      <c r="C1978" s="18" t="s">
        <v>97</v>
      </c>
      <c r="D1978" s="18">
        <v>9</v>
      </c>
      <c r="E1978" s="17" t="s">
        <v>106</v>
      </c>
      <c r="F1978" s="19">
        <v>780</v>
      </c>
      <c r="G1978" s="20">
        <f>F1978+(VLOOKUP(D1978,'(Semelles.Monument.€HT)'!C:G,3,FALSE()))</f>
        <v>960</v>
      </c>
      <c r="H1978" s="21">
        <f>F1978+(VLOOKUP(D1978,'(Semelles.Monument.€HT)'!C:G,4,FALSE()))</f>
        <v>1012</v>
      </c>
      <c r="I1978" s="22">
        <f>F1978+(VLOOKUP(D1978,'(Semelles.Monument.€HT)'!C:G,5,FALSE()))</f>
        <v>1067</v>
      </c>
    </row>
    <row r="1979" spans="1:9" ht="26" customHeight="1">
      <c r="A1979" s="2" t="s">
        <v>190</v>
      </c>
      <c r="B1979" s="13" t="s">
        <v>191</v>
      </c>
      <c r="C1979" s="13" t="s">
        <v>97</v>
      </c>
      <c r="D1979" s="13">
        <v>10</v>
      </c>
      <c r="E1979" s="2" t="s">
        <v>107</v>
      </c>
      <c r="F1979" s="7">
        <v>780</v>
      </c>
      <c r="G1979" s="3">
        <f>F1979+(VLOOKUP(D1979,'(Semelles.Monument.€HT)'!C:G,3,FALSE()))</f>
        <v>960</v>
      </c>
      <c r="H1979" s="4">
        <f>F1979+(VLOOKUP(D1979,'(Semelles.Monument.€HT)'!C:G,4,FALSE()))</f>
        <v>1012</v>
      </c>
      <c r="I1979" s="5">
        <f>F1979+(VLOOKUP(D1979,'(Semelles.Monument.€HT)'!C:G,5,FALSE()))</f>
        <v>1067</v>
      </c>
    </row>
    <row r="1980" spans="1:9" ht="26" customHeight="1">
      <c r="A1980" s="17" t="s">
        <v>190</v>
      </c>
      <c r="B1980" s="18" t="s">
        <v>191</v>
      </c>
      <c r="C1980" s="18" t="s">
        <v>97</v>
      </c>
      <c r="D1980" s="18">
        <v>11</v>
      </c>
      <c r="E1980" s="17" t="s">
        <v>108</v>
      </c>
      <c r="F1980" s="19">
        <v>780</v>
      </c>
      <c r="G1980" s="20">
        <f>F1980+(VLOOKUP(D1980,'(Semelles.Monument.€HT)'!C:G,3,FALSE()))</f>
        <v>960</v>
      </c>
      <c r="H1980" s="21">
        <f>F1980+(VLOOKUP(D1980,'(Semelles.Monument.€HT)'!C:G,4,FALSE()))</f>
        <v>1012</v>
      </c>
      <c r="I1980" s="22">
        <f>F1980+(VLOOKUP(D1980,'(Semelles.Monument.€HT)'!C:G,5,FALSE()))</f>
        <v>1067</v>
      </c>
    </row>
    <row r="1981" spans="1:9" ht="26" customHeight="1">
      <c r="A1981" s="2" t="s">
        <v>190</v>
      </c>
      <c r="B1981" s="13" t="s">
        <v>191</v>
      </c>
      <c r="C1981" s="13" t="s">
        <v>97</v>
      </c>
      <c r="D1981" s="13">
        <v>12</v>
      </c>
      <c r="E1981" s="2" t="s">
        <v>109</v>
      </c>
      <c r="F1981" s="7">
        <v>791</v>
      </c>
      <c r="G1981" s="3">
        <f>F1981+(VLOOKUP(D1981,'(Semelles.Monument.€HT)'!C:G,3,FALSE()))</f>
        <v>973</v>
      </c>
      <c r="H1981" s="4">
        <f>F1981+(VLOOKUP(D1981,'(Semelles.Monument.€HT)'!C:G,4,FALSE()))</f>
        <v>1026</v>
      </c>
      <c r="I1981" s="5">
        <f>F1981+(VLOOKUP(D1981,'(Semelles.Monument.€HT)'!C:G,5,FALSE()))</f>
        <v>1082</v>
      </c>
    </row>
    <row r="1982" spans="1:9" ht="26" customHeight="1">
      <c r="A1982" s="17" t="s">
        <v>190</v>
      </c>
      <c r="B1982" s="18" t="s">
        <v>191</v>
      </c>
      <c r="C1982" s="18" t="s">
        <v>97</v>
      </c>
      <c r="D1982" s="18">
        <v>13</v>
      </c>
      <c r="E1982" s="17" t="s">
        <v>110</v>
      </c>
      <c r="F1982" s="19">
        <v>791</v>
      </c>
      <c r="G1982" s="20">
        <f>F1982+(VLOOKUP(D1982,'(Semelles.Monument.€HT)'!C:G,3,FALSE()))</f>
        <v>973</v>
      </c>
      <c r="H1982" s="21">
        <f>F1982+(VLOOKUP(D1982,'(Semelles.Monument.€HT)'!C:G,4,FALSE()))</f>
        <v>1026</v>
      </c>
      <c r="I1982" s="22">
        <f>F1982+(VLOOKUP(D1982,'(Semelles.Monument.€HT)'!C:G,5,FALSE()))</f>
        <v>1082</v>
      </c>
    </row>
    <row r="1983" spans="1:9" ht="26" customHeight="1">
      <c r="A1983" s="2" t="s">
        <v>190</v>
      </c>
      <c r="B1983" s="13" t="s">
        <v>191</v>
      </c>
      <c r="C1983" s="13" t="s">
        <v>97</v>
      </c>
      <c r="D1983" s="13">
        <v>14</v>
      </c>
      <c r="E1983" s="2" t="s">
        <v>111</v>
      </c>
      <c r="F1983" s="7">
        <v>794</v>
      </c>
      <c r="G1983" s="3">
        <f>F1983+(VLOOKUP(D1983,'(Semelles.Monument.€HT)'!C:G,3,FALSE()))</f>
        <v>977</v>
      </c>
      <c r="H1983" s="4">
        <f>F1983+(VLOOKUP(D1983,'(Semelles.Monument.€HT)'!C:G,4,FALSE()))</f>
        <v>1030</v>
      </c>
      <c r="I1983" s="5">
        <f>F1983+(VLOOKUP(D1983,'(Semelles.Monument.€HT)'!C:G,5,FALSE()))</f>
        <v>1086</v>
      </c>
    </row>
    <row r="1984" spans="1:9" ht="26" customHeight="1">
      <c r="A1984" s="17" t="s">
        <v>190</v>
      </c>
      <c r="B1984" s="18" t="s">
        <v>191</v>
      </c>
      <c r="C1984" s="18" t="s">
        <v>97</v>
      </c>
      <c r="D1984" s="18">
        <v>15</v>
      </c>
      <c r="E1984" s="17" t="s">
        <v>112</v>
      </c>
      <c r="F1984" s="19">
        <v>794</v>
      </c>
      <c r="G1984" s="20">
        <f>F1984+(VLOOKUP(D1984,'(Semelles.Monument.€HT)'!C:G,3,FALSE()))</f>
        <v>977</v>
      </c>
      <c r="H1984" s="21">
        <f>F1984+(VLOOKUP(D1984,'(Semelles.Monument.€HT)'!C:G,4,FALSE()))</f>
        <v>1030</v>
      </c>
      <c r="I1984" s="22">
        <f>F1984+(VLOOKUP(D1984,'(Semelles.Monument.€HT)'!C:G,5,FALSE()))</f>
        <v>1086</v>
      </c>
    </row>
    <row r="1985" spans="1:9" ht="26" customHeight="1">
      <c r="A1985" s="2" t="s">
        <v>190</v>
      </c>
      <c r="B1985" s="13" t="s">
        <v>191</v>
      </c>
      <c r="C1985" s="13" t="s">
        <v>97</v>
      </c>
      <c r="D1985" s="13">
        <v>16</v>
      </c>
      <c r="E1985" s="2" t="s">
        <v>113</v>
      </c>
      <c r="F1985" s="7">
        <v>794</v>
      </c>
      <c r="G1985" s="3">
        <f>F1985+(VLOOKUP(D1985,'(Semelles.Monument.€HT)'!C:G,3,FALSE()))</f>
        <v>977</v>
      </c>
      <c r="H1985" s="4">
        <f>F1985+(VLOOKUP(D1985,'(Semelles.Monument.€HT)'!C:G,4,FALSE()))</f>
        <v>1030</v>
      </c>
      <c r="I1985" s="5">
        <f>F1985+(VLOOKUP(D1985,'(Semelles.Monument.€HT)'!C:G,5,FALSE()))</f>
        <v>1086</v>
      </c>
    </row>
    <row r="1986" spans="1:9" ht="26" customHeight="1">
      <c r="A1986" s="17" t="s">
        <v>190</v>
      </c>
      <c r="B1986" s="18" t="s">
        <v>191</v>
      </c>
      <c r="C1986" s="18" t="s">
        <v>97</v>
      </c>
      <c r="D1986" s="18">
        <v>17</v>
      </c>
      <c r="E1986" s="17" t="s">
        <v>114</v>
      </c>
      <c r="F1986" s="19">
        <v>807</v>
      </c>
      <c r="G1986" s="20">
        <f>F1986+(VLOOKUP(D1986,'(Semelles.Monument.€HT)'!C:G,3,FALSE()))</f>
        <v>993</v>
      </c>
      <c r="H1986" s="21">
        <f>F1986+(VLOOKUP(D1986,'(Semelles.Monument.€HT)'!C:G,4,FALSE()))</f>
        <v>1047</v>
      </c>
      <c r="I1986" s="22">
        <f>F1986+(VLOOKUP(D1986,'(Semelles.Monument.€HT)'!C:G,5,FALSE()))</f>
        <v>1104</v>
      </c>
    </row>
    <row r="1987" spans="1:9" ht="26" customHeight="1">
      <c r="A1987" s="2" t="s">
        <v>190</v>
      </c>
      <c r="B1987" s="13" t="s">
        <v>191</v>
      </c>
      <c r="C1987" s="13" t="s">
        <v>97</v>
      </c>
      <c r="D1987" s="13">
        <v>18</v>
      </c>
      <c r="E1987" s="2" t="s">
        <v>115</v>
      </c>
      <c r="F1987" s="7">
        <v>807</v>
      </c>
      <c r="G1987" s="3">
        <f>F1987+(VLOOKUP(D1987,'(Semelles.Monument.€HT)'!C:G,3,FALSE()))</f>
        <v>993</v>
      </c>
      <c r="H1987" s="4">
        <f>F1987+(VLOOKUP(D1987,'(Semelles.Monument.€HT)'!C:G,4,FALSE()))</f>
        <v>1047</v>
      </c>
      <c r="I1987" s="5">
        <f>F1987+(VLOOKUP(D1987,'(Semelles.Monument.€HT)'!C:G,5,FALSE()))</f>
        <v>1104</v>
      </c>
    </row>
    <row r="1988" spans="1:9" ht="26" customHeight="1">
      <c r="A1988" s="17" t="s">
        <v>190</v>
      </c>
      <c r="B1988" s="18" t="s">
        <v>191</v>
      </c>
      <c r="C1988" s="18" t="s">
        <v>97</v>
      </c>
      <c r="D1988" s="18">
        <v>19</v>
      </c>
      <c r="E1988" s="17" t="s">
        <v>116</v>
      </c>
      <c r="F1988" s="19">
        <v>807</v>
      </c>
      <c r="G1988" s="20">
        <f>F1988+(VLOOKUP(D1988,'(Semelles.Monument.€HT)'!C:G,3,FALSE()))</f>
        <v>993</v>
      </c>
      <c r="H1988" s="21">
        <f>F1988+(VLOOKUP(D1988,'(Semelles.Monument.€HT)'!C:G,4,FALSE()))</f>
        <v>1047</v>
      </c>
      <c r="I1988" s="22">
        <f>F1988+(VLOOKUP(D1988,'(Semelles.Monument.€HT)'!C:G,5,FALSE()))</f>
        <v>1104</v>
      </c>
    </row>
    <row r="1989" spans="1:9" ht="26" customHeight="1">
      <c r="A1989" s="2" t="s">
        <v>190</v>
      </c>
      <c r="B1989" s="13" t="s">
        <v>191</v>
      </c>
      <c r="C1989" s="13" t="s">
        <v>97</v>
      </c>
      <c r="D1989" s="13">
        <v>20</v>
      </c>
      <c r="E1989" s="2" t="s">
        <v>117</v>
      </c>
      <c r="F1989" s="7">
        <v>813</v>
      </c>
      <c r="G1989" s="3">
        <f>F1989+(VLOOKUP(D1989,'(Semelles.Monument.€HT)'!C:G,3,FALSE()))</f>
        <v>1001</v>
      </c>
      <c r="H1989" s="4">
        <f>F1989+(VLOOKUP(D1989,'(Semelles.Monument.€HT)'!C:G,4,FALSE()))</f>
        <v>1055</v>
      </c>
      <c r="I1989" s="5">
        <f>F1989+(VLOOKUP(D1989,'(Semelles.Monument.€HT)'!C:G,5,FALSE()))</f>
        <v>1112</v>
      </c>
    </row>
    <row r="1990" spans="1:9" ht="26" customHeight="1">
      <c r="A1990" s="17" t="s">
        <v>190</v>
      </c>
      <c r="B1990" s="18" t="s">
        <v>191</v>
      </c>
      <c r="C1990" s="18" t="s">
        <v>97</v>
      </c>
      <c r="D1990" s="18">
        <v>21</v>
      </c>
      <c r="E1990" s="17" t="s">
        <v>118</v>
      </c>
      <c r="F1990" s="19">
        <v>818</v>
      </c>
      <c r="G1990" s="20">
        <f>F1990+(VLOOKUP(D1990,'(Semelles.Monument.€HT)'!C:G,3,FALSE()))</f>
        <v>1007</v>
      </c>
      <c r="H1990" s="21">
        <f>F1990+(VLOOKUP(D1990,'(Semelles.Monument.€HT)'!C:G,4,FALSE()))</f>
        <v>1061</v>
      </c>
      <c r="I1990" s="22">
        <f>F1990+(VLOOKUP(D1990,'(Semelles.Monument.€HT)'!C:G,5,FALSE()))</f>
        <v>1119</v>
      </c>
    </row>
    <row r="1991" spans="1:9" ht="26" customHeight="1">
      <c r="A1991" s="2" t="s">
        <v>190</v>
      </c>
      <c r="B1991" s="13" t="s">
        <v>191</v>
      </c>
      <c r="C1991" s="13" t="s">
        <v>97</v>
      </c>
      <c r="D1991" s="13">
        <v>22</v>
      </c>
      <c r="E1991" s="2" t="s">
        <v>119</v>
      </c>
      <c r="F1991" s="7">
        <v>818</v>
      </c>
      <c r="G1991" s="3">
        <f>F1991+(VLOOKUP(D1991,'(Semelles.Monument.€HT)'!C:G,3,FALSE()))</f>
        <v>1007</v>
      </c>
      <c r="H1991" s="4">
        <f>F1991+(VLOOKUP(D1991,'(Semelles.Monument.€HT)'!C:G,4,FALSE()))</f>
        <v>1061</v>
      </c>
      <c r="I1991" s="5">
        <f>F1991+(VLOOKUP(D1991,'(Semelles.Monument.€HT)'!C:G,5,FALSE()))</f>
        <v>1119</v>
      </c>
    </row>
    <row r="1992" spans="1:9" ht="26" customHeight="1">
      <c r="A1992" s="17" t="s">
        <v>190</v>
      </c>
      <c r="B1992" s="18" t="s">
        <v>191</v>
      </c>
      <c r="C1992" s="18" t="s">
        <v>97</v>
      </c>
      <c r="D1992" s="18">
        <v>23</v>
      </c>
      <c r="E1992" s="17" t="s">
        <v>120</v>
      </c>
      <c r="F1992" s="19">
        <v>830</v>
      </c>
      <c r="G1992" s="20">
        <f>F1992+(VLOOKUP(D1992,'(Semelles.Monument.€HT)'!C:G,3,FALSE()))</f>
        <v>1022</v>
      </c>
      <c r="H1992" s="21">
        <f>F1992+(VLOOKUP(D1992,'(Semelles.Monument.€HT)'!C:G,4,FALSE()))</f>
        <v>1077</v>
      </c>
      <c r="I1992" s="22">
        <f>F1992+(VLOOKUP(D1992,'(Semelles.Monument.€HT)'!C:G,5,FALSE()))</f>
        <v>1135</v>
      </c>
    </row>
    <row r="1993" spans="1:9" ht="26" customHeight="1">
      <c r="A1993" s="2" t="s">
        <v>190</v>
      </c>
      <c r="B1993" s="13" t="s">
        <v>191</v>
      </c>
      <c r="C1993" s="13" t="s">
        <v>97</v>
      </c>
      <c r="D1993" s="13">
        <v>24</v>
      </c>
      <c r="E1993" s="2" t="s">
        <v>121</v>
      </c>
      <c r="F1993" s="7">
        <v>830</v>
      </c>
      <c r="G1993" s="3">
        <f>F1993+(VLOOKUP(D1993,'(Semelles.Monument.€HT)'!C:G,3,FALSE()))</f>
        <v>1022</v>
      </c>
      <c r="H1993" s="4">
        <f>F1993+(VLOOKUP(D1993,'(Semelles.Monument.€HT)'!C:G,4,FALSE()))</f>
        <v>1077</v>
      </c>
      <c r="I1993" s="5">
        <f>F1993+(VLOOKUP(D1993,'(Semelles.Monument.€HT)'!C:G,5,FALSE()))</f>
        <v>1135</v>
      </c>
    </row>
    <row r="1994" spans="1:9" ht="26" customHeight="1">
      <c r="A1994" s="17" t="s">
        <v>190</v>
      </c>
      <c r="B1994" s="18" t="s">
        <v>191</v>
      </c>
      <c r="C1994" s="18" t="s">
        <v>97</v>
      </c>
      <c r="D1994" s="18">
        <v>25</v>
      </c>
      <c r="E1994" s="17" t="s">
        <v>122</v>
      </c>
      <c r="F1994" s="19">
        <v>830</v>
      </c>
      <c r="G1994" s="20">
        <f>F1994+(VLOOKUP(D1994,'(Semelles.Monument.€HT)'!C:G,3,FALSE()))</f>
        <v>1022</v>
      </c>
      <c r="H1994" s="21">
        <f>F1994+(VLOOKUP(D1994,'(Semelles.Monument.€HT)'!C:G,4,FALSE()))</f>
        <v>1077</v>
      </c>
      <c r="I1994" s="22">
        <f>F1994+(VLOOKUP(D1994,'(Semelles.Monument.€HT)'!C:G,5,FALSE()))</f>
        <v>1135</v>
      </c>
    </row>
    <row r="1995" spans="1:9" ht="26" customHeight="1">
      <c r="A1995" s="2" t="s">
        <v>190</v>
      </c>
      <c r="B1995" s="13" t="s">
        <v>191</v>
      </c>
      <c r="C1995" s="13" t="s">
        <v>97</v>
      </c>
      <c r="D1995" s="13">
        <v>26</v>
      </c>
      <c r="E1995" s="2" t="s">
        <v>123</v>
      </c>
      <c r="F1995" s="7">
        <v>843</v>
      </c>
      <c r="G1995" s="3">
        <f>F1995+(VLOOKUP(D1995,'(Semelles.Monument.€HT)'!C:G,3,FALSE()))</f>
        <v>1038</v>
      </c>
      <c r="H1995" s="4">
        <f>F1995+(VLOOKUP(D1995,'(Semelles.Monument.€HT)'!C:G,4,FALSE()))</f>
        <v>1094</v>
      </c>
      <c r="I1995" s="5">
        <f>F1995+(VLOOKUP(D1995,'(Semelles.Monument.€HT)'!C:G,5,FALSE()))</f>
        <v>1153</v>
      </c>
    </row>
    <row r="1996" spans="1:9" ht="26" customHeight="1">
      <c r="A1996" s="17" t="s">
        <v>190</v>
      </c>
      <c r="B1996" s="18" t="s">
        <v>191</v>
      </c>
      <c r="C1996" s="18" t="s">
        <v>97</v>
      </c>
      <c r="D1996" s="18">
        <v>27</v>
      </c>
      <c r="E1996" s="17" t="s">
        <v>124</v>
      </c>
      <c r="F1996" s="19">
        <v>896</v>
      </c>
      <c r="G1996" s="20">
        <f>F1996+(VLOOKUP(D1996,'(Semelles.Monument.€HT)'!C:G,3,FALSE()))</f>
        <v>1104</v>
      </c>
      <c r="H1996" s="21">
        <f>F1996+(VLOOKUP(D1996,'(Semelles.Monument.€HT)'!C:G,4,FALSE()))</f>
        <v>1164</v>
      </c>
      <c r="I1996" s="22">
        <f>F1996+(VLOOKUP(D1996,'(Semelles.Monument.€HT)'!C:G,5,FALSE()))</f>
        <v>1263</v>
      </c>
    </row>
    <row r="1997" spans="1:9" ht="26" customHeight="1">
      <c r="A1997" s="2" t="s">
        <v>190</v>
      </c>
      <c r="B1997" s="13" t="s">
        <v>191</v>
      </c>
      <c r="C1997" s="13" t="s">
        <v>97</v>
      </c>
      <c r="D1997" s="13">
        <v>28</v>
      </c>
      <c r="E1997" s="2" t="s">
        <v>125</v>
      </c>
      <c r="F1997" s="7">
        <v>990</v>
      </c>
      <c r="G1997" s="3">
        <f>F1997+(VLOOKUP(D1997,'(Semelles.Monument.€HT)'!C:G,3,FALSE()))</f>
        <v>1220</v>
      </c>
      <c r="H1997" s="4">
        <f>F1997+(VLOOKUP(D1997,'(Semelles.Monument.€HT)'!C:G,4,FALSE()))</f>
        <v>1287</v>
      </c>
      <c r="I1997" s="5">
        <f>F1997+(VLOOKUP(D1997,'(Semelles.Monument.€HT)'!C:G,5,FALSE()))</f>
        <v>1357</v>
      </c>
    </row>
    <row r="1998" spans="1:9" ht="26" customHeight="1">
      <c r="A1998" s="17" t="s">
        <v>190</v>
      </c>
      <c r="B1998" s="18" t="s">
        <v>191</v>
      </c>
      <c r="C1998" s="18" t="s">
        <v>97</v>
      </c>
      <c r="D1998" s="18">
        <v>29</v>
      </c>
      <c r="E1998" s="17" t="s">
        <v>126</v>
      </c>
      <c r="F1998" s="19">
        <v>1030</v>
      </c>
      <c r="G1998" s="20">
        <f>F1998+(VLOOKUP(D1998,'(Semelles.Monument.€HT)'!C:G,3,FALSE()))</f>
        <v>1270</v>
      </c>
      <c r="H1998" s="21">
        <f>F1998+(VLOOKUP(D1998,'(Semelles.Monument.€HT)'!C:G,4,FALSE()))</f>
        <v>1339</v>
      </c>
      <c r="I1998" s="22">
        <f>F1998+(VLOOKUP(D1998,'(Semelles.Monument.€HT)'!C:G,5,FALSE()))</f>
        <v>1412</v>
      </c>
    </row>
    <row r="1999" spans="1:9" ht="26" customHeight="1">
      <c r="A1999" s="2" t="s">
        <v>190</v>
      </c>
      <c r="B1999" s="13" t="s">
        <v>191</v>
      </c>
      <c r="C1999" s="13" t="s">
        <v>97</v>
      </c>
      <c r="D1999" s="13">
        <v>30</v>
      </c>
      <c r="E1999" s="2" t="s">
        <v>127</v>
      </c>
      <c r="F1999" s="7">
        <v>1030</v>
      </c>
      <c r="G1999" s="3">
        <f>F1999+(VLOOKUP(D1999,'(Semelles.Monument.€HT)'!C:G,3,FALSE()))</f>
        <v>1270</v>
      </c>
      <c r="H1999" s="4">
        <f>F1999+(VLOOKUP(D1999,'(Semelles.Monument.€HT)'!C:G,4,FALSE()))</f>
        <v>1339</v>
      </c>
      <c r="I1999" s="5">
        <f>F1999+(VLOOKUP(D1999,'(Semelles.Monument.€HT)'!C:G,5,FALSE()))</f>
        <v>1412</v>
      </c>
    </row>
    <row r="2000" spans="1:9" ht="26" customHeight="1">
      <c r="A2000" s="17" t="s">
        <v>190</v>
      </c>
      <c r="B2000" s="18" t="s">
        <v>191</v>
      </c>
      <c r="C2000" s="18" t="s">
        <v>128</v>
      </c>
      <c r="D2000" s="18">
        <v>31</v>
      </c>
      <c r="E2000" s="17" t="s">
        <v>129</v>
      </c>
      <c r="F2000" s="19">
        <v>556</v>
      </c>
      <c r="G2000" s="20">
        <f>F2000+(VLOOKUP(D2000,'(Semelles.Monument.€HT)'!C:G,3,FALSE()))</f>
        <v>688</v>
      </c>
      <c r="H2000" s="21">
        <f>F2000+(VLOOKUP(D2000,'(Semelles.Monument.€HT)'!C:G,4,FALSE()))</f>
        <v>726</v>
      </c>
      <c r="I2000" s="22">
        <f>F2000+(VLOOKUP(D2000,'(Semelles.Monument.€HT)'!C:G,5,FALSE()))</f>
        <v>766</v>
      </c>
    </row>
    <row r="2001" spans="1:9" ht="26" customHeight="1">
      <c r="A2001" s="2" t="s">
        <v>190</v>
      </c>
      <c r="B2001" s="13" t="s">
        <v>191</v>
      </c>
      <c r="C2001" s="13" t="s">
        <v>128</v>
      </c>
      <c r="D2001" s="13">
        <v>32</v>
      </c>
      <c r="E2001" s="2" t="s">
        <v>130</v>
      </c>
      <c r="F2001" s="7">
        <v>564</v>
      </c>
      <c r="G2001" s="3">
        <f>F2001+(VLOOKUP(D2001,'(Semelles.Monument.€HT)'!C:G,3,FALSE()))</f>
        <v>698</v>
      </c>
      <c r="H2001" s="4">
        <f>F2001+(VLOOKUP(D2001,'(Semelles.Monument.€HT)'!C:G,4,FALSE()))</f>
        <v>737</v>
      </c>
      <c r="I2001" s="5">
        <f>F2001+(VLOOKUP(D2001,'(Semelles.Monument.€HT)'!C:G,5,FALSE()))</f>
        <v>777</v>
      </c>
    </row>
    <row r="2002" spans="1:9" ht="26" customHeight="1">
      <c r="A2002" s="17" t="s">
        <v>190</v>
      </c>
      <c r="B2002" s="18" t="s">
        <v>191</v>
      </c>
      <c r="C2002" s="18" t="s">
        <v>128</v>
      </c>
      <c r="D2002" s="18">
        <v>33</v>
      </c>
      <c r="E2002" s="17" t="s">
        <v>131</v>
      </c>
      <c r="F2002" s="19">
        <v>564</v>
      </c>
      <c r="G2002" s="20">
        <f>F2002+(VLOOKUP(D2002,'(Semelles.Monument.€HT)'!C:G,3,FALSE()))</f>
        <v>698</v>
      </c>
      <c r="H2002" s="21">
        <f>F2002+(VLOOKUP(D2002,'(Semelles.Monument.€HT)'!C:G,4,FALSE()))</f>
        <v>737</v>
      </c>
      <c r="I2002" s="22">
        <f>F2002+(VLOOKUP(D2002,'(Semelles.Monument.€HT)'!C:G,5,FALSE()))</f>
        <v>777</v>
      </c>
    </row>
    <row r="2003" spans="1:9" ht="26" customHeight="1">
      <c r="A2003" s="2" t="s">
        <v>190</v>
      </c>
      <c r="B2003" s="13" t="s">
        <v>191</v>
      </c>
      <c r="C2003" s="13" t="s">
        <v>128</v>
      </c>
      <c r="D2003" s="13">
        <v>34</v>
      </c>
      <c r="E2003" s="2" t="s">
        <v>132</v>
      </c>
      <c r="F2003" s="7">
        <v>569</v>
      </c>
      <c r="G2003" s="3">
        <f>F2003+(VLOOKUP(D2003,'(Semelles.Monument.€HT)'!C:G,3,FALSE()))</f>
        <v>704</v>
      </c>
      <c r="H2003" s="4">
        <f>F2003+(VLOOKUP(D2003,'(Semelles.Monument.€HT)'!C:G,4,FALSE()))</f>
        <v>743</v>
      </c>
      <c r="I2003" s="5">
        <f>F2003+(VLOOKUP(D2003,'(Semelles.Monument.€HT)'!C:G,5,FALSE()))</f>
        <v>784</v>
      </c>
    </row>
    <row r="2004" spans="1:9" ht="26" customHeight="1">
      <c r="A2004" s="17" t="s">
        <v>190</v>
      </c>
      <c r="B2004" s="18" t="s">
        <v>191</v>
      </c>
      <c r="C2004" s="18" t="s">
        <v>128</v>
      </c>
      <c r="D2004" s="18">
        <v>35</v>
      </c>
      <c r="E2004" s="17" t="s">
        <v>133</v>
      </c>
      <c r="F2004" s="19">
        <v>684</v>
      </c>
      <c r="G2004" s="20">
        <f>F2004+(VLOOKUP(D2004,'(Semelles.Monument.€HT)'!C:G,3,FALSE()))</f>
        <v>847</v>
      </c>
      <c r="H2004" s="21">
        <f>F2004+(VLOOKUP(D2004,'(Semelles.Monument.€HT)'!C:G,4,FALSE()))</f>
        <v>894</v>
      </c>
      <c r="I2004" s="22">
        <f>F2004+(VLOOKUP(D2004,'(Semelles.Monument.€HT)'!C:G,5,FALSE()))</f>
        <v>943</v>
      </c>
    </row>
    <row r="2005" spans="1:9" ht="26" customHeight="1">
      <c r="A2005" s="2" t="s">
        <v>190</v>
      </c>
      <c r="B2005" s="13" t="s">
        <v>191</v>
      </c>
      <c r="C2005" s="13" t="s">
        <v>128</v>
      </c>
      <c r="D2005" s="13">
        <v>36</v>
      </c>
      <c r="E2005" s="2" t="s">
        <v>134</v>
      </c>
      <c r="F2005" s="7">
        <v>708</v>
      </c>
      <c r="G2005" s="3">
        <f>F2005+(VLOOKUP(D2005,'(Semelles.Monument.€HT)'!C:G,3,FALSE()))</f>
        <v>876</v>
      </c>
      <c r="H2005" s="4">
        <f>F2005+(VLOOKUP(D2005,'(Semelles.Monument.€HT)'!C:G,4,FALSE()))</f>
        <v>925</v>
      </c>
      <c r="I2005" s="5">
        <f>F2005+(VLOOKUP(D2005,'(Semelles.Monument.€HT)'!C:G,5,FALSE()))</f>
        <v>976</v>
      </c>
    </row>
    <row r="2006" spans="1:9" ht="26" customHeight="1">
      <c r="A2006" s="17" t="s">
        <v>190</v>
      </c>
      <c r="B2006" s="18" t="s">
        <v>191</v>
      </c>
      <c r="C2006" s="18" t="s">
        <v>128</v>
      </c>
      <c r="D2006" s="18">
        <v>37</v>
      </c>
      <c r="E2006" s="17" t="s">
        <v>135</v>
      </c>
      <c r="F2006" s="19">
        <v>873</v>
      </c>
      <c r="G2006" s="20">
        <f>F2006+(VLOOKUP(D2006,'(Semelles.Monument.€HT)'!C:G,3,FALSE()))</f>
        <v>1081</v>
      </c>
      <c r="H2006" s="21">
        <f>F2006+(VLOOKUP(D2006,'(Semelles.Monument.€HT)'!C:G,4,FALSE()))</f>
        <v>1141</v>
      </c>
      <c r="I2006" s="22">
        <f>F2006+(VLOOKUP(D2006,'(Semelles.Monument.€HT)'!C:G,5,FALSE()))</f>
        <v>1205</v>
      </c>
    </row>
    <row r="2007" spans="1:9" ht="26" customHeight="1">
      <c r="A2007" s="2" t="s">
        <v>190</v>
      </c>
      <c r="B2007" s="13" t="s">
        <v>191</v>
      </c>
      <c r="C2007" s="13" t="s">
        <v>128</v>
      </c>
      <c r="D2007" s="13">
        <v>38</v>
      </c>
      <c r="E2007" s="2" t="s">
        <v>136</v>
      </c>
      <c r="F2007" s="7">
        <v>924</v>
      </c>
      <c r="G2007" s="3">
        <f>F2007+(VLOOKUP(D2007,'(Semelles.Monument.€HT)'!C:G,3,FALSE()))</f>
        <v>1144</v>
      </c>
      <c r="H2007" s="4">
        <f>F2007+(VLOOKUP(D2007,'(Semelles.Monument.€HT)'!C:G,4,FALSE()))</f>
        <v>1208</v>
      </c>
      <c r="I2007" s="5">
        <f>F2007+(VLOOKUP(D2007,'(Semelles.Monument.€HT)'!C:G,5,FALSE()))</f>
        <v>1275</v>
      </c>
    </row>
    <row r="2008" spans="1:9" ht="26" customHeight="1">
      <c r="A2008" s="17" t="s">
        <v>190</v>
      </c>
      <c r="B2008" s="18" t="s">
        <v>191</v>
      </c>
      <c r="C2008" s="18" t="s">
        <v>128</v>
      </c>
      <c r="D2008" s="18">
        <v>39</v>
      </c>
      <c r="E2008" s="17" t="s">
        <v>137</v>
      </c>
      <c r="F2008" s="19">
        <v>948</v>
      </c>
      <c r="G2008" s="20">
        <f>F2008+(VLOOKUP(D2008,'(Semelles.Monument.€HT)'!C:G,3,FALSE()))</f>
        <v>1174</v>
      </c>
      <c r="H2008" s="21">
        <f>F2008+(VLOOKUP(D2008,'(Semelles.Monument.€HT)'!C:G,4,FALSE()))</f>
        <v>1239</v>
      </c>
      <c r="I2008" s="22">
        <f>F2008+(VLOOKUP(D2008,'(Semelles.Monument.€HT)'!C:G,5,FALSE()))</f>
        <v>1308</v>
      </c>
    </row>
    <row r="2009" spans="1:9" ht="26" customHeight="1">
      <c r="A2009" s="2" t="s">
        <v>190</v>
      </c>
      <c r="B2009" s="13" t="s">
        <v>191</v>
      </c>
      <c r="C2009" s="13" t="s">
        <v>128</v>
      </c>
      <c r="D2009" s="13">
        <v>40</v>
      </c>
      <c r="E2009" s="2" t="s">
        <v>138</v>
      </c>
      <c r="F2009" s="7">
        <v>975</v>
      </c>
      <c r="G2009" s="3">
        <f>F2009+(VLOOKUP(D2009,'(Semelles.Monument.€HT)'!C:G,3,FALSE()))</f>
        <v>1207</v>
      </c>
      <c r="H2009" s="4">
        <f>F2009+(VLOOKUP(D2009,'(Semelles.Monument.€HT)'!C:G,4,FALSE()))</f>
        <v>1275</v>
      </c>
      <c r="I2009" s="5">
        <f>F2009+(VLOOKUP(D2009,'(Semelles.Monument.€HT)'!C:G,5,FALSE()))</f>
        <v>1345</v>
      </c>
    </row>
    <row r="2010" spans="1:9" ht="26" customHeight="1">
      <c r="A2010" s="17" t="s">
        <v>190</v>
      </c>
      <c r="B2010" s="18" t="s">
        <v>191</v>
      </c>
      <c r="C2010" s="18" t="s">
        <v>128</v>
      </c>
      <c r="D2010" s="18">
        <v>41</v>
      </c>
      <c r="E2010" s="17" t="s">
        <v>139</v>
      </c>
      <c r="F2010" s="19">
        <v>1036</v>
      </c>
      <c r="G2010" s="20">
        <f>F2010+(VLOOKUP(D2010,'(Semelles.Monument.€HT)'!C:G,3,FALSE()))</f>
        <v>1283</v>
      </c>
      <c r="H2010" s="21">
        <f>F2010+(VLOOKUP(D2010,'(Semelles.Monument.€HT)'!C:G,4,FALSE()))</f>
        <v>1355</v>
      </c>
      <c r="I2010" s="22">
        <f>F2010+(VLOOKUP(D2010,'(Semelles.Monument.€HT)'!C:G,5,FALSE()))</f>
        <v>1430</v>
      </c>
    </row>
    <row r="2011" spans="1:9" ht="26" customHeight="1">
      <c r="A2011" s="2" t="s">
        <v>190</v>
      </c>
      <c r="B2011" s="13" t="s">
        <v>191</v>
      </c>
      <c r="C2011" s="13" t="s">
        <v>128</v>
      </c>
      <c r="D2011" s="13">
        <v>42</v>
      </c>
      <c r="E2011" s="2" t="s">
        <v>140</v>
      </c>
      <c r="F2011" s="7">
        <v>1138</v>
      </c>
      <c r="G2011" s="3">
        <f>F2011+(VLOOKUP(D2011,'(Semelles.Monument.€HT)'!C:G,3,FALSE()))</f>
        <v>1409</v>
      </c>
      <c r="H2011" s="4">
        <f>F2011+(VLOOKUP(D2011,'(Semelles.Monument.€HT)'!C:G,4,FALSE()))</f>
        <v>1488</v>
      </c>
      <c r="I2011" s="5">
        <f>F2011+(VLOOKUP(D2011,'(Semelles.Monument.€HT)'!C:G,5,FALSE()))</f>
        <v>1571</v>
      </c>
    </row>
    <row r="2012" spans="1:9" ht="26" customHeight="1">
      <c r="A2012" s="17" t="s">
        <v>190</v>
      </c>
      <c r="B2012" s="18" t="s">
        <v>191</v>
      </c>
      <c r="C2012" s="18" t="s">
        <v>128</v>
      </c>
      <c r="D2012" s="18">
        <v>43</v>
      </c>
      <c r="E2012" s="17" t="s">
        <v>141</v>
      </c>
      <c r="F2012" s="19">
        <v>1138</v>
      </c>
      <c r="G2012" s="20">
        <f>F2012+(VLOOKUP(D2012,'(Semelles.Monument.€HT)'!C:G,3,FALSE()))</f>
        <v>1409</v>
      </c>
      <c r="H2012" s="21">
        <f>F2012+(VLOOKUP(D2012,'(Semelles.Monument.€HT)'!C:G,4,FALSE()))</f>
        <v>1488</v>
      </c>
      <c r="I2012" s="22">
        <f>F2012+(VLOOKUP(D2012,'(Semelles.Monument.€HT)'!C:G,5,FALSE()))</f>
        <v>1571</v>
      </c>
    </row>
    <row r="2013" spans="1:9" ht="26" customHeight="1">
      <c r="A2013" s="2" t="s">
        <v>190</v>
      </c>
      <c r="B2013" s="13" t="s">
        <v>191</v>
      </c>
      <c r="C2013" s="13" t="s">
        <v>128</v>
      </c>
      <c r="D2013" s="13">
        <v>44</v>
      </c>
      <c r="E2013" s="2" t="s">
        <v>142</v>
      </c>
      <c r="F2013" s="7">
        <v>1151</v>
      </c>
      <c r="G2013" s="3">
        <f>F2013+(VLOOKUP(D2013,'(Semelles.Monument.€HT)'!C:G,3,FALSE()))</f>
        <v>1426</v>
      </c>
      <c r="H2013" s="4">
        <f>F2013+(VLOOKUP(D2013,'(Semelles.Monument.€HT)'!C:G,4,FALSE()))</f>
        <v>1505</v>
      </c>
      <c r="I2013" s="5">
        <f>F2013+(VLOOKUP(D2013,'(Semelles.Monument.€HT)'!C:G,5,FALSE()))</f>
        <v>1589</v>
      </c>
    </row>
    <row r="2014" spans="1:9" ht="26" customHeight="1">
      <c r="A2014" s="17" t="s">
        <v>190</v>
      </c>
      <c r="B2014" s="18" t="s">
        <v>191</v>
      </c>
      <c r="C2014" s="18" t="s">
        <v>128</v>
      </c>
      <c r="D2014" s="18">
        <v>45</v>
      </c>
      <c r="E2014" s="17" t="s">
        <v>143</v>
      </c>
      <c r="F2014" s="19">
        <v>1164</v>
      </c>
      <c r="G2014" s="20">
        <f>F2014+(VLOOKUP(D2014,'(Semelles.Monument.€HT)'!C:G,3,FALSE()))</f>
        <v>1442</v>
      </c>
      <c r="H2014" s="21">
        <f>F2014+(VLOOKUP(D2014,'(Semelles.Monument.€HT)'!C:G,4,FALSE()))</f>
        <v>1522</v>
      </c>
      <c r="I2014" s="22">
        <f>F2014+(VLOOKUP(D2014,'(Semelles.Monument.€HT)'!C:G,5,FALSE()))</f>
        <v>1607</v>
      </c>
    </row>
    <row r="2015" spans="1:9" ht="26" customHeight="1">
      <c r="A2015" s="2" t="s">
        <v>190</v>
      </c>
      <c r="B2015" s="13" t="s">
        <v>191</v>
      </c>
      <c r="C2015" s="13" t="s">
        <v>128</v>
      </c>
      <c r="D2015" s="13">
        <v>46</v>
      </c>
      <c r="E2015" s="2" t="s">
        <v>144</v>
      </c>
      <c r="F2015" s="7">
        <v>1164</v>
      </c>
      <c r="G2015" s="3">
        <f>F2015+(VLOOKUP(D2015,'(Semelles.Monument.€HT)'!C:G,3,FALSE()))</f>
        <v>1442</v>
      </c>
      <c r="H2015" s="4">
        <f>F2015+(VLOOKUP(D2015,'(Semelles.Monument.€HT)'!C:G,4,FALSE()))</f>
        <v>1522</v>
      </c>
      <c r="I2015" s="5">
        <f>F2015+(VLOOKUP(D2015,'(Semelles.Monument.€HT)'!C:G,5,FALSE()))</f>
        <v>1607</v>
      </c>
    </row>
    <row r="2016" spans="1:9" ht="26" customHeight="1">
      <c r="A2016" s="17" t="s">
        <v>190</v>
      </c>
      <c r="B2016" s="18" t="s">
        <v>191</v>
      </c>
      <c r="C2016" s="18" t="s">
        <v>128</v>
      </c>
      <c r="D2016" s="18">
        <v>47</v>
      </c>
      <c r="E2016" s="17" t="s">
        <v>145</v>
      </c>
      <c r="F2016" s="19">
        <v>1188</v>
      </c>
      <c r="G2016" s="20">
        <f>F2016+(VLOOKUP(D2016,'(Semelles.Monument.€HT)'!C:G,3,FALSE()))</f>
        <v>1472</v>
      </c>
      <c r="H2016" s="21">
        <f>F2016+(VLOOKUP(D2016,'(Semelles.Monument.€HT)'!C:G,4,FALSE()))</f>
        <v>1554</v>
      </c>
      <c r="I2016" s="22">
        <f>F2016+(VLOOKUP(D2016,'(Semelles.Monument.€HT)'!C:G,5,FALSE()))</f>
        <v>1640</v>
      </c>
    </row>
    <row r="2017" spans="1:9" ht="26" customHeight="1">
      <c r="A2017" s="2" t="s">
        <v>190</v>
      </c>
      <c r="B2017" s="13" t="s">
        <v>191</v>
      </c>
      <c r="C2017" s="13" t="s">
        <v>128</v>
      </c>
      <c r="D2017" s="13">
        <v>48</v>
      </c>
      <c r="E2017" s="2" t="s">
        <v>146</v>
      </c>
      <c r="F2017" s="7">
        <v>1202</v>
      </c>
      <c r="G2017" s="3">
        <f>F2017+(VLOOKUP(D2017,'(Semelles.Monument.€HT)'!C:G,3,FALSE()))</f>
        <v>1489</v>
      </c>
      <c r="H2017" s="4">
        <f>F2017+(VLOOKUP(D2017,'(Semelles.Monument.€HT)'!C:G,4,FALSE()))</f>
        <v>1572</v>
      </c>
      <c r="I2017" s="5">
        <f>F2017+(VLOOKUP(D2017,'(Semelles.Monument.€HT)'!C:G,5,FALSE()))</f>
        <v>1659</v>
      </c>
    </row>
    <row r="2018" spans="1:9" ht="26" customHeight="1">
      <c r="A2018" s="17" t="s">
        <v>190</v>
      </c>
      <c r="B2018" s="18" t="s">
        <v>192</v>
      </c>
      <c r="C2018" s="18" t="s">
        <v>97</v>
      </c>
      <c r="D2018" s="18">
        <v>1</v>
      </c>
      <c r="E2018" s="17" t="s">
        <v>98</v>
      </c>
      <c r="F2018" s="19">
        <v>403</v>
      </c>
      <c r="G2018" s="20">
        <f>F2018+(VLOOKUP(D2018,'(Semelles.Monument.€HT)'!C:G,3,FALSE()))</f>
        <v>561</v>
      </c>
      <c r="H2018" s="21">
        <f>F2018+(VLOOKUP(D2018,'(Semelles.Monument.€HT)'!C:G,4,FALSE()))</f>
        <v>607</v>
      </c>
      <c r="I2018" s="22">
        <f>F2018+(VLOOKUP(D2018,'(Semelles.Monument.€HT)'!C:G,5,FALSE()))</f>
        <v>655</v>
      </c>
    </row>
    <row r="2019" spans="1:9" ht="26" customHeight="1">
      <c r="A2019" s="2" t="s">
        <v>190</v>
      </c>
      <c r="B2019" s="13" t="s">
        <v>192</v>
      </c>
      <c r="C2019" s="13" t="s">
        <v>97</v>
      </c>
      <c r="D2019" s="13">
        <v>2</v>
      </c>
      <c r="E2019" s="2" t="s">
        <v>99</v>
      </c>
      <c r="F2019" s="7">
        <v>403</v>
      </c>
      <c r="G2019" s="3">
        <f>F2019+(VLOOKUP(D2019,'(Semelles.Monument.€HT)'!C:G,3,FALSE()))</f>
        <v>561</v>
      </c>
      <c r="H2019" s="4">
        <f>F2019+(VLOOKUP(D2019,'(Semelles.Monument.€HT)'!C:G,4,FALSE()))</f>
        <v>607</v>
      </c>
      <c r="I2019" s="5">
        <f>F2019+(VLOOKUP(D2019,'(Semelles.Monument.€HT)'!C:G,5,FALSE()))</f>
        <v>655</v>
      </c>
    </row>
    <row r="2020" spans="1:9" ht="26" customHeight="1">
      <c r="A2020" s="17" t="s">
        <v>190</v>
      </c>
      <c r="B2020" s="18" t="s">
        <v>192</v>
      </c>
      <c r="C2020" s="18" t="s">
        <v>97</v>
      </c>
      <c r="D2020" s="18">
        <v>3</v>
      </c>
      <c r="E2020" s="17" t="s">
        <v>100</v>
      </c>
      <c r="F2020" s="19">
        <v>448</v>
      </c>
      <c r="G2020" s="20">
        <f>F2020+(VLOOKUP(D2020,'(Semelles.Monument.€HT)'!C:G,3,FALSE()))</f>
        <v>624</v>
      </c>
      <c r="H2020" s="21">
        <f>F2020+(VLOOKUP(D2020,'(Semelles.Monument.€HT)'!C:G,4,FALSE()))</f>
        <v>675</v>
      </c>
      <c r="I2020" s="22">
        <f>F2020+(VLOOKUP(D2020,'(Semelles.Monument.€HT)'!C:G,5,FALSE()))</f>
        <v>728</v>
      </c>
    </row>
    <row r="2021" spans="1:9" ht="26" customHeight="1">
      <c r="A2021" s="2" t="s">
        <v>190</v>
      </c>
      <c r="B2021" s="13" t="s">
        <v>192</v>
      </c>
      <c r="C2021" s="13" t="s">
        <v>97</v>
      </c>
      <c r="D2021" s="13">
        <v>4</v>
      </c>
      <c r="E2021" s="2" t="s">
        <v>101</v>
      </c>
      <c r="F2021" s="7">
        <v>459</v>
      </c>
      <c r="G2021" s="3">
        <f>F2021+(VLOOKUP(D2021,'(Semelles.Monument.€HT)'!C:G,3,FALSE()))</f>
        <v>638</v>
      </c>
      <c r="H2021" s="4">
        <f>F2021+(VLOOKUP(D2021,'(Semelles.Monument.€HT)'!C:G,4,FALSE()))</f>
        <v>690</v>
      </c>
      <c r="I2021" s="5">
        <f>F2021+(VLOOKUP(D2021,'(Semelles.Monument.€HT)'!C:G,5,FALSE()))</f>
        <v>744</v>
      </c>
    </row>
    <row r="2022" spans="1:9" ht="26" customHeight="1">
      <c r="A2022" s="17" t="s">
        <v>190</v>
      </c>
      <c r="B2022" s="18" t="s">
        <v>192</v>
      </c>
      <c r="C2022" s="18" t="s">
        <v>97</v>
      </c>
      <c r="D2022" s="18">
        <v>5</v>
      </c>
      <c r="E2022" s="17" t="s">
        <v>102</v>
      </c>
      <c r="F2022" s="19">
        <v>459</v>
      </c>
      <c r="G2022" s="20">
        <f>F2022+(VLOOKUP(D2022,'(Semelles.Monument.€HT)'!C:G,3,FALSE()))</f>
        <v>638</v>
      </c>
      <c r="H2022" s="21">
        <f>F2022+(VLOOKUP(D2022,'(Semelles.Monument.€HT)'!C:G,4,FALSE()))</f>
        <v>690</v>
      </c>
      <c r="I2022" s="22">
        <f>F2022+(VLOOKUP(D2022,'(Semelles.Monument.€HT)'!C:G,5,FALSE()))</f>
        <v>744</v>
      </c>
    </row>
    <row r="2023" spans="1:9" ht="26" customHeight="1">
      <c r="A2023" s="2" t="s">
        <v>190</v>
      </c>
      <c r="B2023" s="13" t="s">
        <v>192</v>
      </c>
      <c r="C2023" s="13" t="s">
        <v>97</v>
      </c>
      <c r="D2023" s="13">
        <v>6</v>
      </c>
      <c r="E2023" s="2" t="s">
        <v>103</v>
      </c>
      <c r="F2023" s="7">
        <v>461</v>
      </c>
      <c r="G2023" s="3">
        <f>F2023+(VLOOKUP(D2023,'(Semelles.Monument.€HT)'!C:G,3,FALSE()))</f>
        <v>641</v>
      </c>
      <c r="H2023" s="4">
        <f>F2023+(VLOOKUP(D2023,'(Semelles.Monument.€HT)'!C:G,4,FALSE()))</f>
        <v>693</v>
      </c>
      <c r="I2023" s="5">
        <f>F2023+(VLOOKUP(D2023,'(Semelles.Monument.€HT)'!C:G,5,FALSE()))</f>
        <v>748</v>
      </c>
    </row>
    <row r="2024" spans="1:9" ht="26" customHeight="1">
      <c r="A2024" s="17" t="s">
        <v>190</v>
      </c>
      <c r="B2024" s="18" t="s">
        <v>192</v>
      </c>
      <c r="C2024" s="18" t="s">
        <v>97</v>
      </c>
      <c r="D2024" s="18">
        <v>7</v>
      </c>
      <c r="E2024" s="17" t="s">
        <v>104</v>
      </c>
      <c r="F2024" s="19">
        <v>461</v>
      </c>
      <c r="G2024" s="20">
        <f>F2024+(VLOOKUP(D2024,'(Semelles.Monument.€HT)'!C:G,3,FALSE()))</f>
        <v>641</v>
      </c>
      <c r="H2024" s="21">
        <f>F2024+(VLOOKUP(D2024,'(Semelles.Monument.€HT)'!C:G,4,FALSE()))</f>
        <v>693</v>
      </c>
      <c r="I2024" s="22">
        <f>F2024+(VLOOKUP(D2024,'(Semelles.Monument.€HT)'!C:G,5,FALSE()))</f>
        <v>748</v>
      </c>
    </row>
    <row r="2025" spans="1:9" ht="26" customHeight="1">
      <c r="A2025" s="2" t="s">
        <v>190</v>
      </c>
      <c r="B2025" s="13" t="s">
        <v>192</v>
      </c>
      <c r="C2025" s="13" t="s">
        <v>97</v>
      </c>
      <c r="D2025" s="13">
        <v>8</v>
      </c>
      <c r="E2025" s="2" t="s">
        <v>105</v>
      </c>
      <c r="F2025" s="7">
        <v>461</v>
      </c>
      <c r="G2025" s="3">
        <f>F2025+(VLOOKUP(D2025,'(Semelles.Monument.€HT)'!C:G,3,FALSE()))</f>
        <v>641</v>
      </c>
      <c r="H2025" s="4">
        <f>F2025+(VLOOKUP(D2025,'(Semelles.Monument.€HT)'!C:G,4,FALSE()))</f>
        <v>693</v>
      </c>
      <c r="I2025" s="5">
        <f>F2025+(VLOOKUP(D2025,'(Semelles.Monument.€HT)'!C:G,5,FALSE()))</f>
        <v>748</v>
      </c>
    </row>
    <row r="2026" spans="1:9" ht="26" customHeight="1">
      <c r="A2026" s="17" t="s">
        <v>190</v>
      </c>
      <c r="B2026" s="18" t="s">
        <v>192</v>
      </c>
      <c r="C2026" s="18" t="s">
        <v>97</v>
      </c>
      <c r="D2026" s="18">
        <v>9</v>
      </c>
      <c r="E2026" s="17" t="s">
        <v>106</v>
      </c>
      <c r="F2026" s="19">
        <v>461</v>
      </c>
      <c r="G2026" s="20">
        <f>F2026+(VLOOKUP(D2026,'(Semelles.Monument.€HT)'!C:G,3,FALSE()))</f>
        <v>641</v>
      </c>
      <c r="H2026" s="21">
        <f>F2026+(VLOOKUP(D2026,'(Semelles.Monument.€HT)'!C:G,4,FALSE()))</f>
        <v>693</v>
      </c>
      <c r="I2026" s="22">
        <f>F2026+(VLOOKUP(D2026,'(Semelles.Monument.€HT)'!C:G,5,FALSE()))</f>
        <v>748</v>
      </c>
    </row>
    <row r="2027" spans="1:9" ht="26" customHeight="1">
      <c r="A2027" s="2" t="s">
        <v>190</v>
      </c>
      <c r="B2027" s="13" t="s">
        <v>192</v>
      </c>
      <c r="C2027" s="13" t="s">
        <v>97</v>
      </c>
      <c r="D2027" s="13">
        <v>10</v>
      </c>
      <c r="E2027" s="2" t="s">
        <v>107</v>
      </c>
      <c r="F2027" s="7">
        <v>461</v>
      </c>
      <c r="G2027" s="3">
        <f>F2027+(VLOOKUP(D2027,'(Semelles.Monument.€HT)'!C:G,3,FALSE()))</f>
        <v>641</v>
      </c>
      <c r="H2027" s="4">
        <f>F2027+(VLOOKUP(D2027,'(Semelles.Monument.€HT)'!C:G,4,FALSE()))</f>
        <v>693</v>
      </c>
      <c r="I2027" s="5">
        <f>F2027+(VLOOKUP(D2027,'(Semelles.Monument.€HT)'!C:G,5,FALSE()))</f>
        <v>748</v>
      </c>
    </row>
    <row r="2028" spans="1:9" ht="26" customHeight="1">
      <c r="A2028" s="17" t="s">
        <v>190</v>
      </c>
      <c r="B2028" s="18" t="s">
        <v>192</v>
      </c>
      <c r="C2028" s="18" t="s">
        <v>97</v>
      </c>
      <c r="D2028" s="18">
        <v>11</v>
      </c>
      <c r="E2028" s="17" t="s">
        <v>108</v>
      </c>
      <c r="F2028" s="19">
        <v>461</v>
      </c>
      <c r="G2028" s="20">
        <f>F2028+(VLOOKUP(D2028,'(Semelles.Monument.€HT)'!C:G,3,FALSE()))</f>
        <v>641</v>
      </c>
      <c r="H2028" s="21">
        <f>F2028+(VLOOKUP(D2028,'(Semelles.Monument.€HT)'!C:G,4,FALSE()))</f>
        <v>693</v>
      </c>
      <c r="I2028" s="22">
        <f>F2028+(VLOOKUP(D2028,'(Semelles.Monument.€HT)'!C:G,5,FALSE()))</f>
        <v>748</v>
      </c>
    </row>
    <row r="2029" spans="1:9" ht="26" customHeight="1">
      <c r="A2029" s="2" t="s">
        <v>190</v>
      </c>
      <c r="B2029" s="13" t="s">
        <v>192</v>
      </c>
      <c r="C2029" s="13" t="s">
        <v>97</v>
      </c>
      <c r="D2029" s="13">
        <v>12</v>
      </c>
      <c r="E2029" s="2" t="s">
        <v>109</v>
      </c>
      <c r="F2029" s="31">
        <v>468</v>
      </c>
      <c r="G2029" s="3">
        <f>F2029+(VLOOKUP(D2029,'(Semelles.Monument.€HT)'!C:G,3,FALSE()))</f>
        <v>650</v>
      </c>
      <c r="H2029" s="4">
        <f>F2029+(VLOOKUP(D2029,'(Semelles.Monument.€HT)'!C:G,4,FALSE()))</f>
        <v>703</v>
      </c>
      <c r="I2029" s="5">
        <f>F2029+(VLOOKUP(D2029,'(Semelles.Monument.€HT)'!C:G,5,FALSE()))</f>
        <v>759</v>
      </c>
    </row>
    <row r="2030" spans="1:9" ht="26" customHeight="1">
      <c r="A2030" s="17" t="s">
        <v>190</v>
      </c>
      <c r="B2030" s="18" t="s">
        <v>192</v>
      </c>
      <c r="C2030" s="18" t="s">
        <v>97</v>
      </c>
      <c r="D2030" s="18">
        <v>13</v>
      </c>
      <c r="E2030" s="17" t="s">
        <v>110</v>
      </c>
      <c r="F2030" s="19">
        <v>468</v>
      </c>
      <c r="G2030" s="20">
        <f>F2030+(VLOOKUP(D2030,'(Semelles.Monument.€HT)'!C:G,3,FALSE()))</f>
        <v>650</v>
      </c>
      <c r="H2030" s="21">
        <f>F2030+(VLOOKUP(D2030,'(Semelles.Monument.€HT)'!C:G,4,FALSE()))</f>
        <v>703</v>
      </c>
      <c r="I2030" s="22">
        <f>F2030+(VLOOKUP(D2030,'(Semelles.Monument.€HT)'!C:G,5,FALSE()))</f>
        <v>759</v>
      </c>
    </row>
    <row r="2031" spans="1:9" ht="26" customHeight="1">
      <c r="A2031" s="2" t="s">
        <v>190</v>
      </c>
      <c r="B2031" s="13" t="s">
        <v>192</v>
      </c>
      <c r="C2031" s="13" t="s">
        <v>97</v>
      </c>
      <c r="D2031" s="13">
        <v>14</v>
      </c>
      <c r="E2031" s="2" t="s">
        <v>111</v>
      </c>
      <c r="F2031" s="7">
        <v>469</v>
      </c>
      <c r="G2031" s="3">
        <f>F2031+(VLOOKUP(D2031,'(Semelles.Monument.€HT)'!C:G,3,FALSE()))</f>
        <v>652</v>
      </c>
      <c r="H2031" s="4">
        <f>F2031+(VLOOKUP(D2031,'(Semelles.Monument.€HT)'!C:G,4,FALSE()))</f>
        <v>705</v>
      </c>
      <c r="I2031" s="5">
        <f>F2031+(VLOOKUP(D2031,'(Semelles.Monument.€HT)'!C:G,5,FALSE()))</f>
        <v>761</v>
      </c>
    </row>
    <row r="2032" spans="1:9" ht="26" customHeight="1">
      <c r="A2032" s="17" t="s">
        <v>190</v>
      </c>
      <c r="B2032" s="18" t="s">
        <v>192</v>
      </c>
      <c r="C2032" s="18" t="s">
        <v>97</v>
      </c>
      <c r="D2032" s="18">
        <v>15</v>
      </c>
      <c r="E2032" s="17" t="s">
        <v>112</v>
      </c>
      <c r="F2032" s="19">
        <v>469</v>
      </c>
      <c r="G2032" s="20">
        <f>F2032+(VLOOKUP(D2032,'(Semelles.Monument.€HT)'!C:G,3,FALSE()))</f>
        <v>652</v>
      </c>
      <c r="H2032" s="21">
        <f>F2032+(VLOOKUP(D2032,'(Semelles.Monument.€HT)'!C:G,4,FALSE()))</f>
        <v>705</v>
      </c>
      <c r="I2032" s="22">
        <f>F2032+(VLOOKUP(D2032,'(Semelles.Monument.€HT)'!C:G,5,FALSE()))</f>
        <v>761</v>
      </c>
    </row>
    <row r="2033" spans="1:9" ht="26" customHeight="1">
      <c r="A2033" s="2" t="s">
        <v>190</v>
      </c>
      <c r="B2033" s="13" t="s">
        <v>192</v>
      </c>
      <c r="C2033" s="13" t="s">
        <v>97</v>
      </c>
      <c r="D2033" s="13">
        <v>16</v>
      </c>
      <c r="E2033" s="2" t="s">
        <v>113</v>
      </c>
      <c r="F2033" s="7">
        <v>469</v>
      </c>
      <c r="G2033" s="3">
        <f>F2033+(VLOOKUP(D2033,'(Semelles.Monument.€HT)'!C:G,3,FALSE()))</f>
        <v>652</v>
      </c>
      <c r="H2033" s="4">
        <f>F2033+(VLOOKUP(D2033,'(Semelles.Monument.€HT)'!C:G,4,FALSE()))</f>
        <v>705</v>
      </c>
      <c r="I2033" s="5">
        <f>F2033+(VLOOKUP(D2033,'(Semelles.Monument.€HT)'!C:G,5,FALSE()))</f>
        <v>761</v>
      </c>
    </row>
    <row r="2034" spans="1:9" ht="26" customHeight="1">
      <c r="A2034" s="17" t="s">
        <v>190</v>
      </c>
      <c r="B2034" s="18" t="s">
        <v>192</v>
      </c>
      <c r="C2034" s="18" t="s">
        <v>97</v>
      </c>
      <c r="D2034" s="18">
        <v>17</v>
      </c>
      <c r="E2034" s="17" t="s">
        <v>114</v>
      </c>
      <c r="F2034" s="19">
        <v>477</v>
      </c>
      <c r="G2034" s="20">
        <f>F2034+(VLOOKUP(D2034,'(Semelles.Monument.€HT)'!C:G,3,FALSE()))</f>
        <v>663</v>
      </c>
      <c r="H2034" s="21">
        <f>F2034+(VLOOKUP(D2034,'(Semelles.Monument.€HT)'!C:G,4,FALSE()))</f>
        <v>717</v>
      </c>
      <c r="I2034" s="22">
        <f>F2034+(VLOOKUP(D2034,'(Semelles.Monument.€HT)'!C:G,5,FALSE()))</f>
        <v>774</v>
      </c>
    </row>
    <row r="2035" spans="1:9" ht="26" customHeight="1">
      <c r="A2035" s="2" t="s">
        <v>190</v>
      </c>
      <c r="B2035" s="13" t="s">
        <v>192</v>
      </c>
      <c r="C2035" s="13" t="s">
        <v>97</v>
      </c>
      <c r="D2035" s="13">
        <v>18</v>
      </c>
      <c r="E2035" s="2" t="s">
        <v>115</v>
      </c>
      <c r="F2035" s="7">
        <v>477</v>
      </c>
      <c r="G2035" s="3">
        <f>F2035+(VLOOKUP(D2035,'(Semelles.Monument.€HT)'!C:G,3,FALSE()))</f>
        <v>663</v>
      </c>
      <c r="H2035" s="4">
        <f>F2035+(VLOOKUP(D2035,'(Semelles.Monument.€HT)'!C:G,4,FALSE()))</f>
        <v>717</v>
      </c>
      <c r="I2035" s="5">
        <f>F2035+(VLOOKUP(D2035,'(Semelles.Monument.€HT)'!C:G,5,FALSE()))</f>
        <v>774</v>
      </c>
    </row>
    <row r="2036" spans="1:9" ht="26" customHeight="1">
      <c r="A2036" s="17" t="s">
        <v>190</v>
      </c>
      <c r="B2036" s="18" t="s">
        <v>192</v>
      </c>
      <c r="C2036" s="18" t="s">
        <v>97</v>
      </c>
      <c r="D2036" s="18">
        <v>19</v>
      </c>
      <c r="E2036" s="17" t="s">
        <v>116</v>
      </c>
      <c r="F2036" s="19">
        <v>477</v>
      </c>
      <c r="G2036" s="20">
        <f>F2036+(VLOOKUP(D2036,'(Semelles.Monument.€HT)'!C:G,3,FALSE()))</f>
        <v>663</v>
      </c>
      <c r="H2036" s="21">
        <f>F2036+(VLOOKUP(D2036,'(Semelles.Monument.€HT)'!C:G,4,FALSE()))</f>
        <v>717</v>
      </c>
      <c r="I2036" s="22">
        <f>F2036+(VLOOKUP(D2036,'(Semelles.Monument.€HT)'!C:G,5,FALSE()))</f>
        <v>774</v>
      </c>
    </row>
    <row r="2037" spans="1:9" ht="26" customHeight="1">
      <c r="A2037" s="2" t="s">
        <v>190</v>
      </c>
      <c r="B2037" s="13" t="s">
        <v>192</v>
      </c>
      <c r="C2037" s="13" t="s">
        <v>97</v>
      </c>
      <c r="D2037" s="13">
        <v>20</v>
      </c>
      <c r="E2037" s="2" t="s">
        <v>117</v>
      </c>
      <c r="F2037" s="7">
        <v>481</v>
      </c>
      <c r="G2037" s="3">
        <f>F2037+(VLOOKUP(D2037,'(Semelles.Monument.€HT)'!C:G,3,FALSE()))</f>
        <v>669</v>
      </c>
      <c r="H2037" s="4">
        <f>F2037+(VLOOKUP(D2037,'(Semelles.Monument.€HT)'!C:G,4,FALSE()))</f>
        <v>723</v>
      </c>
      <c r="I2037" s="5">
        <f>F2037+(VLOOKUP(D2037,'(Semelles.Monument.€HT)'!C:G,5,FALSE()))</f>
        <v>780</v>
      </c>
    </row>
    <row r="2038" spans="1:9" ht="26" customHeight="1">
      <c r="A2038" s="17" t="s">
        <v>190</v>
      </c>
      <c r="B2038" s="18" t="s">
        <v>192</v>
      </c>
      <c r="C2038" s="18" t="s">
        <v>97</v>
      </c>
      <c r="D2038" s="18">
        <v>21</v>
      </c>
      <c r="E2038" s="17" t="s">
        <v>118</v>
      </c>
      <c r="F2038" s="19">
        <v>484</v>
      </c>
      <c r="G2038" s="20">
        <f>F2038+(VLOOKUP(D2038,'(Semelles.Monument.€HT)'!C:G,3,FALSE()))</f>
        <v>673</v>
      </c>
      <c r="H2038" s="21">
        <f>F2038+(VLOOKUP(D2038,'(Semelles.Monument.€HT)'!C:G,4,FALSE()))</f>
        <v>727</v>
      </c>
      <c r="I2038" s="22">
        <f>F2038+(VLOOKUP(D2038,'(Semelles.Monument.€HT)'!C:G,5,FALSE()))</f>
        <v>785</v>
      </c>
    </row>
    <row r="2039" spans="1:9" ht="26" customHeight="1">
      <c r="A2039" s="2" t="s">
        <v>190</v>
      </c>
      <c r="B2039" s="13" t="s">
        <v>192</v>
      </c>
      <c r="C2039" s="13" t="s">
        <v>97</v>
      </c>
      <c r="D2039" s="13">
        <v>22</v>
      </c>
      <c r="E2039" s="2" t="s">
        <v>119</v>
      </c>
      <c r="F2039" s="7">
        <v>484</v>
      </c>
      <c r="G2039" s="3">
        <f>F2039+(VLOOKUP(D2039,'(Semelles.Monument.€HT)'!C:G,3,FALSE()))</f>
        <v>673</v>
      </c>
      <c r="H2039" s="4">
        <f>F2039+(VLOOKUP(D2039,'(Semelles.Monument.€HT)'!C:G,4,FALSE()))</f>
        <v>727</v>
      </c>
      <c r="I2039" s="5">
        <f>F2039+(VLOOKUP(D2039,'(Semelles.Monument.€HT)'!C:G,5,FALSE()))</f>
        <v>785</v>
      </c>
    </row>
    <row r="2040" spans="1:9" ht="26" customHeight="1">
      <c r="A2040" s="17" t="s">
        <v>190</v>
      </c>
      <c r="B2040" s="18" t="s">
        <v>192</v>
      </c>
      <c r="C2040" s="18" t="s">
        <v>97</v>
      </c>
      <c r="D2040" s="18">
        <v>23</v>
      </c>
      <c r="E2040" s="17" t="s">
        <v>120</v>
      </c>
      <c r="F2040" s="19">
        <v>491</v>
      </c>
      <c r="G2040" s="20">
        <f>F2040+(VLOOKUP(D2040,'(Semelles.Monument.€HT)'!C:G,3,FALSE()))</f>
        <v>683</v>
      </c>
      <c r="H2040" s="21">
        <f>F2040+(VLOOKUP(D2040,'(Semelles.Monument.€HT)'!C:G,4,FALSE()))</f>
        <v>738</v>
      </c>
      <c r="I2040" s="22">
        <f>F2040+(VLOOKUP(D2040,'(Semelles.Monument.€HT)'!C:G,5,FALSE()))</f>
        <v>796</v>
      </c>
    </row>
    <row r="2041" spans="1:9" ht="26" customHeight="1">
      <c r="A2041" s="2" t="s">
        <v>190</v>
      </c>
      <c r="B2041" s="13" t="s">
        <v>192</v>
      </c>
      <c r="C2041" s="13" t="s">
        <v>97</v>
      </c>
      <c r="D2041" s="13">
        <v>24</v>
      </c>
      <c r="E2041" s="2" t="s">
        <v>121</v>
      </c>
      <c r="F2041" s="7">
        <v>491</v>
      </c>
      <c r="G2041" s="3">
        <f>F2041+(VLOOKUP(D2041,'(Semelles.Monument.€HT)'!C:G,3,FALSE()))</f>
        <v>683</v>
      </c>
      <c r="H2041" s="4">
        <f>F2041+(VLOOKUP(D2041,'(Semelles.Monument.€HT)'!C:G,4,FALSE()))</f>
        <v>738</v>
      </c>
      <c r="I2041" s="5">
        <f>F2041+(VLOOKUP(D2041,'(Semelles.Monument.€HT)'!C:G,5,FALSE()))</f>
        <v>796</v>
      </c>
    </row>
    <row r="2042" spans="1:9" ht="26" customHeight="1">
      <c r="A2042" s="17" t="s">
        <v>190</v>
      </c>
      <c r="B2042" s="18" t="s">
        <v>192</v>
      </c>
      <c r="C2042" s="18" t="s">
        <v>97</v>
      </c>
      <c r="D2042" s="18">
        <v>25</v>
      </c>
      <c r="E2042" s="17" t="s">
        <v>122</v>
      </c>
      <c r="F2042" s="19">
        <v>491</v>
      </c>
      <c r="G2042" s="20">
        <f>F2042+(VLOOKUP(D2042,'(Semelles.Monument.€HT)'!C:G,3,FALSE()))</f>
        <v>683</v>
      </c>
      <c r="H2042" s="21">
        <f>F2042+(VLOOKUP(D2042,'(Semelles.Monument.€HT)'!C:G,4,FALSE()))</f>
        <v>738</v>
      </c>
      <c r="I2042" s="22">
        <f>F2042+(VLOOKUP(D2042,'(Semelles.Monument.€HT)'!C:G,5,FALSE()))</f>
        <v>796</v>
      </c>
    </row>
    <row r="2043" spans="1:9" ht="26" customHeight="1">
      <c r="A2043" s="2" t="s">
        <v>190</v>
      </c>
      <c r="B2043" s="13" t="s">
        <v>192</v>
      </c>
      <c r="C2043" s="13" t="s">
        <v>97</v>
      </c>
      <c r="D2043" s="13">
        <v>26</v>
      </c>
      <c r="E2043" s="2" t="s">
        <v>123</v>
      </c>
      <c r="F2043" s="7">
        <v>499</v>
      </c>
      <c r="G2043" s="3">
        <f>F2043+(VLOOKUP(D2043,'(Semelles.Monument.€HT)'!C:G,3,FALSE()))</f>
        <v>694</v>
      </c>
      <c r="H2043" s="4">
        <f>F2043+(VLOOKUP(D2043,'(Semelles.Monument.€HT)'!C:G,4,FALSE()))</f>
        <v>750</v>
      </c>
      <c r="I2043" s="5">
        <f>F2043+(VLOOKUP(D2043,'(Semelles.Monument.€HT)'!C:G,5,FALSE()))</f>
        <v>809</v>
      </c>
    </row>
    <row r="2044" spans="1:9" ht="26" customHeight="1">
      <c r="A2044" s="17" t="s">
        <v>190</v>
      </c>
      <c r="B2044" s="18" t="s">
        <v>192</v>
      </c>
      <c r="C2044" s="18" t="s">
        <v>97</v>
      </c>
      <c r="D2044" s="18">
        <v>27</v>
      </c>
      <c r="E2044" s="17" t="s">
        <v>124</v>
      </c>
      <c r="F2044" s="19">
        <v>532</v>
      </c>
      <c r="G2044" s="20">
        <f>F2044+(VLOOKUP(D2044,'(Semelles.Monument.€HT)'!C:G,3,FALSE()))</f>
        <v>740</v>
      </c>
      <c r="H2044" s="21">
        <f>F2044+(VLOOKUP(D2044,'(Semelles.Monument.€HT)'!C:G,4,FALSE()))</f>
        <v>800</v>
      </c>
      <c r="I2044" s="22">
        <f>F2044+(VLOOKUP(D2044,'(Semelles.Monument.€HT)'!C:G,5,FALSE()))</f>
        <v>899</v>
      </c>
    </row>
    <row r="2045" spans="1:9" ht="26" customHeight="1">
      <c r="A2045" s="2" t="s">
        <v>190</v>
      </c>
      <c r="B2045" s="13" t="s">
        <v>192</v>
      </c>
      <c r="C2045" s="13" t="s">
        <v>97</v>
      </c>
      <c r="D2045" s="13">
        <v>28</v>
      </c>
      <c r="E2045" s="2" t="s">
        <v>125</v>
      </c>
      <c r="F2045" s="7">
        <v>589</v>
      </c>
      <c r="G2045" s="3">
        <f>F2045+(VLOOKUP(D2045,'(Semelles.Monument.€HT)'!C:G,3,FALSE()))</f>
        <v>819</v>
      </c>
      <c r="H2045" s="4">
        <f>F2045+(VLOOKUP(D2045,'(Semelles.Monument.€HT)'!C:G,4,FALSE()))</f>
        <v>886</v>
      </c>
      <c r="I2045" s="5">
        <f>F2045+(VLOOKUP(D2045,'(Semelles.Monument.€HT)'!C:G,5,FALSE()))</f>
        <v>956</v>
      </c>
    </row>
    <row r="2046" spans="1:9" ht="26" customHeight="1">
      <c r="A2046" s="17" t="s">
        <v>190</v>
      </c>
      <c r="B2046" s="18" t="s">
        <v>192</v>
      </c>
      <c r="C2046" s="18" t="s">
        <v>97</v>
      </c>
      <c r="D2046" s="18">
        <v>29</v>
      </c>
      <c r="E2046" s="17" t="s">
        <v>126</v>
      </c>
      <c r="F2046" s="19">
        <v>614</v>
      </c>
      <c r="G2046" s="20">
        <f>F2046+(VLOOKUP(D2046,'(Semelles.Monument.€HT)'!C:G,3,FALSE()))</f>
        <v>854</v>
      </c>
      <c r="H2046" s="21">
        <f>F2046+(VLOOKUP(D2046,'(Semelles.Monument.€HT)'!C:G,4,FALSE()))</f>
        <v>923</v>
      </c>
      <c r="I2046" s="22">
        <f>F2046+(VLOOKUP(D2046,'(Semelles.Monument.€HT)'!C:G,5,FALSE()))</f>
        <v>996</v>
      </c>
    </row>
    <row r="2047" spans="1:9" ht="26" customHeight="1">
      <c r="A2047" s="2" t="s">
        <v>190</v>
      </c>
      <c r="B2047" s="13" t="s">
        <v>192</v>
      </c>
      <c r="C2047" s="13" t="s">
        <v>97</v>
      </c>
      <c r="D2047" s="13">
        <v>30</v>
      </c>
      <c r="E2047" s="2" t="s">
        <v>127</v>
      </c>
      <c r="F2047" s="7">
        <v>614</v>
      </c>
      <c r="G2047" s="3">
        <f>F2047+(VLOOKUP(D2047,'(Semelles.Monument.€HT)'!C:G,3,FALSE()))</f>
        <v>854</v>
      </c>
      <c r="H2047" s="4">
        <f>F2047+(VLOOKUP(D2047,'(Semelles.Monument.€HT)'!C:G,4,FALSE()))</f>
        <v>923</v>
      </c>
      <c r="I2047" s="5">
        <f>F2047+(VLOOKUP(D2047,'(Semelles.Monument.€HT)'!C:G,5,FALSE()))</f>
        <v>996</v>
      </c>
    </row>
    <row r="2048" spans="1:9" ht="26" customHeight="1">
      <c r="A2048" s="17" t="s">
        <v>190</v>
      </c>
      <c r="B2048" s="18" t="s">
        <v>192</v>
      </c>
      <c r="C2048" s="18" t="s">
        <v>128</v>
      </c>
      <c r="D2048" s="18">
        <v>31</v>
      </c>
      <c r="E2048" s="17" t="s">
        <v>129</v>
      </c>
      <c r="F2048" s="19">
        <v>339</v>
      </c>
      <c r="G2048" s="20">
        <f>F2048+(VLOOKUP(D2048,'(Semelles.Monument.€HT)'!C:G,3,FALSE()))</f>
        <v>471</v>
      </c>
      <c r="H2048" s="21">
        <f>F2048+(VLOOKUP(D2048,'(Semelles.Monument.€HT)'!C:G,4,FALSE()))</f>
        <v>509</v>
      </c>
      <c r="I2048" s="22">
        <f>F2048+(VLOOKUP(D2048,'(Semelles.Monument.€HT)'!C:G,5,FALSE()))</f>
        <v>549</v>
      </c>
    </row>
    <row r="2049" spans="1:9" ht="26" customHeight="1">
      <c r="A2049" s="2" t="s">
        <v>190</v>
      </c>
      <c r="B2049" s="13" t="s">
        <v>192</v>
      </c>
      <c r="C2049" s="13" t="s">
        <v>128</v>
      </c>
      <c r="D2049" s="13">
        <v>32</v>
      </c>
      <c r="E2049" s="2" t="s">
        <v>130</v>
      </c>
      <c r="F2049" s="7">
        <v>344</v>
      </c>
      <c r="G2049" s="3">
        <f>F2049+(VLOOKUP(D2049,'(Semelles.Monument.€HT)'!C:G,3,FALSE()))</f>
        <v>478</v>
      </c>
      <c r="H2049" s="4">
        <f>F2049+(VLOOKUP(D2049,'(Semelles.Monument.€HT)'!C:G,4,FALSE()))</f>
        <v>517</v>
      </c>
      <c r="I2049" s="5">
        <f>F2049+(VLOOKUP(D2049,'(Semelles.Monument.€HT)'!C:G,5,FALSE()))</f>
        <v>557</v>
      </c>
    </row>
    <row r="2050" spans="1:9" ht="26" customHeight="1">
      <c r="A2050" s="17" t="s">
        <v>190</v>
      </c>
      <c r="B2050" s="18" t="s">
        <v>192</v>
      </c>
      <c r="C2050" s="18" t="s">
        <v>128</v>
      </c>
      <c r="D2050" s="18">
        <v>33</v>
      </c>
      <c r="E2050" s="17" t="s">
        <v>131</v>
      </c>
      <c r="F2050" s="19">
        <v>344</v>
      </c>
      <c r="G2050" s="20">
        <f>F2050+(VLOOKUP(D2050,'(Semelles.Monument.€HT)'!C:G,3,FALSE()))</f>
        <v>478</v>
      </c>
      <c r="H2050" s="21">
        <f>F2050+(VLOOKUP(D2050,'(Semelles.Monument.€HT)'!C:G,4,FALSE()))</f>
        <v>517</v>
      </c>
      <c r="I2050" s="22">
        <f>F2050+(VLOOKUP(D2050,'(Semelles.Monument.€HT)'!C:G,5,FALSE()))</f>
        <v>557</v>
      </c>
    </row>
    <row r="2051" spans="1:9" ht="26" customHeight="1">
      <c r="A2051" s="2" t="s">
        <v>190</v>
      </c>
      <c r="B2051" s="13" t="s">
        <v>192</v>
      </c>
      <c r="C2051" s="13" t="s">
        <v>128</v>
      </c>
      <c r="D2051" s="13">
        <v>34</v>
      </c>
      <c r="E2051" s="2" t="s">
        <v>132</v>
      </c>
      <c r="F2051" s="7">
        <v>347</v>
      </c>
      <c r="G2051" s="3">
        <f>F2051+(VLOOKUP(D2051,'(Semelles.Monument.€HT)'!C:G,3,FALSE()))</f>
        <v>482</v>
      </c>
      <c r="H2051" s="4">
        <f>F2051+(VLOOKUP(D2051,'(Semelles.Monument.€HT)'!C:G,4,FALSE()))</f>
        <v>521</v>
      </c>
      <c r="I2051" s="5">
        <f>F2051+(VLOOKUP(D2051,'(Semelles.Monument.€HT)'!C:G,5,FALSE()))</f>
        <v>562</v>
      </c>
    </row>
    <row r="2052" spans="1:9" ht="26" customHeight="1">
      <c r="A2052" s="17" t="s">
        <v>190</v>
      </c>
      <c r="B2052" s="18" t="s">
        <v>192</v>
      </c>
      <c r="C2052" s="18" t="s">
        <v>128</v>
      </c>
      <c r="D2052" s="18">
        <v>35</v>
      </c>
      <c r="E2052" s="17" t="s">
        <v>133</v>
      </c>
      <c r="F2052" s="19">
        <v>417</v>
      </c>
      <c r="G2052" s="20">
        <f>F2052+(VLOOKUP(D2052,'(Semelles.Monument.€HT)'!C:G,3,FALSE()))</f>
        <v>580</v>
      </c>
      <c r="H2052" s="21">
        <f>F2052+(VLOOKUP(D2052,'(Semelles.Monument.€HT)'!C:G,4,FALSE()))</f>
        <v>627</v>
      </c>
      <c r="I2052" s="22">
        <f>F2052+(VLOOKUP(D2052,'(Semelles.Monument.€HT)'!C:G,5,FALSE()))</f>
        <v>676</v>
      </c>
    </row>
    <row r="2053" spans="1:9" ht="26" customHeight="1">
      <c r="A2053" s="2" t="s">
        <v>190</v>
      </c>
      <c r="B2053" s="13" t="s">
        <v>192</v>
      </c>
      <c r="C2053" s="13" t="s">
        <v>128</v>
      </c>
      <c r="D2053" s="13">
        <v>36</v>
      </c>
      <c r="E2053" s="2" t="s">
        <v>134</v>
      </c>
      <c r="F2053" s="7">
        <v>432</v>
      </c>
      <c r="G2053" s="3">
        <f>F2053+(VLOOKUP(D2053,'(Semelles.Monument.€HT)'!C:G,3,FALSE()))</f>
        <v>600</v>
      </c>
      <c r="H2053" s="4">
        <f>F2053+(VLOOKUP(D2053,'(Semelles.Monument.€HT)'!C:G,4,FALSE()))</f>
        <v>649</v>
      </c>
      <c r="I2053" s="5">
        <f>F2053+(VLOOKUP(D2053,'(Semelles.Monument.€HT)'!C:G,5,FALSE()))</f>
        <v>700</v>
      </c>
    </row>
    <row r="2054" spans="1:9" ht="26" customHeight="1">
      <c r="A2054" s="17" t="s">
        <v>190</v>
      </c>
      <c r="B2054" s="18" t="s">
        <v>192</v>
      </c>
      <c r="C2054" s="18" t="s">
        <v>128</v>
      </c>
      <c r="D2054" s="18">
        <v>37</v>
      </c>
      <c r="E2054" s="17" t="s">
        <v>135</v>
      </c>
      <c r="F2054" s="19">
        <v>533</v>
      </c>
      <c r="G2054" s="20">
        <f>F2054+(VLOOKUP(D2054,'(Semelles.Monument.€HT)'!C:G,3,FALSE()))</f>
        <v>741</v>
      </c>
      <c r="H2054" s="21">
        <f>F2054+(VLOOKUP(D2054,'(Semelles.Monument.€HT)'!C:G,4,FALSE()))</f>
        <v>801</v>
      </c>
      <c r="I2054" s="22">
        <f>F2054+(VLOOKUP(D2054,'(Semelles.Monument.€HT)'!C:G,5,FALSE()))</f>
        <v>865</v>
      </c>
    </row>
    <row r="2055" spans="1:9" ht="26" customHeight="1">
      <c r="A2055" s="2" t="s">
        <v>190</v>
      </c>
      <c r="B2055" s="13" t="s">
        <v>192</v>
      </c>
      <c r="C2055" s="13" t="s">
        <v>128</v>
      </c>
      <c r="D2055" s="13">
        <v>38</v>
      </c>
      <c r="E2055" s="2" t="s">
        <v>136</v>
      </c>
      <c r="F2055" s="7">
        <v>564</v>
      </c>
      <c r="G2055" s="3">
        <f>F2055+(VLOOKUP(D2055,'(Semelles.Monument.€HT)'!C:G,3,FALSE()))</f>
        <v>784</v>
      </c>
      <c r="H2055" s="4">
        <f>F2055+(VLOOKUP(D2055,'(Semelles.Monument.€HT)'!C:G,4,FALSE()))</f>
        <v>848</v>
      </c>
      <c r="I2055" s="5">
        <f>F2055+(VLOOKUP(D2055,'(Semelles.Monument.€HT)'!C:G,5,FALSE()))</f>
        <v>915</v>
      </c>
    </row>
    <row r="2056" spans="1:9" ht="26" customHeight="1">
      <c r="A2056" s="17" t="s">
        <v>190</v>
      </c>
      <c r="B2056" s="18" t="s">
        <v>192</v>
      </c>
      <c r="C2056" s="18" t="s">
        <v>128</v>
      </c>
      <c r="D2056" s="18">
        <v>39</v>
      </c>
      <c r="E2056" s="17" t="s">
        <v>137</v>
      </c>
      <c r="F2056" s="19">
        <v>579</v>
      </c>
      <c r="G2056" s="20">
        <f>F2056+(VLOOKUP(D2056,'(Semelles.Monument.€HT)'!C:G,3,FALSE()))</f>
        <v>805</v>
      </c>
      <c r="H2056" s="21">
        <f>F2056+(VLOOKUP(D2056,'(Semelles.Monument.€HT)'!C:G,4,FALSE()))</f>
        <v>870</v>
      </c>
      <c r="I2056" s="22">
        <f>F2056+(VLOOKUP(D2056,'(Semelles.Monument.€HT)'!C:G,5,FALSE()))</f>
        <v>939</v>
      </c>
    </row>
    <row r="2057" spans="1:9" ht="26" customHeight="1">
      <c r="A2057" s="2" t="s">
        <v>190</v>
      </c>
      <c r="B2057" s="13" t="s">
        <v>192</v>
      </c>
      <c r="C2057" s="13" t="s">
        <v>128</v>
      </c>
      <c r="D2057" s="13">
        <v>40</v>
      </c>
      <c r="E2057" s="2" t="s">
        <v>138</v>
      </c>
      <c r="F2057" s="7">
        <v>595</v>
      </c>
      <c r="G2057" s="3">
        <f>F2057+(VLOOKUP(D2057,'(Semelles.Monument.€HT)'!C:G,3,FALSE()))</f>
        <v>827</v>
      </c>
      <c r="H2057" s="4">
        <f>F2057+(VLOOKUP(D2057,'(Semelles.Monument.€HT)'!C:G,4,FALSE()))</f>
        <v>895</v>
      </c>
      <c r="I2057" s="5">
        <f>F2057+(VLOOKUP(D2057,'(Semelles.Monument.€HT)'!C:G,5,FALSE()))</f>
        <v>965</v>
      </c>
    </row>
    <row r="2058" spans="1:9" ht="26" customHeight="1">
      <c r="A2058" s="17" t="s">
        <v>190</v>
      </c>
      <c r="B2058" s="18" t="s">
        <v>192</v>
      </c>
      <c r="C2058" s="18" t="s">
        <v>128</v>
      </c>
      <c r="D2058" s="18">
        <v>41</v>
      </c>
      <c r="E2058" s="17" t="s">
        <v>139</v>
      </c>
      <c r="F2058" s="19">
        <v>633</v>
      </c>
      <c r="G2058" s="20">
        <f>F2058+(VLOOKUP(D2058,'(Semelles.Monument.€HT)'!C:G,3,FALSE()))</f>
        <v>880</v>
      </c>
      <c r="H2058" s="21">
        <f>F2058+(VLOOKUP(D2058,'(Semelles.Monument.€HT)'!C:G,4,FALSE()))</f>
        <v>952</v>
      </c>
      <c r="I2058" s="22">
        <f>F2058+(VLOOKUP(D2058,'(Semelles.Monument.€HT)'!C:G,5,FALSE()))</f>
        <v>1027</v>
      </c>
    </row>
    <row r="2059" spans="1:9" ht="26" customHeight="1">
      <c r="A2059" s="2" t="s">
        <v>190</v>
      </c>
      <c r="B2059" s="13" t="s">
        <v>192</v>
      </c>
      <c r="C2059" s="13" t="s">
        <v>128</v>
      </c>
      <c r="D2059" s="13">
        <v>42</v>
      </c>
      <c r="E2059" s="2" t="s">
        <v>140</v>
      </c>
      <c r="F2059" s="7">
        <v>695</v>
      </c>
      <c r="G2059" s="3">
        <f>F2059+(VLOOKUP(D2059,'(Semelles.Monument.€HT)'!C:G,3,FALSE()))</f>
        <v>966</v>
      </c>
      <c r="H2059" s="4">
        <f>F2059+(VLOOKUP(D2059,'(Semelles.Monument.€HT)'!C:G,4,FALSE()))</f>
        <v>1045</v>
      </c>
      <c r="I2059" s="5">
        <f>F2059+(VLOOKUP(D2059,'(Semelles.Monument.€HT)'!C:G,5,FALSE()))</f>
        <v>1128</v>
      </c>
    </row>
    <row r="2060" spans="1:9" ht="26" customHeight="1">
      <c r="A2060" s="17" t="s">
        <v>190</v>
      </c>
      <c r="B2060" s="18" t="s">
        <v>192</v>
      </c>
      <c r="C2060" s="18" t="s">
        <v>128</v>
      </c>
      <c r="D2060" s="18">
        <v>43</v>
      </c>
      <c r="E2060" s="17" t="s">
        <v>141</v>
      </c>
      <c r="F2060" s="19">
        <v>695</v>
      </c>
      <c r="G2060" s="20">
        <f>F2060+(VLOOKUP(D2060,'(Semelles.Monument.€HT)'!C:G,3,FALSE()))</f>
        <v>966</v>
      </c>
      <c r="H2060" s="21">
        <f>F2060+(VLOOKUP(D2060,'(Semelles.Monument.€HT)'!C:G,4,FALSE()))</f>
        <v>1045</v>
      </c>
      <c r="I2060" s="22">
        <f>F2060+(VLOOKUP(D2060,'(Semelles.Monument.€HT)'!C:G,5,FALSE()))</f>
        <v>1128</v>
      </c>
    </row>
    <row r="2061" spans="1:9" ht="26" customHeight="1">
      <c r="A2061" s="2" t="s">
        <v>190</v>
      </c>
      <c r="B2061" s="13" t="s">
        <v>192</v>
      </c>
      <c r="C2061" s="13" t="s">
        <v>128</v>
      </c>
      <c r="D2061" s="13">
        <v>44</v>
      </c>
      <c r="E2061" s="2" t="s">
        <v>142</v>
      </c>
      <c r="F2061" s="7">
        <v>703</v>
      </c>
      <c r="G2061" s="3">
        <f>F2061+(VLOOKUP(D2061,'(Semelles.Monument.€HT)'!C:G,3,FALSE()))</f>
        <v>978</v>
      </c>
      <c r="H2061" s="4">
        <f>F2061+(VLOOKUP(D2061,'(Semelles.Monument.€HT)'!C:G,4,FALSE()))</f>
        <v>1057</v>
      </c>
      <c r="I2061" s="5">
        <f>F2061+(VLOOKUP(D2061,'(Semelles.Monument.€HT)'!C:G,5,FALSE()))</f>
        <v>1141</v>
      </c>
    </row>
    <row r="2062" spans="1:9" ht="26" customHeight="1">
      <c r="A2062" s="17" t="s">
        <v>190</v>
      </c>
      <c r="B2062" s="18" t="s">
        <v>192</v>
      </c>
      <c r="C2062" s="18" t="s">
        <v>128</v>
      </c>
      <c r="D2062" s="18">
        <v>45</v>
      </c>
      <c r="E2062" s="17" t="s">
        <v>143</v>
      </c>
      <c r="F2062" s="19">
        <v>711</v>
      </c>
      <c r="G2062" s="20">
        <f>F2062+(VLOOKUP(D2062,'(Semelles.Monument.€HT)'!C:G,3,FALSE()))</f>
        <v>989</v>
      </c>
      <c r="H2062" s="21">
        <f>F2062+(VLOOKUP(D2062,'(Semelles.Monument.€HT)'!C:G,4,FALSE()))</f>
        <v>1069</v>
      </c>
      <c r="I2062" s="22">
        <f>F2062+(VLOOKUP(D2062,'(Semelles.Monument.€HT)'!C:G,5,FALSE()))</f>
        <v>1154</v>
      </c>
    </row>
    <row r="2063" spans="1:9" ht="26" customHeight="1">
      <c r="A2063" s="2" t="s">
        <v>190</v>
      </c>
      <c r="B2063" s="13" t="s">
        <v>192</v>
      </c>
      <c r="C2063" s="13" t="s">
        <v>128</v>
      </c>
      <c r="D2063" s="13">
        <v>46</v>
      </c>
      <c r="E2063" s="2" t="s">
        <v>144</v>
      </c>
      <c r="F2063" s="7">
        <v>711</v>
      </c>
      <c r="G2063" s="3">
        <f>F2063+(VLOOKUP(D2063,'(Semelles.Monument.€HT)'!C:G,3,FALSE()))</f>
        <v>989</v>
      </c>
      <c r="H2063" s="4">
        <f>F2063+(VLOOKUP(D2063,'(Semelles.Monument.€HT)'!C:G,4,FALSE()))</f>
        <v>1069</v>
      </c>
      <c r="I2063" s="5">
        <f>F2063+(VLOOKUP(D2063,'(Semelles.Monument.€HT)'!C:G,5,FALSE()))</f>
        <v>1154</v>
      </c>
    </row>
    <row r="2064" spans="1:9" ht="26" customHeight="1">
      <c r="A2064" s="17" t="s">
        <v>190</v>
      </c>
      <c r="B2064" s="18" t="s">
        <v>192</v>
      </c>
      <c r="C2064" s="18" t="s">
        <v>128</v>
      </c>
      <c r="D2064" s="18">
        <v>47</v>
      </c>
      <c r="E2064" s="17" t="s">
        <v>145</v>
      </c>
      <c r="F2064" s="19">
        <v>726</v>
      </c>
      <c r="G2064" s="20">
        <f>F2064+(VLOOKUP(D2064,'(Semelles.Monument.€HT)'!C:G,3,FALSE()))</f>
        <v>1010</v>
      </c>
      <c r="H2064" s="21">
        <f>F2064+(VLOOKUP(D2064,'(Semelles.Monument.€HT)'!C:G,4,FALSE()))</f>
        <v>1092</v>
      </c>
      <c r="I2064" s="22">
        <f>F2064+(VLOOKUP(D2064,'(Semelles.Monument.€HT)'!C:G,5,FALSE()))</f>
        <v>1178</v>
      </c>
    </row>
    <row r="2065" spans="1:9" ht="26" customHeight="1">
      <c r="A2065" s="2" t="s">
        <v>190</v>
      </c>
      <c r="B2065" s="13" t="s">
        <v>192</v>
      </c>
      <c r="C2065" s="13" t="s">
        <v>128</v>
      </c>
      <c r="D2065" s="13">
        <v>48</v>
      </c>
      <c r="E2065" s="2" t="s">
        <v>146</v>
      </c>
      <c r="F2065" s="7">
        <v>734</v>
      </c>
      <c r="G2065" s="3">
        <f>F2065+(VLOOKUP(D2065,'(Semelles.Monument.€HT)'!C:G,3,FALSE()))</f>
        <v>1021</v>
      </c>
      <c r="H2065" s="4">
        <f>F2065+(VLOOKUP(D2065,'(Semelles.Monument.€HT)'!C:G,4,FALSE()))</f>
        <v>1104</v>
      </c>
      <c r="I2065" s="5">
        <f>F2065+(VLOOKUP(D2065,'(Semelles.Monument.€HT)'!C:G,5,FALSE()))</f>
        <v>1191</v>
      </c>
    </row>
    <row r="2066" spans="1:9" ht="26" customHeight="1">
      <c r="A2066" s="17" t="s">
        <v>190</v>
      </c>
      <c r="B2066" s="18" t="s">
        <v>193</v>
      </c>
      <c r="C2066" s="18" t="s">
        <v>97</v>
      </c>
      <c r="D2066" s="18">
        <v>1</v>
      </c>
      <c r="E2066" s="17" t="s">
        <v>98</v>
      </c>
      <c r="F2066" s="19">
        <v>381</v>
      </c>
      <c r="G2066" s="20">
        <f>F2066+(VLOOKUP(D2066,'(Semelles.Monument.€HT)'!C:G,3,FALSE()))</f>
        <v>539</v>
      </c>
      <c r="H2066" s="21">
        <f>F2066+(VLOOKUP(D2066,'(Semelles.Monument.€HT)'!C:G,4,FALSE()))</f>
        <v>585</v>
      </c>
      <c r="I2066" s="22">
        <f>F2066+(VLOOKUP(D2066,'(Semelles.Monument.€HT)'!C:G,5,FALSE()))</f>
        <v>633</v>
      </c>
    </row>
    <row r="2067" spans="1:9" ht="26" customHeight="1">
      <c r="A2067" s="2" t="s">
        <v>190</v>
      </c>
      <c r="B2067" s="13" t="s">
        <v>193</v>
      </c>
      <c r="C2067" s="13" t="s">
        <v>97</v>
      </c>
      <c r="D2067" s="13">
        <v>2</v>
      </c>
      <c r="E2067" s="2" t="s">
        <v>99</v>
      </c>
      <c r="F2067" s="7">
        <v>381</v>
      </c>
      <c r="G2067" s="3">
        <f>F2067+(VLOOKUP(D2067,'(Semelles.Monument.€HT)'!C:G,3,FALSE()))</f>
        <v>539</v>
      </c>
      <c r="H2067" s="4">
        <f>F2067+(VLOOKUP(D2067,'(Semelles.Monument.€HT)'!C:G,4,FALSE()))</f>
        <v>585</v>
      </c>
      <c r="I2067" s="5">
        <f>F2067+(VLOOKUP(D2067,'(Semelles.Monument.€HT)'!C:G,5,FALSE()))</f>
        <v>633</v>
      </c>
    </row>
    <row r="2068" spans="1:9" ht="26" customHeight="1">
      <c r="A2068" s="17" t="s">
        <v>190</v>
      </c>
      <c r="B2068" s="18" t="s">
        <v>193</v>
      </c>
      <c r="C2068" s="18" t="s">
        <v>97</v>
      </c>
      <c r="D2068" s="18">
        <v>3</v>
      </c>
      <c r="E2068" s="17" t="s">
        <v>100</v>
      </c>
      <c r="F2068" s="19">
        <v>423</v>
      </c>
      <c r="G2068" s="20">
        <f>F2068+(VLOOKUP(D2068,'(Semelles.Monument.€HT)'!C:G,3,FALSE()))</f>
        <v>599</v>
      </c>
      <c r="H2068" s="21">
        <f>F2068+(VLOOKUP(D2068,'(Semelles.Monument.€HT)'!C:G,4,FALSE()))</f>
        <v>650</v>
      </c>
      <c r="I2068" s="22">
        <f>F2068+(VLOOKUP(D2068,'(Semelles.Monument.€HT)'!C:G,5,FALSE()))</f>
        <v>703</v>
      </c>
    </row>
    <row r="2069" spans="1:9" ht="26" customHeight="1">
      <c r="A2069" s="2" t="s">
        <v>190</v>
      </c>
      <c r="B2069" s="13" t="s">
        <v>193</v>
      </c>
      <c r="C2069" s="13" t="s">
        <v>97</v>
      </c>
      <c r="D2069" s="13">
        <v>4</v>
      </c>
      <c r="E2069" s="2" t="s">
        <v>101</v>
      </c>
      <c r="F2069" s="7">
        <v>433</v>
      </c>
      <c r="G2069" s="3">
        <f>F2069+(VLOOKUP(D2069,'(Semelles.Monument.€HT)'!C:G,3,FALSE()))</f>
        <v>612</v>
      </c>
      <c r="H2069" s="4">
        <f>F2069+(VLOOKUP(D2069,'(Semelles.Monument.€HT)'!C:G,4,FALSE()))</f>
        <v>664</v>
      </c>
      <c r="I2069" s="5">
        <f>F2069+(VLOOKUP(D2069,'(Semelles.Monument.€HT)'!C:G,5,FALSE()))</f>
        <v>718</v>
      </c>
    </row>
    <row r="2070" spans="1:9" ht="26" customHeight="1">
      <c r="A2070" s="17" t="s">
        <v>190</v>
      </c>
      <c r="B2070" s="18" t="s">
        <v>193</v>
      </c>
      <c r="C2070" s="18" t="s">
        <v>97</v>
      </c>
      <c r="D2070" s="18">
        <v>5</v>
      </c>
      <c r="E2070" s="17" t="s">
        <v>102</v>
      </c>
      <c r="F2070" s="19">
        <v>433</v>
      </c>
      <c r="G2070" s="20">
        <f>F2070+(VLOOKUP(D2070,'(Semelles.Monument.€HT)'!C:G,3,FALSE()))</f>
        <v>612</v>
      </c>
      <c r="H2070" s="21">
        <f>F2070+(VLOOKUP(D2070,'(Semelles.Monument.€HT)'!C:G,4,FALSE()))</f>
        <v>664</v>
      </c>
      <c r="I2070" s="22">
        <f>F2070+(VLOOKUP(D2070,'(Semelles.Monument.€HT)'!C:G,5,FALSE()))</f>
        <v>718</v>
      </c>
    </row>
    <row r="2071" spans="1:9" ht="26" customHeight="1">
      <c r="A2071" s="2" t="s">
        <v>190</v>
      </c>
      <c r="B2071" s="13" t="s">
        <v>193</v>
      </c>
      <c r="C2071" s="13" t="s">
        <v>97</v>
      </c>
      <c r="D2071" s="13">
        <v>6</v>
      </c>
      <c r="E2071" s="2" t="s">
        <v>103</v>
      </c>
      <c r="F2071" s="7">
        <v>436</v>
      </c>
      <c r="G2071" s="3">
        <f>F2071+(VLOOKUP(D2071,'(Semelles.Monument.€HT)'!C:G,3,FALSE()))</f>
        <v>616</v>
      </c>
      <c r="H2071" s="4">
        <f>F2071+(VLOOKUP(D2071,'(Semelles.Monument.€HT)'!C:G,4,FALSE()))</f>
        <v>668</v>
      </c>
      <c r="I2071" s="5">
        <f>F2071+(VLOOKUP(D2071,'(Semelles.Monument.€HT)'!C:G,5,FALSE()))</f>
        <v>723</v>
      </c>
    </row>
    <row r="2072" spans="1:9" ht="26" customHeight="1">
      <c r="A2072" s="17" t="s">
        <v>190</v>
      </c>
      <c r="B2072" s="18" t="s">
        <v>193</v>
      </c>
      <c r="C2072" s="18" t="s">
        <v>97</v>
      </c>
      <c r="D2072" s="18">
        <v>7</v>
      </c>
      <c r="E2072" s="17" t="s">
        <v>104</v>
      </c>
      <c r="F2072" s="19">
        <v>436</v>
      </c>
      <c r="G2072" s="20">
        <f>F2072+(VLOOKUP(D2072,'(Semelles.Monument.€HT)'!C:G,3,FALSE()))</f>
        <v>616</v>
      </c>
      <c r="H2072" s="21">
        <f>F2072+(VLOOKUP(D2072,'(Semelles.Monument.€HT)'!C:G,4,FALSE()))</f>
        <v>668</v>
      </c>
      <c r="I2072" s="22">
        <f>F2072+(VLOOKUP(D2072,'(Semelles.Monument.€HT)'!C:G,5,FALSE()))</f>
        <v>723</v>
      </c>
    </row>
    <row r="2073" spans="1:9" ht="26" customHeight="1">
      <c r="A2073" s="2" t="s">
        <v>190</v>
      </c>
      <c r="B2073" s="13" t="s">
        <v>193</v>
      </c>
      <c r="C2073" s="13" t="s">
        <v>97</v>
      </c>
      <c r="D2073" s="13">
        <v>8</v>
      </c>
      <c r="E2073" s="2" t="s">
        <v>105</v>
      </c>
      <c r="F2073" s="7">
        <v>436</v>
      </c>
      <c r="G2073" s="3">
        <f>F2073+(VLOOKUP(D2073,'(Semelles.Monument.€HT)'!C:G,3,FALSE()))</f>
        <v>616</v>
      </c>
      <c r="H2073" s="4">
        <f>F2073+(VLOOKUP(D2073,'(Semelles.Monument.€HT)'!C:G,4,FALSE()))</f>
        <v>668</v>
      </c>
      <c r="I2073" s="5">
        <f>F2073+(VLOOKUP(D2073,'(Semelles.Monument.€HT)'!C:G,5,FALSE()))</f>
        <v>723</v>
      </c>
    </row>
    <row r="2074" spans="1:9" ht="26" customHeight="1">
      <c r="A2074" s="17" t="s">
        <v>190</v>
      </c>
      <c r="B2074" s="18" t="s">
        <v>193</v>
      </c>
      <c r="C2074" s="18" t="s">
        <v>97</v>
      </c>
      <c r="D2074" s="18">
        <v>9</v>
      </c>
      <c r="E2074" s="17" t="s">
        <v>106</v>
      </c>
      <c r="F2074" s="19">
        <v>436</v>
      </c>
      <c r="G2074" s="20">
        <f>F2074+(VLOOKUP(D2074,'(Semelles.Monument.€HT)'!C:G,3,FALSE()))</f>
        <v>616</v>
      </c>
      <c r="H2074" s="21">
        <f>F2074+(VLOOKUP(D2074,'(Semelles.Monument.€HT)'!C:G,4,FALSE()))</f>
        <v>668</v>
      </c>
      <c r="I2074" s="22">
        <f>F2074+(VLOOKUP(D2074,'(Semelles.Monument.€HT)'!C:G,5,FALSE()))</f>
        <v>723</v>
      </c>
    </row>
    <row r="2075" spans="1:9" ht="26" customHeight="1">
      <c r="A2075" s="2" t="s">
        <v>190</v>
      </c>
      <c r="B2075" s="13" t="s">
        <v>193</v>
      </c>
      <c r="C2075" s="13" t="s">
        <v>97</v>
      </c>
      <c r="D2075" s="13">
        <v>10</v>
      </c>
      <c r="E2075" s="2" t="s">
        <v>107</v>
      </c>
      <c r="F2075" s="7">
        <v>436</v>
      </c>
      <c r="G2075" s="3">
        <f>F2075+(VLOOKUP(D2075,'(Semelles.Monument.€HT)'!C:G,3,FALSE()))</f>
        <v>616</v>
      </c>
      <c r="H2075" s="4">
        <f>F2075+(VLOOKUP(D2075,'(Semelles.Monument.€HT)'!C:G,4,FALSE()))</f>
        <v>668</v>
      </c>
      <c r="I2075" s="5">
        <f>F2075+(VLOOKUP(D2075,'(Semelles.Monument.€HT)'!C:G,5,FALSE()))</f>
        <v>723</v>
      </c>
    </row>
    <row r="2076" spans="1:9" ht="26" customHeight="1">
      <c r="A2076" s="17" t="s">
        <v>190</v>
      </c>
      <c r="B2076" s="18" t="s">
        <v>193</v>
      </c>
      <c r="C2076" s="18" t="s">
        <v>97</v>
      </c>
      <c r="D2076" s="18">
        <v>11</v>
      </c>
      <c r="E2076" s="17" t="s">
        <v>108</v>
      </c>
      <c r="F2076" s="19">
        <v>436</v>
      </c>
      <c r="G2076" s="20">
        <f>F2076+(VLOOKUP(D2076,'(Semelles.Monument.€HT)'!C:G,3,FALSE()))</f>
        <v>616</v>
      </c>
      <c r="H2076" s="21">
        <f>F2076+(VLOOKUP(D2076,'(Semelles.Monument.€HT)'!C:G,4,FALSE()))</f>
        <v>668</v>
      </c>
      <c r="I2076" s="22">
        <f>F2076+(VLOOKUP(D2076,'(Semelles.Monument.€HT)'!C:G,5,FALSE()))</f>
        <v>723</v>
      </c>
    </row>
    <row r="2077" spans="1:9" ht="26" customHeight="1">
      <c r="A2077" s="2" t="s">
        <v>190</v>
      </c>
      <c r="B2077" s="13" t="s">
        <v>193</v>
      </c>
      <c r="C2077" s="13" t="s">
        <v>97</v>
      </c>
      <c r="D2077" s="13">
        <v>12</v>
      </c>
      <c r="E2077" s="2" t="s">
        <v>109</v>
      </c>
      <c r="F2077" s="7">
        <v>442</v>
      </c>
      <c r="G2077" s="3">
        <f>F2077+(VLOOKUP(D2077,'(Semelles.Monument.€HT)'!C:G,3,FALSE()))</f>
        <v>624</v>
      </c>
      <c r="H2077" s="4">
        <f>F2077+(VLOOKUP(D2077,'(Semelles.Monument.€HT)'!C:G,4,FALSE()))</f>
        <v>677</v>
      </c>
      <c r="I2077" s="5">
        <f>F2077+(VLOOKUP(D2077,'(Semelles.Monument.€HT)'!C:G,5,FALSE()))</f>
        <v>733</v>
      </c>
    </row>
    <row r="2078" spans="1:9" ht="26" customHeight="1">
      <c r="A2078" s="17" t="s">
        <v>190</v>
      </c>
      <c r="B2078" s="18" t="s">
        <v>193</v>
      </c>
      <c r="C2078" s="18" t="s">
        <v>97</v>
      </c>
      <c r="D2078" s="18">
        <v>13</v>
      </c>
      <c r="E2078" s="17" t="s">
        <v>110</v>
      </c>
      <c r="F2078" s="19">
        <v>442</v>
      </c>
      <c r="G2078" s="20">
        <f>F2078+(VLOOKUP(D2078,'(Semelles.Monument.€HT)'!C:G,3,FALSE()))</f>
        <v>624</v>
      </c>
      <c r="H2078" s="21">
        <f>F2078+(VLOOKUP(D2078,'(Semelles.Monument.€HT)'!C:G,4,FALSE()))</f>
        <v>677</v>
      </c>
      <c r="I2078" s="22">
        <f>F2078+(VLOOKUP(D2078,'(Semelles.Monument.€HT)'!C:G,5,FALSE()))</f>
        <v>733</v>
      </c>
    </row>
    <row r="2079" spans="1:9" ht="26" customHeight="1">
      <c r="A2079" s="2" t="s">
        <v>190</v>
      </c>
      <c r="B2079" s="13" t="s">
        <v>193</v>
      </c>
      <c r="C2079" s="13" t="s">
        <v>97</v>
      </c>
      <c r="D2079" s="13">
        <v>14</v>
      </c>
      <c r="E2079" s="2" t="s">
        <v>111</v>
      </c>
      <c r="F2079" s="7">
        <v>443</v>
      </c>
      <c r="G2079" s="3">
        <f>F2079+(VLOOKUP(D2079,'(Semelles.Monument.€HT)'!C:G,3,FALSE()))</f>
        <v>626</v>
      </c>
      <c r="H2079" s="4">
        <f>F2079+(VLOOKUP(D2079,'(Semelles.Monument.€HT)'!C:G,4,FALSE()))</f>
        <v>679</v>
      </c>
      <c r="I2079" s="5">
        <f>F2079+(VLOOKUP(D2079,'(Semelles.Monument.€HT)'!C:G,5,FALSE()))</f>
        <v>735</v>
      </c>
    </row>
    <row r="2080" spans="1:9" ht="26" customHeight="1">
      <c r="A2080" s="17" t="s">
        <v>190</v>
      </c>
      <c r="B2080" s="18" t="s">
        <v>193</v>
      </c>
      <c r="C2080" s="18" t="s">
        <v>97</v>
      </c>
      <c r="D2080" s="18">
        <v>15</v>
      </c>
      <c r="E2080" s="17" t="s">
        <v>112</v>
      </c>
      <c r="F2080" s="19">
        <v>443</v>
      </c>
      <c r="G2080" s="20">
        <f>F2080+(VLOOKUP(D2080,'(Semelles.Monument.€HT)'!C:G,3,FALSE()))</f>
        <v>626</v>
      </c>
      <c r="H2080" s="21">
        <f>F2080+(VLOOKUP(D2080,'(Semelles.Monument.€HT)'!C:G,4,FALSE()))</f>
        <v>679</v>
      </c>
      <c r="I2080" s="22">
        <f>F2080+(VLOOKUP(D2080,'(Semelles.Monument.€HT)'!C:G,5,FALSE()))</f>
        <v>735</v>
      </c>
    </row>
    <row r="2081" spans="1:9" ht="26" customHeight="1">
      <c r="A2081" s="2" t="s">
        <v>190</v>
      </c>
      <c r="B2081" s="13" t="s">
        <v>193</v>
      </c>
      <c r="C2081" s="13" t="s">
        <v>97</v>
      </c>
      <c r="D2081" s="13">
        <v>16</v>
      </c>
      <c r="E2081" s="2" t="s">
        <v>113</v>
      </c>
      <c r="F2081" s="7">
        <v>443</v>
      </c>
      <c r="G2081" s="3">
        <f>F2081+(VLOOKUP(D2081,'(Semelles.Monument.€HT)'!C:G,3,FALSE()))</f>
        <v>626</v>
      </c>
      <c r="H2081" s="4">
        <f>F2081+(VLOOKUP(D2081,'(Semelles.Monument.€HT)'!C:G,4,FALSE()))</f>
        <v>679</v>
      </c>
      <c r="I2081" s="5">
        <f>F2081+(VLOOKUP(D2081,'(Semelles.Monument.€HT)'!C:G,5,FALSE()))</f>
        <v>735</v>
      </c>
    </row>
    <row r="2082" spans="1:9" ht="26" customHeight="1">
      <c r="A2082" s="17" t="s">
        <v>190</v>
      </c>
      <c r="B2082" s="18" t="s">
        <v>193</v>
      </c>
      <c r="C2082" s="18" t="s">
        <v>97</v>
      </c>
      <c r="D2082" s="18">
        <v>17</v>
      </c>
      <c r="E2082" s="17" t="s">
        <v>114</v>
      </c>
      <c r="F2082" s="19">
        <v>451</v>
      </c>
      <c r="G2082" s="20">
        <f>F2082+(VLOOKUP(D2082,'(Semelles.Monument.€HT)'!C:G,3,FALSE()))</f>
        <v>637</v>
      </c>
      <c r="H2082" s="21">
        <f>F2082+(VLOOKUP(D2082,'(Semelles.Monument.€HT)'!C:G,4,FALSE()))</f>
        <v>691</v>
      </c>
      <c r="I2082" s="22">
        <f>F2082+(VLOOKUP(D2082,'(Semelles.Monument.€HT)'!C:G,5,FALSE()))</f>
        <v>748</v>
      </c>
    </row>
    <row r="2083" spans="1:9" ht="26" customHeight="1">
      <c r="A2083" s="2" t="s">
        <v>190</v>
      </c>
      <c r="B2083" s="13" t="s">
        <v>193</v>
      </c>
      <c r="C2083" s="13" t="s">
        <v>97</v>
      </c>
      <c r="D2083" s="13">
        <v>18</v>
      </c>
      <c r="E2083" s="2" t="s">
        <v>115</v>
      </c>
      <c r="F2083" s="7">
        <v>451</v>
      </c>
      <c r="G2083" s="3">
        <f>F2083+(VLOOKUP(D2083,'(Semelles.Monument.€HT)'!C:G,3,FALSE()))</f>
        <v>637</v>
      </c>
      <c r="H2083" s="4">
        <f>F2083+(VLOOKUP(D2083,'(Semelles.Monument.€HT)'!C:G,4,FALSE()))</f>
        <v>691</v>
      </c>
      <c r="I2083" s="5">
        <f>F2083+(VLOOKUP(D2083,'(Semelles.Monument.€HT)'!C:G,5,FALSE()))</f>
        <v>748</v>
      </c>
    </row>
    <row r="2084" spans="1:9" ht="26" customHeight="1">
      <c r="A2084" s="17" t="s">
        <v>190</v>
      </c>
      <c r="B2084" s="18" t="s">
        <v>193</v>
      </c>
      <c r="C2084" s="18" t="s">
        <v>97</v>
      </c>
      <c r="D2084" s="18">
        <v>19</v>
      </c>
      <c r="E2084" s="17" t="s">
        <v>116</v>
      </c>
      <c r="F2084" s="19">
        <v>451</v>
      </c>
      <c r="G2084" s="20">
        <f>F2084+(VLOOKUP(D2084,'(Semelles.Monument.€HT)'!C:G,3,FALSE()))</f>
        <v>637</v>
      </c>
      <c r="H2084" s="21">
        <f>F2084+(VLOOKUP(D2084,'(Semelles.Monument.€HT)'!C:G,4,FALSE()))</f>
        <v>691</v>
      </c>
      <c r="I2084" s="22">
        <f>F2084+(VLOOKUP(D2084,'(Semelles.Monument.€HT)'!C:G,5,FALSE()))</f>
        <v>748</v>
      </c>
    </row>
    <row r="2085" spans="1:9" ht="26" customHeight="1">
      <c r="A2085" s="2" t="s">
        <v>190</v>
      </c>
      <c r="B2085" s="13" t="s">
        <v>193</v>
      </c>
      <c r="C2085" s="13" t="s">
        <v>97</v>
      </c>
      <c r="D2085" s="13">
        <v>20</v>
      </c>
      <c r="E2085" s="2" t="s">
        <v>117</v>
      </c>
      <c r="F2085" s="7">
        <v>454</v>
      </c>
      <c r="G2085" s="3">
        <f>F2085+(VLOOKUP(D2085,'(Semelles.Monument.€HT)'!C:G,3,FALSE()))</f>
        <v>642</v>
      </c>
      <c r="H2085" s="4">
        <f>F2085+(VLOOKUP(D2085,'(Semelles.Monument.€HT)'!C:G,4,FALSE()))</f>
        <v>696</v>
      </c>
      <c r="I2085" s="5">
        <f>F2085+(VLOOKUP(D2085,'(Semelles.Monument.€HT)'!C:G,5,FALSE()))</f>
        <v>753</v>
      </c>
    </row>
    <row r="2086" spans="1:9" ht="26" customHeight="1">
      <c r="A2086" s="17" t="s">
        <v>190</v>
      </c>
      <c r="B2086" s="18" t="s">
        <v>193</v>
      </c>
      <c r="C2086" s="18" t="s">
        <v>97</v>
      </c>
      <c r="D2086" s="18">
        <v>21</v>
      </c>
      <c r="E2086" s="17" t="s">
        <v>118</v>
      </c>
      <c r="F2086" s="19">
        <v>457</v>
      </c>
      <c r="G2086" s="20">
        <f>F2086+(VLOOKUP(D2086,'(Semelles.Monument.€HT)'!C:G,3,FALSE()))</f>
        <v>646</v>
      </c>
      <c r="H2086" s="21">
        <f>F2086+(VLOOKUP(D2086,'(Semelles.Monument.€HT)'!C:G,4,FALSE()))</f>
        <v>700</v>
      </c>
      <c r="I2086" s="22">
        <f>F2086+(VLOOKUP(D2086,'(Semelles.Monument.€HT)'!C:G,5,FALSE()))</f>
        <v>758</v>
      </c>
    </row>
    <row r="2087" spans="1:9" ht="26" customHeight="1">
      <c r="A2087" s="2" t="s">
        <v>190</v>
      </c>
      <c r="B2087" s="13" t="s">
        <v>193</v>
      </c>
      <c r="C2087" s="13" t="s">
        <v>97</v>
      </c>
      <c r="D2087" s="13">
        <v>22</v>
      </c>
      <c r="E2087" s="2" t="s">
        <v>119</v>
      </c>
      <c r="F2087" s="7">
        <v>457</v>
      </c>
      <c r="G2087" s="3">
        <f>F2087+(VLOOKUP(D2087,'(Semelles.Monument.€HT)'!C:G,3,FALSE()))</f>
        <v>646</v>
      </c>
      <c r="H2087" s="4">
        <f>F2087+(VLOOKUP(D2087,'(Semelles.Monument.€HT)'!C:G,4,FALSE()))</f>
        <v>700</v>
      </c>
      <c r="I2087" s="5">
        <f>F2087+(VLOOKUP(D2087,'(Semelles.Monument.€HT)'!C:G,5,FALSE()))</f>
        <v>758</v>
      </c>
    </row>
    <row r="2088" spans="1:9" ht="26" customHeight="1">
      <c r="A2088" s="17" t="s">
        <v>190</v>
      </c>
      <c r="B2088" s="18" t="s">
        <v>193</v>
      </c>
      <c r="C2088" s="18" t="s">
        <v>97</v>
      </c>
      <c r="D2088" s="18">
        <v>23</v>
      </c>
      <c r="E2088" s="17" t="s">
        <v>120</v>
      </c>
      <c r="F2088" s="19">
        <v>464</v>
      </c>
      <c r="G2088" s="20">
        <f>F2088+(VLOOKUP(D2088,'(Semelles.Monument.€HT)'!C:G,3,FALSE()))</f>
        <v>656</v>
      </c>
      <c r="H2088" s="21">
        <f>F2088+(VLOOKUP(D2088,'(Semelles.Monument.€HT)'!C:G,4,FALSE()))</f>
        <v>711</v>
      </c>
      <c r="I2088" s="22">
        <f>F2088+(VLOOKUP(D2088,'(Semelles.Monument.€HT)'!C:G,5,FALSE()))</f>
        <v>769</v>
      </c>
    </row>
    <row r="2089" spans="1:9" ht="26" customHeight="1">
      <c r="A2089" s="2" t="s">
        <v>190</v>
      </c>
      <c r="B2089" s="13" t="s">
        <v>193</v>
      </c>
      <c r="C2089" s="13" t="s">
        <v>97</v>
      </c>
      <c r="D2089" s="13">
        <v>24</v>
      </c>
      <c r="E2089" s="2" t="s">
        <v>121</v>
      </c>
      <c r="F2089" s="7">
        <v>464</v>
      </c>
      <c r="G2089" s="3">
        <f>F2089+(VLOOKUP(D2089,'(Semelles.Monument.€HT)'!C:G,3,FALSE()))</f>
        <v>656</v>
      </c>
      <c r="H2089" s="4">
        <f>F2089+(VLOOKUP(D2089,'(Semelles.Monument.€HT)'!C:G,4,FALSE()))</f>
        <v>711</v>
      </c>
      <c r="I2089" s="5">
        <f>F2089+(VLOOKUP(D2089,'(Semelles.Monument.€HT)'!C:G,5,FALSE()))</f>
        <v>769</v>
      </c>
    </row>
    <row r="2090" spans="1:9" ht="26" customHeight="1">
      <c r="A2090" s="17" t="s">
        <v>190</v>
      </c>
      <c r="B2090" s="18" t="s">
        <v>193</v>
      </c>
      <c r="C2090" s="18" t="s">
        <v>97</v>
      </c>
      <c r="D2090" s="18">
        <v>25</v>
      </c>
      <c r="E2090" s="17" t="s">
        <v>122</v>
      </c>
      <c r="F2090" s="19">
        <v>464</v>
      </c>
      <c r="G2090" s="20">
        <f>F2090+(VLOOKUP(D2090,'(Semelles.Monument.€HT)'!C:G,3,FALSE()))</f>
        <v>656</v>
      </c>
      <c r="H2090" s="21">
        <f>F2090+(VLOOKUP(D2090,'(Semelles.Monument.€HT)'!C:G,4,FALSE()))</f>
        <v>711</v>
      </c>
      <c r="I2090" s="22">
        <f>F2090+(VLOOKUP(D2090,'(Semelles.Monument.€HT)'!C:G,5,FALSE()))</f>
        <v>769</v>
      </c>
    </row>
    <row r="2091" spans="1:9" ht="26" customHeight="1">
      <c r="A2091" s="2" t="s">
        <v>190</v>
      </c>
      <c r="B2091" s="13" t="s">
        <v>193</v>
      </c>
      <c r="C2091" s="13" t="s">
        <v>97</v>
      </c>
      <c r="D2091" s="13">
        <v>26</v>
      </c>
      <c r="E2091" s="2" t="s">
        <v>123</v>
      </c>
      <c r="F2091" s="7">
        <v>472</v>
      </c>
      <c r="G2091" s="3">
        <f>F2091+(VLOOKUP(D2091,'(Semelles.Monument.€HT)'!C:G,3,FALSE()))</f>
        <v>667</v>
      </c>
      <c r="H2091" s="4">
        <f>F2091+(VLOOKUP(D2091,'(Semelles.Monument.€HT)'!C:G,4,FALSE()))</f>
        <v>723</v>
      </c>
      <c r="I2091" s="5">
        <f>F2091+(VLOOKUP(D2091,'(Semelles.Monument.€HT)'!C:G,5,FALSE()))</f>
        <v>782</v>
      </c>
    </row>
    <row r="2092" spans="1:9" ht="26" customHeight="1">
      <c r="A2092" s="17" t="s">
        <v>190</v>
      </c>
      <c r="B2092" s="18" t="s">
        <v>193</v>
      </c>
      <c r="C2092" s="18" t="s">
        <v>97</v>
      </c>
      <c r="D2092" s="18">
        <v>27</v>
      </c>
      <c r="E2092" s="17" t="s">
        <v>124</v>
      </c>
      <c r="F2092" s="19">
        <v>503</v>
      </c>
      <c r="G2092" s="20">
        <f>F2092+(VLOOKUP(D2092,'(Semelles.Monument.€HT)'!C:G,3,FALSE()))</f>
        <v>711</v>
      </c>
      <c r="H2092" s="21">
        <f>F2092+(VLOOKUP(D2092,'(Semelles.Monument.€HT)'!C:G,4,FALSE()))</f>
        <v>771</v>
      </c>
      <c r="I2092" s="22">
        <f>F2092+(VLOOKUP(D2092,'(Semelles.Monument.€HT)'!C:G,5,FALSE()))</f>
        <v>870</v>
      </c>
    </row>
    <row r="2093" spans="1:9" ht="26" customHeight="1">
      <c r="A2093" s="2" t="s">
        <v>190</v>
      </c>
      <c r="B2093" s="13" t="s">
        <v>193</v>
      </c>
      <c r="C2093" s="13" t="s">
        <v>97</v>
      </c>
      <c r="D2093" s="13">
        <v>28</v>
      </c>
      <c r="E2093" s="2" t="s">
        <v>125</v>
      </c>
      <c r="F2093" s="7">
        <v>557</v>
      </c>
      <c r="G2093" s="3">
        <f>F2093+(VLOOKUP(D2093,'(Semelles.Monument.€HT)'!C:G,3,FALSE()))</f>
        <v>787</v>
      </c>
      <c r="H2093" s="4">
        <f>F2093+(VLOOKUP(D2093,'(Semelles.Monument.€HT)'!C:G,4,FALSE()))</f>
        <v>854</v>
      </c>
      <c r="I2093" s="5">
        <f>F2093+(VLOOKUP(D2093,'(Semelles.Monument.€HT)'!C:G,5,FALSE()))</f>
        <v>924</v>
      </c>
    </row>
    <row r="2094" spans="1:9" ht="26" customHeight="1">
      <c r="A2094" s="17" t="s">
        <v>190</v>
      </c>
      <c r="B2094" s="18" t="s">
        <v>193</v>
      </c>
      <c r="C2094" s="18" t="s">
        <v>97</v>
      </c>
      <c r="D2094" s="18">
        <v>29</v>
      </c>
      <c r="E2094" s="17" t="s">
        <v>126</v>
      </c>
      <c r="F2094" s="19">
        <v>580</v>
      </c>
      <c r="G2094" s="20">
        <f>F2094+(VLOOKUP(D2094,'(Semelles.Monument.€HT)'!C:G,3,FALSE()))</f>
        <v>820</v>
      </c>
      <c r="H2094" s="21">
        <f>F2094+(VLOOKUP(D2094,'(Semelles.Monument.€HT)'!C:G,4,FALSE()))</f>
        <v>889</v>
      </c>
      <c r="I2094" s="22">
        <f>F2094+(VLOOKUP(D2094,'(Semelles.Monument.€HT)'!C:G,5,FALSE()))</f>
        <v>962</v>
      </c>
    </row>
    <row r="2095" spans="1:9" ht="26" customHeight="1">
      <c r="A2095" s="2" t="s">
        <v>190</v>
      </c>
      <c r="B2095" s="13" t="s">
        <v>193</v>
      </c>
      <c r="C2095" s="13" t="s">
        <v>97</v>
      </c>
      <c r="D2095" s="13">
        <v>30</v>
      </c>
      <c r="E2095" s="2" t="s">
        <v>127</v>
      </c>
      <c r="F2095" s="7">
        <v>580</v>
      </c>
      <c r="G2095" s="3">
        <f>F2095+(VLOOKUP(D2095,'(Semelles.Monument.€HT)'!C:G,3,FALSE()))</f>
        <v>820</v>
      </c>
      <c r="H2095" s="4">
        <f>F2095+(VLOOKUP(D2095,'(Semelles.Monument.€HT)'!C:G,4,FALSE()))</f>
        <v>889</v>
      </c>
      <c r="I2095" s="5">
        <f>F2095+(VLOOKUP(D2095,'(Semelles.Monument.€HT)'!C:G,5,FALSE()))</f>
        <v>962</v>
      </c>
    </row>
    <row r="2096" spans="1:9" ht="26" customHeight="1">
      <c r="A2096" s="17" t="s">
        <v>190</v>
      </c>
      <c r="B2096" s="18" t="s">
        <v>193</v>
      </c>
      <c r="C2096" s="18" t="s">
        <v>128</v>
      </c>
      <c r="D2096" s="18">
        <v>31</v>
      </c>
      <c r="E2096" s="17" t="s">
        <v>129</v>
      </c>
      <c r="F2096" s="19">
        <v>320</v>
      </c>
      <c r="G2096" s="20">
        <f>F2096+(VLOOKUP(D2096,'(Semelles.Monument.€HT)'!C:G,3,FALSE()))</f>
        <v>452</v>
      </c>
      <c r="H2096" s="21">
        <f>F2096+(VLOOKUP(D2096,'(Semelles.Monument.€HT)'!C:G,4,FALSE()))</f>
        <v>490</v>
      </c>
      <c r="I2096" s="22">
        <f>F2096+(VLOOKUP(D2096,'(Semelles.Monument.€HT)'!C:G,5,FALSE()))</f>
        <v>530</v>
      </c>
    </row>
    <row r="2097" spans="1:9" ht="26" customHeight="1">
      <c r="A2097" s="2" t="s">
        <v>190</v>
      </c>
      <c r="B2097" s="13" t="s">
        <v>193</v>
      </c>
      <c r="C2097" s="13" t="s">
        <v>128</v>
      </c>
      <c r="D2097" s="13">
        <v>32</v>
      </c>
      <c r="E2097" s="2" t="s">
        <v>130</v>
      </c>
      <c r="F2097" s="7">
        <v>325</v>
      </c>
      <c r="G2097" s="3">
        <f>F2097+(VLOOKUP(D2097,'(Semelles.Monument.€HT)'!C:G,3,FALSE()))</f>
        <v>459</v>
      </c>
      <c r="H2097" s="4">
        <f>F2097+(VLOOKUP(D2097,'(Semelles.Monument.€HT)'!C:G,4,FALSE()))</f>
        <v>498</v>
      </c>
      <c r="I2097" s="5">
        <f>F2097+(VLOOKUP(D2097,'(Semelles.Monument.€HT)'!C:G,5,FALSE()))</f>
        <v>538</v>
      </c>
    </row>
    <row r="2098" spans="1:9" ht="26" customHeight="1">
      <c r="A2098" s="17" t="s">
        <v>190</v>
      </c>
      <c r="B2098" s="18" t="s">
        <v>193</v>
      </c>
      <c r="C2098" s="18" t="s">
        <v>128</v>
      </c>
      <c r="D2098" s="18">
        <v>33</v>
      </c>
      <c r="E2098" s="17" t="s">
        <v>131</v>
      </c>
      <c r="F2098" s="19">
        <v>325</v>
      </c>
      <c r="G2098" s="20">
        <f>F2098+(VLOOKUP(D2098,'(Semelles.Monument.€HT)'!C:G,3,FALSE()))</f>
        <v>459</v>
      </c>
      <c r="H2098" s="21">
        <f>F2098+(VLOOKUP(D2098,'(Semelles.Monument.€HT)'!C:G,4,FALSE()))</f>
        <v>498</v>
      </c>
      <c r="I2098" s="22">
        <f>F2098+(VLOOKUP(D2098,'(Semelles.Monument.€HT)'!C:G,5,FALSE()))</f>
        <v>538</v>
      </c>
    </row>
    <row r="2099" spans="1:9" ht="26" customHeight="1">
      <c r="A2099" s="2" t="s">
        <v>190</v>
      </c>
      <c r="B2099" s="13" t="s">
        <v>193</v>
      </c>
      <c r="C2099" s="13" t="s">
        <v>128</v>
      </c>
      <c r="D2099" s="13">
        <v>34</v>
      </c>
      <c r="E2099" s="2" t="s">
        <v>132</v>
      </c>
      <c r="F2099" s="7">
        <v>328</v>
      </c>
      <c r="G2099" s="3">
        <f>F2099+(VLOOKUP(D2099,'(Semelles.Monument.€HT)'!C:G,3,FALSE()))</f>
        <v>463</v>
      </c>
      <c r="H2099" s="4">
        <f>F2099+(VLOOKUP(D2099,'(Semelles.Monument.€HT)'!C:G,4,FALSE()))</f>
        <v>502</v>
      </c>
      <c r="I2099" s="5">
        <f>F2099+(VLOOKUP(D2099,'(Semelles.Monument.€HT)'!C:G,5,FALSE()))</f>
        <v>543</v>
      </c>
    </row>
    <row r="2100" spans="1:9" ht="26" customHeight="1">
      <c r="A2100" s="17" t="s">
        <v>190</v>
      </c>
      <c r="B2100" s="18" t="s">
        <v>193</v>
      </c>
      <c r="C2100" s="18" t="s">
        <v>128</v>
      </c>
      <c r="D2100" s="18">
        <v>35</v>
      </c>
      <c r="E2100" s="17" t="s">
        <v>133</v>
      </c>
      <c r="F2100" s="19">
        <v>394</v>
      </c>
      <c r="G2100" s="20">
        <f>F2100+(VLOOKUP(D2100,'(Semelles.Monument.€HT)'!C:G,3,FALSE()))</f>
        <v>557</v>
      </c>
      <c r="H2100" s="21">
        <f>F2100+(VLOOKUP(D2100,'(Semelles.Monument.€HT)'!C:G,4,FALSE()))</f>
        <v>604</v>
      </c>
      <c r="I2100" s="22">
        <f>F2100+(VLOOKUP(D2100,'(Semelles.Monument.€HT)'!C:G,5,FALSE()))</f>
        <v>653</v>
      </c>
    </row>
    <row r="2101" spans="1:9" ht="26" customHeight="1">
      <c r="A2101" s="2" t="s">
        <v>190</v>
      </c>
      <c r="B2101" s="13" t="s">
        <v>193</v>
      </c>
      <c r="C2101" s="13" t="s">
        <v>128</v>
      </c>
      <c r="D2101" s="13">
        <v>36</v>
      </c>
      <c r="E2101" s="2" t="s">
        <v>134</v>
      </c>
      <c r="F2101" s="7">
        <v>408</v>
      </c>
      <c r="G2101" s="3">
        <f>F2101+(VLOOKUP(D2101,'(Semelles.Monument.€HT)'!C:G,3,FALSE()))</f>
        <v>576</v>
      </c>
      <c r="H2101" s="4">
        <f>F2101+(VLOOKUP(D2101,'(Semelles.Monument.€HT)'!C:G,4,FALSE()))</f>
        <v>625</v>
      </c>
      <c r="I2101" s="5">
        <f>F2101+(VLOOKUP(D2101,'(Semelles.Monument.€HT)'!C:G,5,FALSE()))</f>
        <v>676</v>
      </c>
    </row>
    <row r="2102" spans="1:9" ht="26" customHeight="1">
      <c r="A2102" s="17" t="s">
        <v>190</v>
      </c>
      <c r="B2102" s="18" t="s">
        <v>193</v>
      </c>
      <c r="C2102" s="18" t="s">
        <v>128</v>
      </c>
      <c r="D2102" s="18">
        <v>37</v>
      </c>
      <c r="E2102" s="17" t="s">
        <v>135</v>
      </c>
      <c r="F2102" s="19">
        <v>504</v>
      </c>
      <c r="G2102" s="20">
        <f>F2102+(VLOOKUP(D2102,'(Semelles.Monument.€HT)'!C:G,3,FALSE()))</f>
        <v>712</v>
      </c>
      <c r="H2102" s="21">
        <f>F2102+(VLOOKUP(D2102,'(Semelles.Monument.€HT)'!C:G,4,FALSE()))</f>
        <v>772</v>
      </c>
      <c r="I2102" s="22">
        <f>F2102+(VLOOKUP(D2102,'(Semelles.Monument.€HT)'!C:G,5,FALSE()))</f>
        <v>836</v>
      </c>
    </row>
    <row r="2103" spans="1:9" ht="26" customHeight="1">
      <c r="A2103" s="2" t="s">
        <v>190</v>
      </c>
      <c r="B2103" s="13" t="s">
        <v>193</v>
      </c>
      <c r="C2103" s="13" t="s">
        <v>128</v>
      </c>
      <c r="D2103" s="13">
        <v>38</v>
      </c>
      <c r="E2103" s="2" t="s">
        <v>136</v>
      </c>
      <c r="F2103" s="7">
        <v>533</v>
      </c>
      <c r="G2103" s="3">
        <f>F2103+(VLOOKUP(D2103,'(Semelles.Monument.€HT)'!C:G,3,FALSE()))</f>
        <v>753</v>
      </c>
      <c r="H2103" s="4">
        <f>F2103+(VLOOKUP(D2103,'(Semelles.Monument.€HT)'!C:G,4,FALSE()))</f>
        <v>817</v>
      </c>
      <c r="I2103" s="5">
        <f>F2103+(VLOOKUP(D2103,'(Semelles.Monument.€HT)'!C:G,5,FALSE()))</f>
        <v>884</v>
      </c>
    </row>
    <row r="2104" spans="1:9" ht="26" customHeight="1">
      <c r="A2104" s="17" t="s">
        <v>190</v>
      </c>
      <c r="B2104" s="18" t="s">
        <v>193</v>
      </c>
      <c r="C2104" s="18" t="s">
        <v>128</v>
      </c>
      <c r="D2104" s="18">
        <v>39</v>
      </c>
      <c r="E2104" s="17" t="s">
        <v>137</v>
      </c>
      <c r="F2104" s="19">
        <v>547</v>
      </c>
      <c r="G2104" s="20">
        <f>F2104+(VLOOKUP(D2104,'(Semelles.Monument.€HT)'!C:G,3,FALSE()))</f>
        <v>773</v>
      </c>
      <c r="H2104" s="21">
        <f>F2104+(VLOOKUP(D2104,'(Semelles.Monument.€HT)'!C:G,4,FALSE()))</f>
        <v>838</v>
      </c>
      <c r="I2104" s="22">
        <f>F2104+(VLOOKUP(D2104,'(Semelles.Monument.€HT)'!C:G,5,FALSE()))</f>
        <v>907</v>
      </c>
    </row>
    <row r="2105" spans="1:9" ht="26" customHeight="1">
      <c r="A2105" s="2" t="s">
        <v>190</v>
      </c>
      <c r="B2105" s="13" t="s">
        <v>193</v>
      </c>
      <c r="C2105" s="13" t="s">
        <v>128</v>
      </c>
      <c r="D2105" s="13">
        <v>40</v>
      </c>
      <c r="E2105" s="2" t="s">
        <v>138</v>
      </c>
      <c r="F2105" s="7">
        <v>562</v>
      </c>
      <c r="G2105" s="3">
        <f>F2105+(VLOOKUP(D2105,'(Semelles.Monument.€HT)'!C:G,3,FALSE()))</f>
        <v>794</v>
      </c>
      <c r="H2105" s="4">
        <f>F2105+(VLOOKUP(D2105,'(Semelles.Monument.€HT)'!C:G,4,FALSE()))</f>
        <v>862</v>
      </c>
      <c r="I2105" s="5">
        <f>F2105+(VLOOKUP(D2105,'(Semelles.Monument.€HT)'!C:G,5,FALSE()))</f>
        <v>932</v>
      </c>
    </row>
    <row r="2106" spans="1:9" ht="26" customHeight="1">
      <c r="A2106" s="17" t="s">
        <v>190</v>
      </c>
      <c r="B2106" s="18" t="s">
        <v>193</v>
      </c>
      <c r="C2106" s="18" t="s">
        <v>128</v>
      </c>
      <c r="D2106" s="18">
        <v>41</v>
      </c>
      <c r="E2106" s="17" t="s">
        <v>139</v>
      </c>
      <c r="F2106" s="19">
        <v>598</v>
      </c>
      <c r="G2106" s="20">
        <f>F2106+(VLOOKUP(D2106,'(Semelles.Monument.€HT)'!C:G,3,FALSE()))</f>
        <v>845</v>
      </c>
      <c r="H2106" s="21">
        <f>F2106+(VLOOKUP(D2106,'(Semelles.Monument.€HT)'!C:G,4,FALSE()))</f>
        <v>917</v>
      </c>
      <c r="I2106" s="22">
        <f>F2106+(VLOOKUP(D2106,'(Semelles.Monument.€HT)'!C:G,5,FALSE()))</f>
        <v>992</v>
      </c>
    </row>
    <row r="2107" spans="1:9" ht="26" customHeight="1">
      <c r="A2107" s="2" t="s">
        <v>190</v>
      </c>
      <c r="B2107" s="13" t="s">
        <v>193</v>
      </c>
      <c r="C2107" s="13" t="s">
        <v>128</v>
      </c>
      <c r="D2107" s="13">
        <v>42</v>
      </c>
      <c r="E2107" s="2" t="s">
        <v>140</v>
      </c>
      <c r="F2107" s="7">
        <v>656</v>
      </c>
      <c r="G2107" s="3">
        <f>F2107+(VLOOKUP(D2107,'(Semelles.Monument.€HT)'!C:G,3,FALSE()))</f>
        <v>927</v>
      </c>
      <c r="H2107" s="4">
        <f>F2107+(VLOOKUP(D2107,'(Semelles.Monument.€HT)'!C:G,4,FALSE()))</f>
        <v>1006</v>
      </c>
      <c r="I2107" s="5">
        <f>F2107+(VLOOKUP(D2107,'(Semelles.Monument.€HT)'!C:G,5,FALSE()))</f>
        <v>1089</v>
      </c>
    </row>
    <row r="2108" spans="1:9" ht="26" customHeight="1">
      <c r="A2108" s="17" t="s">
        <v>190</v>
      </c>
      <c r="B2108" s="18" t="s">
        <v>193</v>
      </c>
      <c r="C2108" s="18" t="s">
        <v>128</v>
      </c>
      <c r="D2108" s="18">
        <v>43</v>
      </c>
      <c r="E2108" s="17" t="s">
        <v>141</v>
      </c>
      <c r="F2108" s="19">
        <v>656</v>
      </c>
      <c r="G2108" s="20">
        <f>F2108+(VLOOKUP(D2108,'(Semelles.Monument.€HT)'!C:G,3,FALSE()))</f>
        <v>927</v>
      </c>
      <c r="H2108" s="21">
        <f>F2108+(VLOOKUP(D2108,'(Semelles.Monument.€HT)'!C:G,4,FALSE()))</f>
        <v>1006</v>
      </c>
      <c r="I2108" s="22">
        <f>F2108+(VLOOKUP(D2108,'(Semelles.Monument.€HT)'!C:G,5,FALSE()))</f>
        <v>1089</v>
      </c>
    </row>
    <row r="2109" spans="1:9" ht="26" customHeight="1">
      <c r="A2109" s="2" t="s">
        <v>190</v>
      </c>
      <c r="B2109" s="13" t="s">
        <v>193</v>
      </c>
      <c r="C2109" s="13" t="s">
        <v>128</v>
      </c>
      <c r="D2109" s="13">
        <v>44</v>
      </c>
      <c r="E2109" s="2" t="s">
        <v>142</v>
      </c>
      <c r="F2109" s="7">
        <v>664</v>
      </c>
      <c r="G2109" s="3">
        <f>F2109+(VLOOKUP(D2109,'(Semelles.Monument.€HT)'!C:G,3,FALSE()))</f>
        <v>939</v>
      </c>
      <c r="H2109" s="4">
        <f>F2109+(VLOOKUP(D2109,'(Semelles.Monument.€HT)'!C:G,4,FALSE()))</f>
        <v>1018</v>
      </c>
      <c r="I2109" s="5">
        <f>F2109+(VLOOKUP(D2109,'(Semelles.Monument.€HT)'!C:G,5,FALSE()))</f>
        <v>1102</v>
      </c>
    </row>
    <row r="2110" spans="1:9" ht="26" customHeight="1">
      <c r="A2110" s="17" t="s">
        <v>190</v>
      </c>
      <c r="B2110" s="18" t="s">
        <v>193</v>
      </c>
      <c r="C2110" s="18" t="s">
        <v>128</v>
      </c>
      <c r="D2110" s="18">
        <v>45</v>
      </c>
      <c r="E2110" s="17" t="s">
        <v>143</v>
      </c>
      <c r="F2110" s="19">
        <v>672</v>
      </c>
      <c r="G2110" s="20">
        <f>F2110+(VLOOKUP(D2110,'(Semelles.Monument.€HT)'!C:G,3,FALSE()))</f>
        <v>950</v>
      </c>
      <c r="H2110" s="21">
        <f>F2110+(VLOOKUP(D2110,'(Semelles.Monument.€HT)'!C:G,4,FALSE()))</f>
        <v>1030</v>
      </c>
      <c r="I2110" s="22">
        <f>F2110+(VLOOKUP(D2110,'(Semelles.Monument.€HT)'!C:G,5,FALSE()))</f>
        <v>1115</v>
      </c>
    </row>
    <row r="2111" spans="1:9" ht="26" customHeight="1">
      <c r="A2111" s="2" t="s">
        <v>190</v>
      </c>
      <c r="B2111" s="13" t="s">
        <v>193</v>
      </c>
      <c r="C2111" s="13" t="s">
        <v>128</v>
      </c>
      <c r="D2111" s="13">
        <v>46</v>
      </c>
      <c r="E2111" s="2" t="s">
        <v>144</v>
      </c>
      <c r="F2111" s="7">
        <v>672</v>
      </c>
      <c r="G2111" s="3">
        <f>F2111+(VLOOKUP(D2111,'(Semelles.Monument.€HT)'!C:G,3,FALSE()))</f>
        <v>950</v>
      </c>
      <c r="H2111" s="4">
        <f>F2111+(VLOOKUP(D2111,'(Semelles.Monument.€HT)'!C:G,4,FALSE()))</f>
        <v>1030</v>
      </c>
      <c r="I2111" s="5">
        <f>F2111+(VLOOKUP(D2111,'(Semelles.Monument.€HT)'!C:G,5,FALSE()))</f>
        <v>1115</v>
      </c>
    </row>
    <row r="2112" spans="1:9" ht="26" customHeight="1">
      <c r="A2112" s="17" t="s">
        <v>190</v>
      </c>
      <c r="B2112" s="18" t="s">
        <v>193</v>
      </c>
      <c r="C2112" s="18" t="s">
        <v>128</v>
      </c>
      <c r="D2112" s="18">
        <v>47</v>
      </c>
      <c r="E2112" s="17" t="s">
        <v>145</v>
      </c>
      <c r="F2112" s="19">
        <v>685</v>
      </c>
      <c r="G2112" s="20">
        <f>F2112+(VLOOKUP(D2112,'(Semelles.Monument.€HT)'!C:G,3,FALSE()))</f>
        <v>969</v>
      </c>
      <c r="H2112" s="21">
        <f>F2112+(VLOOKUP(D2112,'(Semelles.Monument.€HT)'!C:G,4,FALSE()))</f>
        <v>1051</v>
      </c>
      <c r="I2112" s="22">
        <f>F2112+(VLOOKUP(D2112,'(Semelles.Monument.€HT)'!C:G,5,FALSE()))</f>
        <v>1137</v>
      </c>
    </row>
    <row r="2113" spans="1:9" ht="26" customHeight="1">
      <c r="A2113" s="2" t="s">
        <v>190</v>
      </c>
      <c r="B2113" s="13" t="s">
        <v>193</v>
      </c>
      <c r="C2113" s="13" t="s">
        <v>128</v>
      </c>
      <c r="D2113" s="13">
        <v>48</v>
      </c>
      <c r="E2113" s="2" t="s">
        <v>146</v>
      </c>
      <c r="F2113" s="7">
        <v>693</v>
      </c>
      <c r="G2113" s="3">
        <f>F2113+(VLOOKUP(D2113,'(Semelles.Monument.€HT)'!C:G,3,FALSE()))</f>
        <v>980</v>
      </c>
      <c r="H2113" s="4">
        <f>F2113+(VLOOKUP(D2113,'(Semelles.Monument.€HT)'!C:G,4,FALSE()))</f>
        <v>1063</v>
      </c>
      <c r="I2113" s="5">
        <f>F2113+(VLOOKUP(D2113,'(Semelles.Monument.€HT)'!C:G,5,FALSE()))</f>
        <v>1150</v>
      </c>
    </row>
    <row r="2114" spans="1:9" ht="26" customHeight="1">
      <c r="A2114" s="17" t="s">
        <v>194</v>
      </c>
      <c r="B2114" s="18" t="s">
        <v>195</v>
      </c>
      <c r="C2114" s="18" t="s">
        <v>97</v>
      </c>
      <c r="D2114" s="18">
        <v>1</v>
      </c>
      <c r="E2114" s="17" t="s">
        <v>98</v>
      </c>
      <c r="F2114" s="19">
        <v>1074</v>
      </c>
      <c r="G2114" s="20"/>
      <c r="H2114" s="21"/>
      <c r="I2114" s="22"/>
    </row>
    <row r="2115" spans="1:9" ht="26" customHeight="1">
      <c r="A2115" s="2" t="s">
        <v>194</v>
      </c>
      <c r="B2115" s="13" t="s">
        <v>195</v>
      </c>
      <c r="C2115" s="13" t="s">
        <v>97</v>
      </c>
      <c r="D2115" s="13">
        <v>2</v>
      </c>
      <c r="E2115" s="2" t="s">
        <v>99</v>
      </c>
      <c r="F2115" s="7">
        <v>1073</v>
      </c>
      <c r="G2115" s="3"/>
      <c r="H2115" s="4"/>
      <c r="I2115" s="5"/>
    </row>
    <row r="2116" spans="1:9" ht="26" customHeight="1">
      <c r="A2116" s="17" t="s">
        <v>194</v>
      </c>
      <c r="B2116" s="18" t="s">
        <v>195</v>
      </c>
      <c r="C2116" s="18" t="s">
        <v>97</v>
      </c>
      <c r="D2116" s="18">
        <v>3</v>
      </c>
      <c r="E2116" s="17" t="s">
        <v>100</v>
      </c>
      <c r="F2116" s="19">
        <v>1191</v>
      </c>
      <c r="G2116" s="20"/>
      <c r="H2116" s="21"/>
      <c r="I2116" s="22"/>
    </row>
    <row r="2117" spans="1:9" ht="26" customHeight="1">
      <c r="A2117" s="2" t="s">
        <v>194</v>
      </c>
      <c r="B2117" s="13" t="s">
        <v>195</v>
      </c>
      <c r="C2117" s="13" t="s">
        <v>97</v>
      </c>
      <c r="D2117" s="13">
        <v>4</v>
      </c>
      <c r="E2117" s="2" t="s">
        <v>101</v>
      </c>
      <c r="F2117" s="7">
        <v>1219</v>
      </c>
      <c r="G2117" s="3"/>
      <c r="H2117" s="4"/>
      <c r="I2117" s="5"/>
    </row>
    <row r="2118" spans="1:9" ht="26" customHeight="1">
      <c r="A2118" s="17" t="s">
        <v>194</v>
      </c>
      <c r="B2118" s="18" t="s">
        <v>195</v>
      </c>
      <c r="C2118" s="18" t="s">
        <v>97</v>
      </c>
      <c r="D2118" s="18">
        <v>5</v>
      </c>
      <c r="E2118" s="17" t="s">
        <v>102</v>
      </c>
      <c r="F2118" s="19">
        <v>1219</v>
      </c>
      <c r="G2118" s="20"/>
      <c r="H2118" s="21"/>
      <c r="I2118" s="22"/>
    </row>
    <row r="2119" spans="1:9" ht="26" customHeight="1">
      <c r="A2119" s="2" t="s">
        <v>194</v>
      </c>
      <c r="B2119" s="13" t="s">
        <v>195</v>
      </c>
      <c r="C2119" s="13" t="s">
        <v>97</v>
      </c>
      <c r="D2119" s="13">
        <v>6</v>
      </c>
      <c r="E2119" s="2" t="s">
        <v>103</v>
      </c>
      <c r="F2119" s="7">
        <v>1225</v>
      </c>
      <c r="G2119" s="3"/>
      <c r="H2119" s="4"/>
      <c r="I2119" s="5"/>
    </row>
    <row r="2120" spans="1:9" ht="26" customHeight="1">
      <c r="A2120" s="17" t="s">
        <v>194</v>
      </c>
      <c r="B2120" s="18" t="s">
        <v>195</v>
      </c>
      <c r="C2120" s="18" t="s">
        <v>97</v>
      </c>
      <c r="D2120" s="18">
        <v>7</v>
      </c>
      <c r="E2120" s="17" t="s">
        <v>104</v>
      </c>
      <c r="F2120" s="19">
        <v>1225</v>
      </c>
      <c r="G2120" s="20"/>
      <c r="H2120" s="21"/>
      <c r="I2120" s="22"/>
    </row>
    <row r="2121" spans="1:9" ht="26" customHeight="1">
      <c r="A2121" s="2" t="s">
        <v>194</v>
      </c>
      <c r="B2121" s="13" t="s">
        <v>195</v>
      </c>
      <c r="C2121" s="13" t="s">
        <v>97</v>
      </c>
      <c r="D2121" s="13">
        <v>8</v>
      </c>
      <c r="E2121" s="2" t="s">
        <v>105</v>
      </c>
      <c r="F2121" s="7">
        <v>1225</v>
      </c>
      <c r="G2121" s="3"/>
      <c r="H2121" s="4"/>
      <c r="I2121" s="5"/>
    </row>
    <row r="2122" spans="1:9" ht="26" customHeight="1">
      <c r="A2122" s="17" t="s">
        <v>194</v>
      </c>
      <c r="B2122" s="18" t="s">
        <v>195</v>
      </c>
      <c r="C2122" s="18" t="s">
        <v>97</v>
      </c>
      <c r="D2122" s="18">
        <v>9</v>
      </c>
      <c r="E2122" s="17" t="s">
        <v>106</v>
      </c>
      <c r="F2122" s="19">
        <v>1225</v>
      </c>
      <c r="G2122" s="20"/>
      <c r="H2122" s="21"/>
      <c r="I2122" s="22"/>
    </row>
    <row r="2123" spans="1:9" ht="26" customHeight="1">
      <c r="A2123" s="2" t="s">
        <v>194</v>
      </c>
      <c r="B2123" s="13" t="s">
        <v>195</v>
      </c>
      <c r="C2123" s="13" t="s">
        <v>97</v>
      </c>
      <c r="D2123" s="13">
        <v>10</v>
      </c>
      <c r="E2123" s="2" t="s">
        <v>107</v>
      </c>
      <c r="F2123" s="7">
        <v>1225</v>
      </c>
      <c r="G2123" s="3"/>
      <c r="H2123" s="4"/>
      <c r="I2123" s="5"/>
    </row>
    <row r="2124" spans="1:9" ht="26" customHeight="1">
      <c r="A2124" s="17" t="s">
        <v>194</v>
      </c>
      <c r="B2124" s="18" t="s">
        <v>195</v>
      </c>
      <c r="C2124" s="18" t="s">
        <v>97</v>
      </c>
      <c r="D2124" s="18">
        <v>11</v>
      </c>
      <c r="E2124" s="17" t="s">
        <v>108</v>
      </c>
      <c r="F2124" s="19">
        <v>1225</v>
      </c>
      <c r="G2124" s="20"/>
      <c r="H2124" s="21"/>
      <c r="I2124" s="22"/>
    </row>
    <row r="2125" spans="1:9" ht="26" customHeight="1">
      <c r="A2125" s="2" t="s">
        <v>194</v>
      </c>
      <c r="B2125" s="13" t="s">
        <v>195</v>
      </c>
      <c r="C2125" s="13" t="s">
        <v>97</v>
      </c>
      <c r="D2125" s="13">
        <v>12</v>
      </c>
      <c r="E2125" s="2" t="s">
        <v>109</v>
      </c>
      <c r="F2125" s="7">
        <v>1242</v>
      </c>
      <c r="G2125" s="3"/>
      <c r="H2125" s="4"/>
      <c r="I2125" s="5"/>
    </row>
    <row r="2126" spans="1:9" ht="26" customHeight="1">
      <c r="A2126" s="17" t="s">
        <v>194</v>
      </c>
      <c r="B2126" s="18" t="s">
        <v>195</v>
      </c>
      <c r="C2126" s="18" t="s">
        <v>97</v>
      </c>
      <c r="D2126" s="18">
        <v>13</v>
      </c>
      <c r="E2126" s="17" t="s">
        <v>110</v>
      </c>
      <c r="F2126" s="19">
        <v>1242</v>
      </c>
      <c r="G2126" s="20"/>
      <c r="H2126" s="21"/>
      <c r="I2126" s="22"/>
    </row>
    <row r="2127" spans="1:9" ht="26" customHeight="1">
      <c r="A2127" s="2" t="s">
        <v>194</v>
      </c>
      <c r="B2127" s="13" t="s">
        <v>195</v>
      </c>
      <c r="C2127" s="13" t="s">
        <v>97</v>
      </c>
      <c r="D2127" s="13">
        <v>14</v>
      </c>
      <c r="E2127" s="2" t="s">
        <v>111</v>
      </c>
      <c r="F2127" s="7">
        <v>1246</v>
      </c>
      <c r="G2127" s="3"/>
      <c r="H2127" s="4"/>
      <c r="I2127" s="5"/>
    </row>
    <row r="2128" spans="1:9" ht="26" customHeight="1">
      <c r="A2128" s="17" t="s">
        <v>194</v>
      </c>
      <c r="B2128" s="18" t="s">
        <v>195</v>
      </c>
      <c r="C2128" s="18" t="s">
        <v>97</v>
      </c>
      <c r="D2128" s="18">
        <v>15</v>
      </c>
      <c r="E2128" s="17" t="s">
        <v>112</v>
      </c>
      <c r="F2128" s="19">
        <v>1246</v>
      </c>
      <c r="G2128" s="20"/>
      <c r="H2128" s="21"/>
      <c r="I2128" s="22"/>
    </row>
    <row r="2129" spans="1:9" ht="26" customHeight="1">
      <c r="A2129" s="2" t="s">
        <v>194</v>
      </c>
      <c r="B2129" s="13" t="s">
        <v>195</v>
      </c>
      <c r="C2129" s="13" t="s">
        <v>97</v>
      </c>
      <c r="D2129" s="13">
        <v>16</v>
      </c>
      <c r="E2129" s="2" t="s">
        <v>113</v>
      </c>
      <c r="F2129" s="7">
        <v>1246</v>
      </c>
      <c r="G2129" s="3"/>
      <c r="H2129" s="4"/>
      <c r="I2129" s="5"/>
    </row>
    <row r="2130" spans="1:9" ht="26" customHeight="1">
      <c r="A2130" s="17" t="s">
        <v>194</v>
      </c>
      <c r="B2130" s="18" t="s">
        <v>195</v>
      </c>
      <c r="C2130" s="18" t="s">
        <v>97</v>
      </c>
      <c r="D2130" s="18">
        <v>17</v>
      </c>
      <c r="E2130" s="17" t="s">
        <v>114</v>
      </c>
      <c r="F2130" s="19">
        <v>1267</v>
      </c>
      <c r="G2130" s="20"/>
      <c r="H2130" s="21"/>
      <c r="I2130" s="22"/>
    </row>
    <row r="2131" spans="1:9" ht="26" customHeight="1">
      <c r="A2131" s="2" t="s">
        <v>194</v>
      </c>
      <c r="B2131" s="13" t="s">
        <v>195</v>
      </c>
      <c r="C2131" s="13" t="s">
        <v>97</v>
      </c>
      <c r="D2131" s="13">
        <v>18</v>
      </c>
      <c r="E2131" s="2" t="s">
        <v>115</v>
      </c>
      <c r="F2131" s="7">
        <v>1267</v>
      </c>
      <c r="G2131" s="3"/>
      <c r="H2131" s="4"/>
      <c r="I2131" s="5"/>
    </row>
    <row r="2132" spans="1:9" ht="26" customHeight="1">
      <c r="A2132" s="17" t="s">
        <v>194</v>
      </c>
      <c r="B2132" s="18" t="s">
        <v>195</v>
      </c>
      <c r="C2132" s="18" t="s">
        <v>97</v>
      </c>
      <c r="D2132" s="18">
        <v>19</v>
      </c>
      <c r="E2132" s="17" t="s">
        <v>116</v>
      </c>
      <c r="F2132" s="19">
        <v>1267</v>
      </c>
      <c r="G2132" s="20"/>
      <c r="H2132" s="21"/>
      <c r="I2132" s="22"/>
    </row>
    <row r="2133" spans="1:9" ht="26" customHeight="1">
      <c r="A2133" s="2" t="s">
        <v>194</v>
      </c>
      <c r="B2133" s="13" t="s">
        <v>195</v>
      </c>
      <c r="C2133" s="13" t="s">
        <v>97</v>
      </c>
      <c r="D2133" s="13">
        <v>20</v>
      </c>
      <c r="E2133" s="2" t="s">
        <v>117</v>
      </c>
      <c r="F2133" s="7">
        <v>1277</v>
      </c>
      <c r="G2133" s="3"/>
      <c r="H2133" s="4"/>
      <c r="I2133" s="5"/>
    </row>
    <row r="2134" spans="1:9" ht="26" customHeight="1">
      <c r="A2134" s="17" t="s">
        <v>194</v>
      </c>
      <c r="B2134" s="18" t="s">
        <v>195</v>
      </c>
      <c r="C2134" s="18" t="s">
        <v>97</v>
      </c>
      <c r="D2134" s="18">
        <v>21</v>
      </c>
      <c r="E2134" s="17" t="s">
        <v>118</v>
      </c>
      <c r="F2134" s="19">
        <v>1285</v>
      </c>
      <c r="G2134" s="20"/>
      <c r="H2134" s="21"/>
      <c r="I2134" s="22"/>
    </row>
    <row r="2135" spans="1:9" ht="26" customHeight="1">
      <c r="A2135" s="2" t="s">
        <v>194</v>
      </c>
      <c r="B2135" s="13" t="s">
        <v>195</v>
      </c>
      <c r="C2135" s="13" t="s">
        <v>97</v>
      </c>
      <c r="D2135" s="13">
        <v>22</v>
      </c>
      <c r="E2135" s="2" t="s">
        <v>119</v>
      </c>
      <c r="F2135" s="7">
        <v>1285</v>
      </c>
      <c r="G2135" s="3"/>
      <c r="H2135" s="4"/>
      <c r="I2135" s="5"/>
    </row>
    <row r="2136" spans="1:9" ht="26" customHeight="1">
      <c r="A2136" s="17" t="s">
        <v>194</v>
      </c>
      <c r="B2136" s="18" t="s">
        <v>195</v>
      </c>
      <c r="C2136" s="18" t="s">
        <v>97</v>
      </c>
      <c r="D2136" s="18">
        <v>23</v>
      </c>
      <c r="E2136" s="17" t="s">
        <v>120</v>
      </c>
      <c r="F2136" s="19">
        <v>1304</v>
      </c>
      <c r="G2136" s="20"/>
      <c r="H2136" s="21"/>
      <c r="I2136" s="22"/>
    </row>
    <row r="2137" spans="1:9" ht="26" customHeight="1">
      <c r="A2137" s="2" t="s">
        <v>194</v>
      </c>
      <c r="B2137" s="13" t="s">
        <v>195</v>
      </c>
      <c r="C2137" s="13" t="s">
        <v>97</v>
      </c>
      <c r="D2137" s="13">
        <v>24</v>
      </c>
      <c r="E2137" s="2" t="s">
        <v>121</v>
      </c>
      <c r="F2137" s="7">
        <v>1304</v>
      </c>
      <c r="G2137" s="3"/>
      <c r="H2137" s="4"/>
      <c r="I2137" s="5"/>
    </row>
    <row r="2138" spans="1:9" ht="26" customHeight="1">
      <c r="A2138" s="17" t="s">
        <v>194</v>
      </c>
      <c r="B2138" s="18" t="s">
        <v>195</v>
      </c>
      <c r="C2138" s="18" t="s">
        <v>97</v>
      </c>
      <c r="D2138" s="18">
        <v>25</v>
      </c>
      <c r="E2138" s="17" t="s">
        <v>122</v>
      </c>
      <c r="F2138" s="19">
        <v>1304</v>
      </c>
      <c r="G2138" s="20"/>
      <c r="H2138" s="21"/>
      <c r="I2138" s="22"/>
    </row>
    <row r="2139" spans="1:9" ht="26" customHeight="1">
      <c r="A2139" s="2" t="s">
        <v>194</v>
      </c>
      <c r="B2139" s="13" t="s">
        <v>195</v>
      </c>
      <c r="C2139" s="13" t="s">
        <v>97</v>
      </c>
      <c r="D2139" s="13">
        <v>26</v>
      </c>
      <c r="E2139" s="2" t="s">
        <v>123</v>
      </c>
      <c r="F2139" s="7">
        <v>1325</v>
      </c>
      <c r="G2139" s="3"/>
      <c r="H2139" s="4"/>
      <c r="I2139" s="5"/>
    </row>
    <row r="2140" spans="1:9" ht="26" customHeight="1">
      <c r="A2140" s="17" t="s">
        <v>194</v>
      </c>
      <c r="B2140" s="18" t="s">
        <v>195</v>
      </c>
      <c r="C2140" s="18" t="s">
        <v>97</v>
      </c>
      <c r="D2140" s="18">
        <v>27</v>
      </c>
      <c r="E2140" s="17" t="s">
        <v>124</v>
      </c>
      <c r="F2140" s="19">
        <v>1410</v>
      </c>
      <c r="G2140" s="20"/>
      <c r="H2140" s="21"/>
      <c r="I2140" s="22"/>
    </row>
    <row r="2141" spans="1:9" ht="26" customHeight="1">
      <c r="A2141" s="2" t="s">
        <v>194</v>
      </c>
      <c r="B2141" s="13" t="s">
        <v>195</v>
      </c>
      <c r="C2141" s="13" t="s">
        <v>97</v>
      </c>
      <c r="D2141" s="13">
        <v>28</v>
      </c>
      <c r="E2141" s="2" t="s">
        <v>125</v>
      </c>
      <c r="F2141" s="7">
        <v>1560</v>
      </c>
      <c r="G2141" s="3"/>
      <c r="H2141" s="4"/>
      <c r="I2141" s="5"/>
    </row>
    <row r="2142" spans="1:9" ht="26" customHeight="1">
      <c r="A2142" s="17" t="s">
        <v>194</v>
      </c>
      <c r="B2142" s="18" t="s">
        <v>195</v>
      </c>
      <c r="C2142" s="18" t="s">
        <v>97</v>
      </c>
      <c r="D2142" s="18">
        <v>29</v>
      </c>
      <c r="E2142" s="17" t="s">
        <v>126</v>
      </c>
      <c r="F2142" s="19">
        <v>1623</v>
      </c>
      <c r="G2142" s="20"/>
      <c r="H2142" s="21"/>
      <c r="I2142" s="22"/>
    </row>
    <row r="2143" spans="1:9" ht="26" customHeight="1">
      <c r="A2143" s="2" t="s">
        <v>194</v>
      </c>
      <c r="B2143" s="13" t="s">
        <v>195</v>
      </c>
      <c r="C2143" s="13" t="s">
        <v>97</v>
      </c>
      <c r="D2143" s="13">
        <v>30</v>
      </c>
      <c r="E2143" s="2" t="s">
        <v>127</v>
      </c>
      <c r="F2143" s="7">
        <v>1623</v>
      </c>
      <c r="G2143" s="3"/>
      <c r="H2143" s="4"/>
      <c r="I2143" s="5"/>
    </row>
    <row r="2144" spans="1:9" ht="26" customHeight="1">
      <c r="A2144" s="17" t="s">
        <v>194</v>
      </c>
      <c r="B2144" s="18" t="s">
        <v>195</v>
      </c>
      <c r="C2144" s="18" t="s">
        <v>128</v>
      </c>
      <c r="D2144" s="18">
        <v>31</v>
      </c>
      <c r="E2144" s="17" t="s">
        <v>129</v>
      </c>
      <c r="F2144" s="19">
        <v>887</v>
      </c>
      <c r="G2144" s="20"/>
      <c r="H2144" s="21"/>
      <c r="I2144" s="22"/>
    </row>
    <row r="2145" spans="1:9" ht="26" customHeight="1">
      <c r="A2145" s="2" t="s">
        <v>194</v>
      </c>
      <c r="B2145" s="13" t="s">
        <v>195</v>
      </c>
      <c r="C2145" s="13" t="s">
        <v>128</v>
      </c>
      <c r="D2145" s="13">
        <v>32</v>
      </c>
      <c r="E2145" s="2" t="s">
        <v>130</v>
      </c>
      <c r="F2145" s="7">
        <v>899</v>
      </c>
      <c r="G2145" s="3"/>
      <c r="H2145" s="4"/>
      <c r="I2145" s="5"/>
    </row>
    <row r="2146" spans="1:9" ht="26" customHeight="1">
      <c r="A2146" s="17" t="s">
        <v>194</v>
      </c>
      <c r="B2146" s="18" t="s">
        <v>195</v>
      </c>
      <c r="C2146" s="18" t="s">
        <v>128</v>
      </c>
      <c r="D2146" s="18">
        <v>33</v>
      </c>
      <c r="E2146" s="17" t="s">
        <v>131</v>
      </c>
      <c r="F2146" s="19">
        <v>899</v>
      </c>
      <c r="G2146" s="20"/>
      <c r="H2146" s="21"/>
      <c r="I2146" s="22"/>
    </row>
    <row r="2147" spans="1:9" ht="26" customHeight="1">
      <c r="A2147" s="2" t="s">
        <v>194</v>
      </c>
      <c r="B2147" s="13" t="s">
        <v>195</v>
      </c>
      <c r="C2147" s="13" t="s">
        <v>128</v>
      </c>
      <c r="D2147" s="13">
        <v>34</v>
      </c>
      <c r="E2147" s="2" t="s">
        <v>132</v>
      </c>
      <c r="F2147" s="7">
        <v>908</v>
      </c>
      <c r="G2147" s="3"/>
      <c r="H2147" s="4"/>
      <c r="I2147" s="5"/>
    </row>
    <row r="2148" spans="1:9" ht="26" customHeight="1">
      <c r="A2148" s="17" t="s">
        <v>194</v>
      </c>
      <c r="B2148" s="18" t="s">
        <v>195</v>
      </c>
      <c r="C2148" s="18" t="s">
        <v>128</v>
      </c>
      <c r="D2148" s="18">
        <v>35</v>
      </c>
      <c r="E2148" s="17" t="s">
        <v>133</v>
      </c>
      <c r="F2148" s="19">
        <v>1091</v>
      </c>
      <c r="G2148" s="20"/>
      <c r="H2148" s="21"/>
      <c r="I2148" s="22"/>
    </row>
    <row r="2149" spans="1:9" ht="26" customHeight="1">
      <c r="A2149" s="2" t="s">
        <v>194</v>
      </c>
      <c r="B2149" s="13" t="s">
        <v>195</v>
      </c>
      <c r="C2149" s="13" t="s">
        <v>128</v>
      </c>
      <c r="D2149" s="13">
        <v>36</v>
      </c>
      <c r="E2149" s="2" t="s">
        <v>134</v>
      </c>
      <c r="F2149" s="7">
        <v>1129</v>
      </c>
      <c r="G2149" s="3"/>
      <c r="H2149" s="4"/>
      <c r="I2149" s="5"/>
    </row>
    <row r="2150" spans="1:9" ht="26" customHeight="1">
      <c r="A2150" s="17" t="s">
        <v>194</v>
      </c>
      <c r="B2150" s="18" t="s">
        <v>195</v>
      </c>
      <c r="C2150" s="18" t="s">
        <v>128</v>
      </c>
      <c r="D2150" s="18">
        <v>37</v>
      </c>
      <c r="E2150" s="17" t="s">
        <v>135</v>
      </c>
      <c r="F2150" s="19">
        <v>1393</v>
      </c>
      <c r="G2150" s="20"/>
      <c r="H2150" s="21"/>
      <c r="I2150" s="22"/>
    </row>
    <row r="2151" spans="1:9" ht="26" customHeight="1">
      <c r="A2151" s="2" t="s">
        <v>194</v>
      </c>
      <c r="B2151" s="13" t="s">
        <v>195</v>
      </c>
      <c r="C2151" s="13" t="s">
        <v>128</v>
      </c>
      <c r="D2151" s="13">
        <v>38</v>
      </c>
      <c r="E2151" s="2" t="s">
        <v>136</v>
      </c>
      <c r="F2151" s="7">
        <v>1474</v>
      </c>
      <c r="G2151" s="3"/>
      <c r="H2151" s="4"/>
      <c r="I2151" s="5"/>
    </row>
    <row r="2152" spans="1:9" ht="26" customHeight="1">
      <c r="A2152" s="17" t="s">
        <v>194</v>
      </c>
      <c r="B2152" s="18" t="s">
        <v>195</v>
      </c>
      <c r="C2152" s="18" t="s">
        <v>128</v>
      </c>
      <c r="D2152" s="18">
        <v>39</v>
      </c>
      <c r="E2152" s="17" t="s">
        <v>137</v>
      </c>
      <c r="F2152" s="19">
        <v>1513</v>
      </c>
      <c r="G2152" s="20"/>
      <c r="H2152" s="21"/>
      <c r="I2152" s="22"/>
    </row>
    <row r="2153" spans="1:9" ht="26" customHeight="1">
      <c r="A2153" s="2" t="s">
        <v>194</v>
      </c>
      <c r="B2153" s="13" t="s">
        <v>195</v>
      </c>
      <c r="C2153" s="13" t="s">
        <v>128</v>
      </c>
      <c r="D2153" s="13">
        <v>40</v>
      </c>
      <c r="E2153" s="2" t="s">
        <v>138</v>
      </c>
      <c r="F2153" s="7">
        <v>1555</v>
      </c>
      <c r="G2153" s="3"/>
      <c r="H2153" s="4"/>
      <c r="I2153" s="5"/>
    </row>
    <row r="2154" spans="1:9" ht="26" customHeight="1">
      <c r="A2154" s="17" t="s">
        <v>194</v>
      </c>
      <c r="B2154" s="18" t="s">
        <v>195</v>
      </c>
      <c r="C2154" s="18" t="s">
        <v>128</v>
      </c>
      <c r="D2154" s="18">
        <v>41</v>
      </c>
      <c r="E2154" s="17" t="s">
        <v>139</v>
      </c>
      <c r="F2154" s="19">
        <v>1653</v>
      </c>
      <c r="G2154" s="20"/>
      <c r="H2154" s="21"/>
      <c r="I2154" s="22"/>
    </row>
    <row r="2155" spans="1:9" ht="26" customHeight="1">
      <c r="A2155" s="2" t="s">
        <v>194</v>
      </c>
      <c r="B2155" s="13" t="s">
        <v>195</v>
      </c>
      <c r="C2155" s="13" t="s">
        <v>128</v>
      </c>
      <c r="D2155" s="13">
        <v>42</v>
      </c>
      <c r="E2155" s="2" t="s">
        <v>140</v>
      </c>
      <c r="F2155" s="7">
        <v>1815</v>
      </c>
      <c r="G2155" s="3"/>
      <c r="H2155" s="4"/>
      <c r="I2155" s="5"/>
    </row>
    <row r="2156" spans="1:9" ht="26" customHeight="1">
      <c r="A2156" s="17" t="s">
        <v>194</v>
      </c>
      <c r="B2156" s="18" t="s">
        <v>195</v>
      </c>
      <c r="C2156" s="18" t="s">
        <v>128</v>
      </c>
      <c r="D2156" s="18">
        <v>43</v>
      </c>
      <c r="E2156" s="17" t="s">
        <v>141</v>
      </c>
      <c r="F2156" s="19">
        <v>1815</v>
      </c>
      <c r="G2156" s="20"/>
      <c r="H2156" s="21"/>
      <c r="I2156" s="22"/>
    </row>
    <row r="2157" spans="1:9" ht="26" customHeight="1">
      <c r="A2157" s="2" t="s">
        <v>194</v>
      </c>
      <c r="B2157" s="13" t="s">
        <v>195</v>
      </c>
      <c r="C2157" s="13" t="s">
        <v>128</v>
      </c>
      <c r="D2157" s="13">
        <v>44</v>
      </c>
      <c r="E2157" s="2" t="s">
        <v>142</v>
      </c>
      <c r="F2157" s="7">
        <v>1836</v>
      </c>
      <c r="G2157" s="3"/>
      <c r="H2157" s="4"/>
      <c r="I2157" s="5"/>
    </row>
    <row r="2158" spans="1:9" ht="26" customHeight="1">
      <c r="A2158" s="17" t="s">
        <v>194</v>
      </c>
      <c r="B2158" s="18" t="s">
        <v>195</v>
      </c>
      <c r="C2158" s="18" t="s">
        <v>128</v>
      </c>
      <c r="D2158" s="18">
        <v>45</v>
      </c>
      <c r="E2158" s="17" t="s">
        <v>143</v>
      </c>
      <c r="F2158" s="19">
        <v>1858</v>
      </c>
      <c r="G2158" s="20"/>
      <c r="H2158" s="21"/>
      <c r="I2158" s="22"/>
    </row>
    <row r="2159" spans="1:9" ht="26" customHeight="1">
      <c r="A2159" s="2" t="s">
        <v>194</v>
      </c>
      <c r="B2159" s="13" t="s">
        <v>195</v>
      </c>
      <c r="C2159" s="13" t="s">
        <v>128</v>
      </c>
      <c r="D2159" s="13">
        <v>46</v>
      </c>
      <c r="E2159" s="2" t="s">
        <v>144</v>
      </c>
      <c r="F2159" s="7">
        <v>1858</v>
      </c>
      <c r="G2159" s="3"/>
      <c r="H2159" s="4"/>
      <c r="I2159" s="5"/>
    </row>
    <row r="2160" spans="1:9" ht="26" customHeight="1">
      <c r="A2160" s="17" t="s">
        <v>194</v>
      </c>
      <c r="B2160" s="18" t="s">
        <v>195</v>
      </c>
      <c r="C2160" s="18" t="s">
        <v>128</v>
      </c>
      <c r="D2160" s="18">
        <v>47</v>
      </c>
      <c r="E2160" s="17" t="s">
        <v>145</v>
      </c>
      <c r="F2160" s="19">
        <v>1896</v>
      </c>
      <c r="G2160" s="20"/>
      <c r="H2160" s="21"/>
      <c r="I2160" s="22"/>
    </row>
    <row r="2161" spans="1:9" ht="26" customHeight="1">
      <c r="A2161" s="2" t="s">
        <v>194</v>
      </c>
      <c r="B2161" s="13" t="s">
        <v>195</v>
      </c>
      <c r="C2161" s="13" t="s">
        <v>128</v>
      </c>
      <c r="D2161" s="13">
        <v>48</v>
      </c>
      <c r="E2161" s="2" t="s">
        <v>146</v>
      </c>
      <c r="F2161" s="7">
        <v>1917</v>
      </c>
      <c r="G2161" s="3"/>
      <c r="H2161" s="4"/>
      <c r="I2161" s="5"/>
    </row>
    <row r="2162" spans="1:9" ht="26" customHeight="1">
      <c r="A2162" s="17" t="s">
        <v>194</v>
      </c>
      <c r="B2162" s="18" t="s">
        <v>196</v>
      </c>
      <c r="C2162" s="18" t="s">
        <v>97</v>
      </c>
      <c r="D2162" s="18">
        <v>1</v>
      </c>
      <c r="E2162" s="17" t="s">
        <v>98</v>
      </c>
      <c r="F2162" s="19">
        <v>1239</v>
      </c>
      <c r="G2162" s="20"/>
      <c r="H2162" s="21"/>
      <c r="I2162" s="22"/>
    </row>
    <row r="2163" spans="1:9" ht="26" customHeight="1">
      <c r="A2163" s="2" t="s">
        <v>194</v>
      </c>
      <c r="B2163" s="13" t="s">
        <v>196</v>
      </c>
      <c r="C2163" s="13" t="s">
        <v>97</v>
      </c>
      <c r="D2163" s="13">
        <v>2</v>
      </c>
      <c r="E2163" s="2" t="s">
        <v>99</v>
      </c>
      <c r="F2163" s="7">
        <v>1237</v>
      </c>
      <c r="G2163" s="3"/>
      <c r="H2163" s="4"/>
      <c r="I2163" s="5"/>
    </row>
    <row r="2164" spans="1:9" ht="26" customHeight="1">
      <c r="A2164" s="17" t="s">
        <v>194</v>
      </c>
      <c r="B2164" s="18" t="s">
        <v>196</v>
      </c>
      <c r="C2164" s="18" t="s">
        <v>97</v>
      </c>
      <c r="D2164" s="18">
        <v>3</v>
      </c>
      <c r="E2164" s="17" t="s">
        <v>100</v>
      </c>
      <c r="F2164" s="19">
        <v>1376</v>
      </c>
      <c r="G2164" s="20"/>
      <c r="H2164" s="21"/>
      <c r="I2164" s="22"/>
    </row>
    <row r="2165" spans="1:9" ht="26" customHeight="1">
      <c r="A2165" s="2" t="s">
        <v>194</v>
      </c>
      <c r="B2165" s="13" t="s">
        <v>196</v>
      </c>
      <c r="C2165" s="13" t="s">
        <v>97</v>
      </c>
      <c r="D2165" s="13">
        <v>4</v>
      </c>
      <c r="E2165" s="2" t="s">
        <v>101</v>
      </c>
      <c r="F2165" s="7">
        <v>1409</v>
      </c>
      <c r="G2165" s="3"/>
      <c r="H2165" s="4"/>
      <c r="I2165" s="5"/>
    </row>
    <row r="2166" spans="1:9" ht="26" customHeight="1">
      <c r="A2166" s="17" t="s">
        <v>194</v>
      </c>
      <c r="B2166" s="18" t="s">
        <v>196</v>
      </c>
      <c r="C2166" s="18" t="s">
        <v>97</v>
      </c>
      <c r="D2166" s="18">
        <v>5</v>
      </c>
      <c r="E2166" s="17" t="s">
        <v>102</v>
      </c>
      <c r="F2166" s="19">
        <v>1409</v>
      </c>
      <c r="G2166" s="20"/>
      <c r="H2166" s="21"/>
      <c r="I2166" s="22"/>
    </row>
    <row r="2167" spans="1:9" ht="26" customHeight="1">
      <c r="A2167" s="2" t="s">
        <v>194</v>
      </c>
      <c r="B2167" s="13" t="s">
        <v>196</v>
      </c>
      <c r="C2167" s="13" t="s">
        <v>97</v>
      </c>
      <c r="D2167" s="13">
        <v>6</v>
      </c>
      <c r="E2167" s="2" t="s">
        <v>103</v>
      </c>
      <c r="F2167" s="7">
        <v>1416</v>
      </c>
      <c r="G2167" s="3"/>
      <c r="H2167" s="4"/>
      <c r="I2167" s="5"/>
    </row>
    <row r="2168" spans="1:9" ht="26" customHeight="1">
      <c r="A2168" s="17" t="s">
        <v>194</v>
      </c>
      <c r="B2168" s="18" t="s">
        <v>196</v>
      </c>
      <c r="C2168" s="18" t="s">
        <v>97</v>
      </c>
      <c r="D2168" s="18">
        <v>7</v>
      </c>
      <c r="E2168" s="17" t="s">
        <v>104</v>
      </c>
      <c r="F2168" s="19">
        <v>1416</v>
      </c>
      <c r="G2168" s="20"/>
      <c r="H2168" s="21"/>
      <c r="I2168" s="22"/>
    </row>
    <row r="2169" spans="1:9" ht="26" customHeight="1">
      <c r="A2169" s="2" t="s">
        <v>194</v>
      </c>
      <c r="B2169" s="13" t="s">
        <v>196</v>
      </c>
      <c r="C2169" s="13" t="s">
        <v>97</v>
      </c>
      <c r="D2169" s="13">
        <v>8</v>
      </c>
      <c r="E2169" s="2" t="s">
        <v>105</v>
      </c>
      <c r="F2169" s="7">
        <v>1416</v>
      </c>
      <c r="G2169" s="3"/>
      <c r="H2169" s="4"/>
      <c r="I2169" s="5"/>
    </row>
    <row r="2170" spans="1:9" ht="26" customHeight="1">
      <c r="A2170" s="17" t="s">
        <v>194</v>
      </c>
      <c r="B2170" s="18" t="s">
        <v>196</v>
      </c>
      <c r="C2170" s="18" t="s">
        <v>97</v>
      </c>
      <c r="D2170" s="18">
        <v>9</v>
      </c>
      <c r="E2170" s="17" t="s">
        <v>106</v>
      </c>
      <c r="F2170" s="19">
        <v>1416</v>
      </c>
      <c r="G2170" s="20"/>
      <c r="H2170" s="21"/>
      <c r="I2170" s="22"/>
    </row>
    <row r="2171" spans="1:9" ht="26" customHeight="1">
      <c r="A2171" s="2" t="s">
        <v>194</v>
      </c>
      <c r="B2171" s="13" t="s">
        <v>196</v>
      </c>
      <c r="C2171" s="13" t="s">
        <v>97</v>
      </c>
      <c r="D2171" s="13">
        <v>10</v>
      </c>
      <c r="E2171" s="2" t="s">
        <v>107</v>
      </c>
      <c r="F2171" s="7">
        <v>1416</v>
      </c>
      <c r="G2171" s="3"/>
      <c r="H2171" s="4"/>
      <c r="I2171" s="5"/>
    </row>
    <row r="2172" spans="1:9" ht="26" customHeight="1">
      <c r="A2172" s="17" t="s">
        <v>194</v>
      </c>
      <c r="B2172" s="18" t="s">
        <v>196</v>
      </c>
      <c r="C2172" s="18" t="s">
        <v>97</v>
      </c>
      <c r="D2172" s="18">
        <v>11</v>
      </c>
      <c r="E2172" s="17" t="s">
        <v>108</v>
      </c>
      <c r="F2172" s="19">
        <v>1416</v>
      </c>
      <c r="G2172" s="20"/>
      <c r="H2172" s="21"/>
      <c r="I2172" s="22"/>
    </row>
    <row r="2173" spans="1:9" ht="26" customHeight="1">
      <c r="A2173" s="2" t="s">
        <v>194</v>
      </c>
      <c r="B2173" s="13" t="s">
        <v>196</v>
      </c>
      <c r="C2173" s="13" t="s">
        <v>97</v>
      </c>
      <c r="D2173" s="13">
        <v>12</v>
      </c>
      <c r="E2173" s="2" t="s">
        <v>109</v>
      </c>
      <c r="F2173" s="7">
        <v>1437</v>
      </c>
      <c r="G2173" s="3"/>
      <c r="H2173" s="4"/>
      <c r="I2173" s="5"/>
    </row>
    <row r="2174" spans="1:9" ht="26" customHeight="1">
      <c r="A2174" s="17" t="s">
        <v>194</v>
      </c>
      <c r="B2174" s="18" t="s">
        <v>196</v>
      </c>
      <c r="C2174" s="18" t="s">
        <v>97</v>
      </c>
      <c r="D2174" s="18">
        <v>13</v>
      </c>
      <c r="E2174" s="17" t="s">
        <v>110</v>
      </c>
      <c r="F2174" s="19">
        <v>1437</v>
      </c>
      <c r="G2174" s="20"/>
      <c r="H2174" s="21"/>
      <c r="I2174" s="22"/>
    </row>
    <row r="2175" spans="1:9" ht="26" customHeight="1">
      <c r="A2175" s="2" t="s">
        <v>194</v>
      </c>
      <c r="B2175" s="13" t="s">
        <v>196</v>
      </c>
      <c r="C2175" s="13" t="s">
        <v>97</v>
      </c>
      <c r="D2175" s="13">
        <v>14</v>
      </c>
      <c r="E2175" s="2" t="s">
        <v>111</v>
      </c>
      <c r="F2175" s="7">
        <v>1442</v>
      </c>
      <c r="G2175" s="3"/>
      <c r="H2175" s="4"/>
      <c r="I2175" s="5"/>
    </row>
    <row r="2176" spans="1:9" ht="26" customHeight="1">
      <c r="A2176" s="17" t="s">
        <v>194</v>
      </c>
      <c r="B2176" s="18" t="s">
        <v>196</v>
      </c>
      <c r="C2176" s="18" t="s">
        <v>97</v>
      </c>
      <c r="D2176" s="18">
        <v>15</v>
      </c>
      <c r="E2176" s="17" t="s">
        <v>112</v>
      </c>
      <c r="F2176" s="19">
        <v>1442</v>
      </c>
      <c r="G2176" s="20"/>
      <c r="H2176" s="21"/>
      <c r="I2176" s="22"/>
    </row>
    <row r="2177" spans="1:9" ht="26" customHeight="1">
      <c r="A2177" s="2" t="s">
        <v>194</v>
      </c>
      <c r="B2177" s="13" t="s">
        <v>196</v>
      </c>
      <c r="C2177" s="13" t="s">
        <v>97</v>
      </c>
      <c r="D2177" s="13">
        <v>16</v>
      </c>
      <c r="E2177" s="2" t="s">
        <v>113</v>
      </c>
      <c r="F2177" s="7">
        <v>1442</v>
      </c>
      <c r="G2177" s="3"/>
      <c r="H2177" s="4"/>
      <c r="I2177" s="5"/>
    </row>
    <row r="2178" spans="1:9" ht="26" customHeight="1">
      <c r="A2178" s="17" t="s">
        <v>194</v>
      </c>
      <c r="B2178" s="18" t="s">
        <v>196</v>
      </c>
      <c r="C2178" s="18" t="s">
        <v>97</v>
      </c>
      <c r="D2178" s="18">
        <v>17</v>
      </c>
      <c r="E2178" s="17" t="s">
        <v>114</v>
      </c>
      <c r="F2178" s="19">
        <v>1466</v>
      </c>
      <c r="G2178" s="20"/>
      <c r="H2178" s="21"/>
      <c r="I2178" s="22"/>
    </row>
    <row r="2179" spans="1:9" ht="26" customHeight="1">
      <c r="A2179" s="2" t="s">
        <v>194</v>
      </c>
      <c r="B2179" s="13" t="s">
        <v>196</v>
      </c>
      <c r="C2179" s="13" t="s">
        <v>97</v>
      </c>
      <c r="D2179" s="13">
        <v>18</v>
      </c>
      <c r="E2179" s="2" t="s">
        <v>115</v>
      </c>
      <c r="F2179" s="7">
        <v>1466</v>
      </c>
      <c r="G2179" s="3"/>
      <c r="H2179" s="4"/>
      <c r="I2179" s="5"/>
    </row>
    <row r="2180" spans="1:9" ht="26" customHeight="1">
      <c r="A2180" s="17" t="s">
        <v>194</v>
      </c>
      <c r="B2180" s="18" t="s">
        <v>196</v>
      </c>
      <c r="C2180" s="18" t="s">
        <v>97</v>
      </c>
      <c r="D2180" s="18">
        <v>19</v>
      </c>
      <c r="E2180" s="17" t="s">
        <v>116</v>
      </c>
      <c r="F2180" s="19">
        <v>1466</v>
      </c>
      <c r="G2180" s="20"/>
      <c r="H2180" s="21"/>
      <c r="I2180" s="22"/>
    </row>
    <row r="2181" spans="1:9" ht="26" customHeight="1">
      <c r="A2181" s="2" t="s">
        <v>194</v>
      </c>
      <c r="B2181" s="13" t="s">
        <v>196</v>
      </c>
      <c r="C2181" s="13" t="s">
        <v>97</v>
      </c>
      <c r="D2181" s="13">
        <v>20</v>
      </c>
      <c r="E2181" s="2" t="s">
        <v>117</v>
      </c>
      <c r="F2181" s="7">
        <v>1478</v>
      </c>
      <c r="G2181" s="3"/>
      <c r="H2181" s="4"/>
      <c r="I2181" s="5"/>
    </row>
    <row r="2182" spans="1:9" ht="26" customHeight="1">
      <c r="A2182" s="17" t="s">
        <v>194</v>
      </c>
      <c r="B2182" s="18" t="s">
        <v>196</v>
      </c>
      <c r="C2182" s="18" t="s">
        <v>97</v>
      </c>
      <c r="D2182" s="18">
        <v>21</v>
      </c>
      <c r="E2182" s="17" t="s">
        <v>118</v>
      </c>
      <c r="F2182" s="19">
        <v>1487</v>
      </c>
      <c r="G2182" s="20"/>
      <c r="H2182" s="21"/>
      <c r="I2182" s="22"/>
    </row>
    <row r="2183" spans="1:9" ht="26" customHeight="1">
      <c r="A2183" s="2" t="s">
        <v>194</v>
      </c>
      <c r="B2183" s="13" t="s">
        <v>196</v>
      </c>
      <c r="C2183" s="13" t="s">
        <v>97</v>
      </c>
      <c r="D2183" s="13">
        <v>22</v>
      </c>
      <c r="E2183" s="2" t="s">
        <v>119</v>
      </c>
      <c r="F2183" s="7">
        <v>1487</v>
      </c>
      <c r="G2183" s="3"/>
      <c r="H2183" s="4"/>
      <c r="I2183" s="5"/>
    </row>
    <row r="2184" spans="1:9" ht="26" customHeight="1">
      <c r="A2184" s="17" t="s">
        <v>194</v>
      </c>
      <c r="B2184" s="18" t="s">
        <v>196</v>
      </c>
      <c r="C2184" s="18" t="s">
        <v>97</v>
      </c>
      <c r="D2184" s="18">
        <v>23</v>
      </c>
      <c r="E2184" s="17" t="s">
        <v>120</v>
      </c>
      <c r="F2184" s="19">
        <v>1509</v>
      </c>
      <c r="G2184" s="20"/>
      <c r="H2184" s="21"/>
      <c r="I2184" s="22"/>
    </row>
    <row r="2185" spans="1:9" ht="26" customHeight="1">
      <c r="A2185" s="2" t="s">
        <v>194</v>
      </c>
      <c r="B2185" s="13" t="s">
        <v>196</v>
      </c>
      <c r="C2185" s="13" t="s">
        <v>97</v>
      </c>
      <c r="D2185" s="13">
        <v>24</v>
      </c>
      <c r="E2185" s="2" t="s">
        <v>121</v>
      </c>
      <c r="F2185" s="7">
        <v>1509</v>
      </c>
      <c r="G2185" s="3"/>
      <c r="H2185" s="4"/>
      <c r="I2185" s="5"/>
    </row>
    <row r="2186" spans="1:9" ht="26" customHeight="1">
      <c r="A2186" s="17" t="s">
        <v>194</v>
      </c>
      <c r="B2186" s="18" t="s">
        <v>196</v>
      </c>
      <c r="C2186" s="18" t="s">
        <v>97</v>
      </c>
      <c r="D2186" s="18">
        <v>25</v>
      </c>
      <c r="E2186" s="17" t="s">
        <v>122</v>
      </c>
      <c r="F2186" s="19">
        <v>1509</v>
      </c>
      <c r="G2186" s="20"/>
      <c r="H2186" s="21"/>
      <c r="I2186" s="22"/>
    </row>
    <row r="2187" spans="1:9" ht="26" customHeight="1">
      <c r="A2187" s="2" t="s">
        <v>194</v>
      </c>
      <c r="B2187" s="13" t="s">
        <v>196</v>
      </c>
      <c r="C2187" s="13" t="s">
        <v>97</v>
      </c>
      <c r="D2187" s="13">
        <v>26</v>
      </c>
      <c r="E2187" s="2" t="s">
        <v>123</v>
      </c>
      <c r="F2187" s="7">
        <v>1534</v>
      </c>
      <c r="G2187" s="3"/>
      <c r="H2187" s="4"/>
      <c r="I2187" s="5"/>
    </row>
    <row r="2188" spans="1:9" ht="26" customHeight="1">
      <c r="A2188" s="17" t="s">
        <v>194</v>
      </c>
      <c r="B2188" s="18" t="s">
        <v>196</v>
      </c>
      <c r="C2188" s="18" t="s">
        <v>97</v>
      </c>
      <c r="D2188" s="18">
        <v>27</v>
      </c>
      <c r="E2188" s="17" t="s">
        <v>124</v>
      </c>
      <c r="F2188" s="19">
        <v>1634</v>
      </c>
      <c r="G2188" s="20"/>
      <c r="H2188" s="21"/>
      <c r="I2188" s="22"/>
    </row>
    <row r="2189" spans="1:9" ht="26" customHeight="1">
      <c r="A2189" s="2" t="s">
        <v>194</v>
      </c>
      <c r="B2189" s="13" t="s">
        <v>196</v>
      </c>
      <c r="C2189" s="13" t="s">
        <v>97</v>
      </c>
      <c r="D2189" s="13">
        <v>28</v>
      </c>
      <c r="E2189" s="2" t="s">
        <v>125</v>
      </c>
      <c r="F2189" s="7">
        <v>1810</v>
      </c>
      <c r="G2189" s="3"/>
      <c r="H2189" s="4"/>
      <c r="I2189" s="5"/>
    </row>
    <row r="2190" spans="1:9" ht="26" customHeight="1">
      <c r="A2190" s="17" t="s">
        <v>194</v>
      </c>
      <c r="B2190" s="18" t="s">
        <v>196</v>
      </c>
      <c r="C2190" s="18" t="s">
        <v>97</v>
      </c>
      <c r="D2190" s="18">
        <v>29</v>
      </c>
      <c r="E2190" s="17" t="s">
        <v>126</v>
      </c>
      <c r="F2190" s="19">
        <v>1885</v>
      </c>
      <c r="G2190" s="20"/>
      <c r="H2190" s="21"/>
      <c r="I2190" s="22"/>
    </row>
    <row r="2191" spans="1:9" ht="26" customHeight="1">
      <c r="A2191" s="2" t="s">
        <v>194</v>
      </c>
      <c r="B2191" s="13" t="s">
        <v>196</v>
      </c>
      <c r="C2191" s="13" t="s">
        <v>97</v>
      </c>
      <c r="D2191" s="13">
        <v>30</v>
      </c>
      <c r="E2191" s="2" t="s">
        <v>127</v>
      </c>
      <c r="F2191" s="7">
        <v>1885</v>
      </c>
      <c r="G2191" s="3"/>
      <c r="H2191" s="4"/>
      <c r="I2191" s="5"/>
    </row>
    <row r="2192" spans="1:9" ht="26" customHeight="1">
      <c r="A2192" s="17" t="s">
        <v>194</v>
      </c>
      <c r="B2192" s="18" t="s">
        <v>196</v>
      </c>
      <c r="C2192" s="18" t="s">
        <v>128</v>
      </c>
      <c r="D2192" s="18">
        <v>31</v>
      </c>
      <c r="E2192" s="17" t="s">
        <v>129</v>
      </c>
      <c r="F2192" s="19">
        <v>1042</v>
      </c>
      <c r="G2192" s="20"/>
      <c r="H2192" s="21"/>
      <c r="I2192" s="22"/>
    </row>
    <row r="2193" spans="1:9" ht="26" customHeight="1">
      <c r="A2193" s="2" t="s">
        <v>194</v>
      </c>
      <c r="B2193" s="13" t="s">
        <v>196</v>
      </c>
      <c r="C2193" s="13" t="s">
        <v>128</v>
      </c>
      <c r="D2193" s="13">
        <v>32</v>
      </c>
      <c r="E2193" s="2" t="s">
        <v>130</v>
      </c>
      <c r="F2193" s="7">
        <v>1057</v>
      </c>
      <c r="G2193" s="3"/>
      <c r="H2193" s="4"/>
      <c r="I2193" s="5"/>
    </row>
    <row r="2194" spans="1:9" ht="26" customHeight="1">
      <c r="A2194" s="17" t="s">
        <v>194</v>
      </c>
      <c r="B2194" s="18" t="s">
        <v>196</v>
      </c>
      <c r="C2194" s="18" t="s">
        <v>128</v>
      </c>
      <c r="D2194" s="18">
        <v>33</v>
      </c>
      <c r="E2194" s="17" t="s">
        <v>131</v>
      </c>
      <c r="F2194" s="19">
        <v>1057</v>
      </c>
      <c r="G2194" s="20"/>
      <c r="H2194" s="21"/>
      <c r="I2194" s="22"/>
    </row>
    <row r="2195" spans="1:9" ht="26" customHeight="1">
      <c r="A2195" s="2" t="s">
        <v>194</v>
      </c>
      <c r="B2195" s="13" t="s">
        <v>196</v>
      </c>
      <c r="C2195" s="13" t="s">
        <v>128</v>
      </c>
      <c r="D2195" s="13">
        <v>34</v>
      </c>
      <c r="E2195" s="2" t="s">
        <v>132</v>
      </c>
      <c r="F2195" s="7">
        <v>1067</v>
      </c>
      <c r="G2195" s="3"/>
      <c r="H2195" s="4"/>
      <c r="I2195" s="5"/>
    </row>
    <row r="2196" spans="1:9" ht="26" customHeight="1">
      <c r="A2196" s="17" t="s">
        <v>194</v>
      </c>
      <c r="B2196" s="18" t="s">
        <v>196</v>
      </c>
      <c r="C2196" s="18" t="s">
        <v>128</v>
      </c>
      <c r="D2196" s="18">
        <v>35</v>
      </c>
      <c r="E2196" s="17" t="s">
        <v>133</v>
      </c>
      <c r="F2196" s="19">
        <v>1282</v>
      </c>
      <c r="G2196" s="20"/>
      <c r="H2196" s="21"/>
      <c r="I2196" s="22"/>
    </row>
    <row r="2197" spans="1:9" ht="26" customHeight="1">
      <c r="A2197" s="2" t="s">
        <v>194</v>
      </c>
      <c r="B2197" s="13" t="s">
        <v>196</v>
      </c>
      <c r="C2197" s="13" t="s">
        <v>128</v>
      </c>
      <c r="D2197" s="13">
        <v>36</v>
      </c>
      <c r="E2197" s="2" t="s">
        <v>134</v>
      </c>
      <c r="F2197" s="7">
        <v>1327</v>
      </c>
      <c r="G2197" s="3"/>
      <c r="H2197" s="4"/>
      <c r="I2197" s="5"/>
    </row>
    <row r="2198" spans="1:9" ht="26" customHeight="1">
      <c r="A2198" s="17" t="s">
        <v>194</v>
      </c>
      <c r="B2198" s="18" t="s">
        <v>196</v>
      </c>
      <c r="C2198" s="18" t="s">
        <v>128</v>
      </c>
      <c r="D2198" s="18">
        <v>37</v>
      </c>
      <c r="E2198" s="17" t="s">
        <v>135</v>
      </c>
      <c r="F2198" s="19">
        <v>1638</v>
      </c>
      <c r="G2198" s="20"/>
      <c r="H2198" s="21"/>
      <c r="I2198" s="22"/>
    </row>
    <row r="2199" spans="1:9" ht="26" customHeight="1">
      <c r="A2199" s="2" t="s">
        <v>194</v>
      </c>
      <c r="B2199" s="13" t="s">
        <v>196</v>
      </c>
      <c r="C2199" s="13" t="s">
        <v>128</v>
      </c>
      <c r="D2199" s="13">
        <v>38</v>
      </c>
      <c r="E2199" s="2" t="s">
        <v>136</v>
      </c>
      <c r="F2199" s="7">
        <v>1733</v>
      </c>
      <c r="G2199" s="3"/>
      <c r="H2199" s="4"/>
      <c r="I2199" s="5"/>
    </row>
    <row r="2200" spans="1:9" ht="26" customHeight="1">
      <c r="A2200" s="17" t="s">
        <v>194</v>
      </c>
      <c r="B2200" s="18" t="s">
        <v>196</v>
      </c>
      <c r="C2200" s="18" t="s">
        <v>128</v>
      </c>
      <c r="D2200" s="18">
        <v>39</v>
      </c>
      <c r="E2200" s="17" t="s">
        <v>137</v>
      </c>
      <c r="F2200" s="19">
        <v>1778</v>
      </c>
      <c r="G2200" s="20"/>
      <c r="H2200" s="21"/>
      <c r="I2200" s="22"/>
    </row>
    <row r="2201" spans="1:9" ht="26" customHeight="1">
      <c r="A2201" s="2" t="s">
        <v>194</v>
      </c>
      <c r="B2201" s="13" t="s">
        <v>196</v>
      </c>
      <c r="C2201" s="13" t="s">
        <v>128</v>
      </c>
      <c r="D2201" s="13">
        <v>40</v>
      </c>
      <c r="E2201" s="2" t="s">
        <v>138</v>
      </c>
      <c r="F2201" s="7">
        <v>1828</v>
      </c>
      <c r="G2201" s="3"/>
      <c r="H2201" s="4"/>
      <c r="I2201" s="5"/>
    </row>
    <row r="2202" spans="1:9" ht="26" customHeight="1">
      <c r="A2202" s="17" t="s">
        <v>194</v>
      </c>
      <c r="B2202" s="18" t="s">
        <v>196</v>
      </c>
      <c r="C2202" s="18" t="s">
        <v>128</v>
      </c>
      <c r="D2202" s="18">
        <v>41</v>
      </c>
      <c r="E2202" s="17" t="s">
        <v>139</v>
      </c>
      <c r="F2202" s="19">
        <v>1943</v>
      </c>
      <c r="G2202" s="20"/>
      <c r="H2202" s="21"/>
      <c r="I2202" s="22"/>
    </row>
    <row r="2203" spans="1:9" ht="26" customHeight="1">
      <c r="A2203" s="2" t="s">
        <v>194</v>
      </c>
      <c r="B2203" s="13" t="s">
        <v>196</v>
      </c>
      <c r="C2203" s="13" t="s">
        <v>128</v>
      </c>
      <c r="D2203" s="13">
        <v>42</v>
      </c>
      <c r="E2203" s="2" t="s">
        <v>140</v>
      </c>
      <c r="F2203" s="7">
        <v>2133</v>
      </c>
      <c r="G2203" s="3"/>
      <c r="H2203" s="4"/>
      <c r="I2203" s="5"/>
    </row>
    <row r="2204" spans="1:9" ht="26" customHeight="1">
      <c r="A2204" s="17" t="s">
        <v>194</v>
      </c>
      <c r="B2204" s="18" t="s">
        <v>196</v>
      </c>
      <c r="C2204" s="18" t="s">
        <v>128</v>
      </c>
      <c r="D2204" s="18">
        <v>43</v>
      </c>
      <c r="E2204" s="17" t="s">
        <v>141</v>
      </c>
      <c r="F2204" s="19">
        <v>2133</v>
      </c>
      <c r="G2204" s="20"/>
      <c r="H2204" s="21"/>
      <c r="I2204" s="22"/>
    </row>
    <row r="2205" spans="1:9" ht="26" customHeight="1">
      <c r="A2205" s="2" t="s">
        <v>194</v>
      </c>
      <c r="B2205" s="13" t="s">
        <v>196</v>
      </c>
      <c r="C2205" s="13" t="s">
        <v>128</v>
      </c>
      <c r="D2205" s="13">
        <v>44</v>
      </c>
      <c r="E2205" s="2" t="s">
        <v>142</v>
      </c>
      <c r="F2205" s="7">
        <v>2159</v>
      </c>
      <c r="G2205" s="3"/>
      <c r="H2205" s="4"/>
      <c r="I2205" s="5"/>
    </row>
    <row r="2206" spans="1:9" ht="26" customHeight="1">
      <c r="A2206" s="17" t="s">
        <v>194</v>
      </c>
      <c r="B2206" s="18" t="s">
        <v>196</v>
      </c>
      <c r="C2206" s="18" t="s">
        <v>128</v>
      </c>
      <c r="D2206" s="18">
        <v>45</v>
      </c>
      <c r="E2206" s="17" t="s">
        <v>143</v>
      </c>
      <c r="F2206" s="19">
        <v>2184</v>
      </c>
      <c r="G2206" s="20"/>
      <c r="H2206" s="21"/>
      <c r="I2206" s="22"/>
    </row>
    <row r="2207" spans="1:9" ht="26" customHeight="1">
      <c r="A2207" s="2" t="s">
        <v>194</v>
      </c>
      <c r="B2207" s="13" t="s">
        <v>196</v>
      </c>
      <c r="C2207" s="13" t="s">
        <v>128</v>
      </c>
      <c r="D2207" s="13">
        <v>46</v>
      </c>
      <c r="E2207" s="2" t="s">
        <v>144</v>
      </c>
      <c r="F2207" s="7">
        <v>2184</v>
      </c>
      <c r="G2207" s="3"/>
      <c r="H2207" s="4"/>
      <c r="I2207" s="5"/>
    </row>
    <row r="2208" spans="1:9" ht="26" customHeight="1">
      <c r="A2208" s="17" t="s">
        <v>194</v>
      </c>
      <c r="B2208" s="18" t="s">
        <v>196</v>
      </c>
      <c r="C2208" s="18" t="s">
        <v>128</v>
      </c>
      <c r="D2208" s="18">
        <v>47</v>
      </c>
      <c r="E2208" s="17" t="s">
        <v>145</v>
      </c>
      <c r="F2208" s="19">
        <v>2229</v>
      </c>
      <c r="G2208" s="20"/>
      <c r="H2208" s="21"/>
      <c r="I2208" s="22"/>
    </row>
    <row r="2209" spans="1:9" ht="26" customHeight="1">
      <c r="A2209" s="2" t="s">
        <v>194</v>
      </c>
      <c r="B2209" s="13" t="s">
        <v>196</v>
      </c>
      <c r="C2209" s="13" t="s">
        <v>128</v>
      </c>
      <c r="D2209" s="13">
        <v>48</v>
      </c>
      <c r="E2209" s="2" t="s">
        <v>146</v>
      </c>
      <c r="F2209" s="7">
        <v>2254</v>
      </c>
      <c r="G2209" s="3"/>
      <c r="H2209" s="4"/>
      <c r="I2209" s="5"/>
    </row>
    <row r="2210" spans="1:9" ht="26" customHeight="1">
      <c r="A2210" s="17" t="s">
        <v>194</v>
      </c>
      <c r="B2210" s="18" t="s">
        <v>197</v>
      </c>
      <c r="C2210" s="18" t="s">
        <v>97</v>
      </c>
      <c r="D2210" s="18">
        <v>1</v>
      </c>
      <c r="E2210" s="17" t="s">
        <v>98</v>
      </c>
      <c r="F2210" s="19">
        <v>2383</v>
      </c>
      <c r="G2210" s="20"/>
      <c r="H2210" s="21"/>
      <c r="I2210" s="22"/>
    </row>
    <row r="2211" spans="1:9" ht="26" customHeight="1">
      <c r="A2211" s="2" t="s">
        <v>194</v>
      </c>
      <c r="B2211" s="13" t="s">
        <v>197</v>
      </c>
      <c r="C2211" s="13" t="s">
        <v>97</v>
      </c>
      <c r="D2211" s="13">
        <v>2</v>
      </c>
      <c r="E2211" s="2" t="s">
        <v>99</v>
      </c>
      <c r="F2211" s="7">
        <v>2381</v>
      </c>
      <c r="G2211" s="3"/>
      <c r="H2211" s="4"/>
      <c r="I2211" s="5"/>
    </row>
    <row r="2212" spans="1:9" ht="26" customHeight="1">
      <c r="A2212" s="17" t="s">
        <v>194</v>
      </c>
      <c r="B2212" s="18" t="s">
        <v>197</v>
      </c>
      <c r="C2212" s="18" t="s">
        <v>97</v>
      </c>
      <c r="D2212" s="18">
        <v>3</v>
      </c>
      <c r="E2212" s="17" t="s">
        <v>100</v>
      </c>
      <c r="F2212" s="19">
        <v>2639</v>
      </c>
      <c r="G2212" s="20"/>
      <c r="H2212" s="21"/>
      <c r="I2212" s="22"/>
    </row>
    <row r="2213" spans="1:9" ht="26" customHeight="1">
      <c r="A2213" s="2" t="s">
        <v>194</v>
      </c>
      <c r="B2213" s="13" t="s">
        <v>197</v>
      </c>
      <c r="C2213" s="13" t="s">
        <v>97</v>
      </c>
      <c r="D2213" s="13">
        <v>4</v>
      </c>
      <c r="E2213" s="2" t="s">
        <v>101</v>
      </c>
      <c r="F2213" s="7">
        <v>2700</v>
      </c>
      <c r="G2213" s="3"/>
      <c r="H2213" s="4"/>
      <c r="I2213" s="5"/>
    </row>
    <row r="2214" spans="1:9" ht="26" customHeight="1">
      <c r="A2214" s="17" t="s">
        <v>194</v>
      </c>
      <c r="B2214" s="18" t="s">
        <v>197</v>
      </c>
      <c r="C2214" s="18" t="s">
        <v>97</v>
      </c>
      <c r="D2214" s="18">
        <v>5</v>
      </c>
      <c r="E2214" s="17" t="s">
        <v>102</v>
      </c>
      <c r="F2214" s="19">
        <v>2700</v>
      </c>
      <c r="G2214" s="20"/>
      <c r="H2214" s="21"/>
      <c r="I2214" s="22"/>
    </row>
    <row r="2215" spans="1:9" ht="26" customHeight="1">
      <c r="A2215" s="2" t="s">
        <v>194</v>
      </c>
      <c r="B2215" s="13" t="s">
        <v>197</v>
      </c>
      <c r="C2215" s="13" t="s">
        <v>97</v>
      </c>
      <c r="D2215" s="13">
        <v>6</v>
      </c>
      <c r="E2215" s="2" t="s">
        <v>103</v>
      </c>
      <c r="F2215" s="7">
        <v>2714</v>
      </c>
      <c r="G2215" s="3"/>
      <c r="H2215" s="4"/>
      <c r="I2215" s="5"/>
    </row>
    <row r="2216" spans="1:9" ht="26" customHeight="1">
      <c r="A2216" s="17" t="s">
        <v>194</v>
      </c>
      <c r="B2216" s="18" t="s">
        <v>197</v>
      </c>
      <c r="C2216" s="18" t="s">
        <v>97</v>
      </c>
      <c r="D2216" s="18">
        <v>7</v>
      </c>
      <c r="E2216" s="17" t="s">
        <v>104</v>
      </c>
      <c r="F2216" s="19">
        <v>2714</v>
      </c>
      <c r="G2216" s="20"/>
      <c r="H2216" s="21"/>
      <c r="I2216" s="22"/>
    </row>
    <row r="2217" spans="1:9" ht="26" customHeight="1">
      <c r="A2217" s="2" t="s">
        <v>194</v>
      </c>
      <c r="B2217" s="13" t="s">
        <v>197</v>
      </c>
      <c r="C2217" s="13" t="s">
        <v>97</v>
      </c>
      <c r="D2217" s="13">
        <v>8</v>
      </c>
      <c r="E2217" s="2" t="s">
        <v>105</v>
      </c>
      <c r="F2217" s="7">
        <v>2714</v>
      </c>
      <c r="G2217" s="3"/>
      <c r="H2217" s="4"/>
      <c r="I2217" s="5"/>
    </row>
    <row r="2218" spans="1:9" ht="26" customHeight="1">
      <c r="A2218" s="17" t="s">
        <v>194</v>
      </c>
      <c r="B2218" s="18" t="s">
        <v>197</v>
      </c>
      <c r="C2218" s="18" t="s">
        <v>97</v>
      </c>
      <c r="D2218" s="18">
        <v>9</v>
      </c>
      <c r="E2218" s="17" t="s">
        <v>106</v>
      </c>
      <c r="F2218" s="19">
        <v>2714</v>
      </c>
      <c r="G2218" s="20"/>
      <c r="H2218" s="21"/>
      <c r="I2218" s="22"/>
    </row>
    <row r="2219" spans="1:9" ht="26" customHeight="1">
      <c r="A2219" s="2" t="s">
        <v>194</v>
      </c>
      <c r="B2219" s="13" t="s">
        <v>197</v>
      </c>
      <c r="C2219" s="13" t="s">
        <v>97</v>
      </c>
      <c r="D2219" s="13">
        <v>10</v>
      </c>
      <c r="E2219" s="2" t="s">
        <v>107</v>
      </c>
      <c r="F2219" s="7">
        <v>2714</v>
      </c>
      <c r="G2219" s="3"/>
      <c r="H2219" s="4"/>
      <c r="I2219" s="5"/>
    </row>
    <row r="2220" spans="1:9" ht="26" customHeight="1">
      <c r="A2220" s="17" t="s">
        <v>194</v>
      </c>
      <c r="B2220" s="18" t="s">
        <v>197</v>
      </c>
      <c r="C2220" s="18" t="s">
        <v>97</v>
      </c>
      <c r="D2220" s="18">
        <v>11</v>
      </c>
      <c r="E2220" s="17" t="s">
        <v>108</v>
      </c>
      <c r="F2220" s="19">
        <v>2714</v>
      </c>
      <c r="G2220" s="20"/>
      <c r="H2220" s="21"/>
      <c r="I2220" s="22"/>
    </row>
    <row r="2221" spans="1:9" ht="26" customHeight="1">
      <c r="A2221" s="2" t="s">
        <v>194</v>
      </c>
      <c r="B2221" s="13" t="s">
        <v>197</v>
      </c>
      <c r="C2221" s="13" t="s">
        <v>97</v>
      </c>
      <c r="D2221" s="13">
        <v>12</v>
      </c>
      <c r="E2221" s="2" t="s">
        <v>109</v>
      </c>
      <c r="F2221" s="7">
        <v>2751</v>
      </c>
      <c r="G2221" s="3"/>
      <c r="H2221" s="4"/>
      <c r="I2221" s="5"/>
    </row>
    <row r="2222" spans="1:9" ht="26" customHeight="1">
      <c r="A2222" s="17" t="s">
        <v>194</v>
      </c>
      <c r="B2222" s="18" t="s">
        <v>197</v>
      </c>
      <c r="C2222" s="18" t="s">
        <v>97</v>
      </c>
      <c r="D2222" s="18">
        <v>13</v>
      </c>
      <c r="E2222" s="17" t="s">
        <v>110</v>
      </c>
      <c r="F2222" s="19">
        <v>2751</v>
      </c>
      <c r="G2222" s="20"/>
      <c r="H2222" s="21"/>
      <c r="I2222" s="22"/>
    </row>
    <row r="2223" spans="1:9" ht="26" customHeight="1">
      <c r="A2223" s="2" t="s">
        <v>194</v>
      </c>
      <c r="B2223" s="13" t="s">
        <v>197</v>
      </c>
      <c r="C2223" s="13" t="s">
        <v>97</v>
      </c>
      <c r="D2223" s="13">
        <v>14</v>
      </c>
      <c r="E2223" s="2" t="s">
        <v>111</v>
      </c>
      <c r="F2223" s="7">
        <v>2760</v>
      </c>
      <c r="G2223" s="3"/>
      <c r="H2223" s="4"/>
      <c r="I2223" s="5"/>
    </row>
    <row r="2224" spans="1:9" ht="26" customHeight="1">
      <c r="A2224" s="17" t="s">
        <v>194</v>
      </c>
      <c r="B2224" s="18" t="s">
        <v>197</v>
      </c>
      <c r="C2224" s="18" t="s">
        <v>97</v>
      </c>
      <c r="D2224" s="18">
        <v>15</v>
      </c>
      <c r="E2224" s="17" t="s">
        <v>112</v>
      </c>
      <c r="F2224" s="19">
        <v>2760</v>
      </c>
      <c r="G2224" s="20"/>
      <c r="H2224" s="21"/>
      <c r="I2224" s="22"/>
    </row>
    <row r="2225" spans="1:9" ht="26" customHeight="1">
      <c r="A2225" s="2" t="s">
        <v>194</v>
      </c>
      <c r="B2225" s="13" t="s">
        <v>197</v>
      </c>
      <c r="C2225" s="13" t="s">
        <v>97</v>
      </c>
      <c r="D2225" s="13">
        <v>16</v>
      </c>
      <c r="E2225" s="2" t="s">
        <v>113</v>
      </c>
      <c r="F2225" s="7">
        <v>2760</v>
      </c>
      <c r="G2225" s="3"/>
      <c r="H2225" s="4"/>
      <c r="I2225" s="5"/>
    </row>
    <row r="2226" spans="1:9" ht="26" customHeight="1">
      <c r="A2226" s="17" t="s">
        <v>194</v>
      </c>
      <c r="B2226" s="18" t="s">
        <v>197</v>
      </c>
      <c r="C2226" s="18" t="s">
        <v>97</v>
      </c>
      <c r="D2226" s="18">
        <v>17</v>
      </c>
      <c r="E2226" s="17" t="s">
        <v>114</v>
      </c>
      <c r="F2226" s="19">
        <v>2806</v>
      </c>
      <c r="G2226" s="20"/>
      <c r="H2226" s="21"/>
      <c r="I2226" s="22"/>
    </row>
    <row r="2227" spans="1:9" ht="26" customHeight="1">
      <c r="A2227" s="2" t="s">
        <v>194</v>
      </c>
      <c r="B2227" s="13" t="s">
        <v>197</v>
      </c>
      <c r="C2227" s="13" t="s">
        <v>97</v>
      </c>
      <c r="D2227" s="13">
        <v>18</v>
      </c>
      <c r="E2227" s="2" t="s">
        <v>115</v>
      </c>
      <c r="F2227" s="7">
        <v>2806</v>
      </c>
      <c r="G2227" s="3"/>
      <c r="H2227" s="4"/>
      <c r="I2227" s="5"/>
    </row>
    <row r="2228" spans="1:9" ht="26" customHeight="1">
      <c r="A2228" s="17" t="s">
        <v>194</v>
      </c>
      <c r="B2228" s="18" t="s">
        <v>197</v>
      </c>
      <c r="C2228" s="18" t="s">
        <v>97</v>
      </c>
      <c r="D2228" s="18">
        <v>19</v>
      </c>
      <c r="E2228" s="17" t="s">
        <v>116</v>
      </c>
      <c r="F2228" s="19">
        <v>2806</v>
      </c>
      <c r="G2228" s="20"/>
      <c r="H2228" s="21"/>
      <c r="I2228" s="22"/>
    </row>
    <row r="2229" spans="1:9" ht="26" customHeight="1">
      <c r="A2229" s="2" t="s">
        <v>194</v>
      </c>
      <c r="B2229" s="13" t="s">
        <v>197</v>
      </c>
      <c r="C2229" s="13" t="s">
        <v>97</v>
      </c>
      <c r="D2229" s="13">
        <v>20</v>
      </c>
      <c r="E2229" s="2" t="s">
        <v>117</v>
      </c>
      <c r="F2229" s="7">
        <v>2827</v>
      </c>
      <c r="G2229" s="3"/>
      <c r="H2229" s="4"/>
      <c r="I2229" s="5"/>
    </row>
    <row r="2230" spans="1:9" ht="26" customHeight="1">
      <c r="A2230" s="17" t="s">
        <v>194</v>
      </c>
      <c r="B2230" s="18" t="s">
        <v>197</v>
      </c>
      <c r="C2230" s="18" t="s">
        <v>97</v>
      </c>
      <c r="D2230" s="18">
        <v>21</v>
      </c>
      <c r="E2230" s="17" t="s">
        <v>118</v>
      </c>
      <c r="F2230" s="19">
        <v>2844</v>
      </c>
      <c r="G2230" s="20"/>
      <c r="H2230" s="21"/>
      <c r="I2230" s="22"/>
    </row>
    <row r="2231" spans="1:9" ht="26" customHeight="1">
      <c r="A2231" s="2" t="s">
        <v>194</v>
      </c>
      <c r="B2231" s="13" t="s">
        <v>197</v>
      </c>
      <c r="C2231" s="13" t="s">
        <v>97</v>
      </c>
      <c r="D2231" s="13">
        <v>22</v>
      </c>
      <c r="E2231" s="2" t="s">
        <v>119</v>
      </c>
      <c r="F2231" s="7">
        <v>2844</v>
      </c>
      <c r="G2231" s="3"/>
      <c r="H2231" s="4"/>
      <c r="I2231" s="5"/>
    </row>
    <row r="2232" spans="1:9" ht="26" customHeight="1">
      <c r="A2232" s="17" t="s">
        <v>194</v>
      </c>
      <c r="B2232" s="18" t="s">
        <v>197</v>
      </c>
      <c r="C2232" s="18" t="s">
        <v>97</v>
      </c>
      <c r="D2232" s="18">
        <v>23</v>
      </c>
      <c r="E2232" s="17" t="s">
        <v>120</v>
      </c>
      <c r="F2232" s="19">
        <v>2886</v>
      </c>
      <c r="G2232" s="20"/>
      <c r="H2232" s="21"/>
      <c r="I2232" s="22"/>
    </row>
    <row r="2233" spans="1:9" ht="26" customHeight="1">
      <c r="A2233" s="2" t="s">
        <v>194</v>
      </c>
      <c r="B2233" s="13" t="s">
        <v>197</v>
      </c>
      <c r="C2233" s="13" t="s">
        <v>97</v>
      </c>
      <c r="D2233" s="13">
        <v>24</v>
      </c>
      <c r="E2233" s="2" t="s">
        <v>121</v>
      </c>
      <c r="F2233" s="7">
        <v>2886</v>
      </c>
      <c r="G2233" s="3"/>
      <c r="H2233" s="4"/>
      <c r="I2233" s="5"/>
    </row>
    <row r="2234" spans="1:9" ht="26" customHeight="1">
      <c r="A2234" s="17" t="s">
        <v>194</v>
      </c>
      <c r="B2234" s="18" t="s">
        <v>197</v>
      </c>
      <c r="C2234" s="18" t="s">
        <v>97</v>
      </c>
      <c r="D2234" s="18">
        <v>25</v>
      </c>
      <c r="E2234" s="17" t="s">
        <v>122</v>
      </c>
      <c r="F2234" s="19">
        <v>2886</v>
      </c>
      <c r="G2234" s="20"/>
      <c r="H2234" s="21"/>
      <c r="I2234" s="22"/>
    </row>
    <row r="2235" spans="1:9" ht="26" customHeight="1">
      <c r="A2235" s="2" t="s">
        <v>194</v>
      </c>
      <c r="B2235" s="13" t="s">
        <v>197</v>
      </c>
      <c r="C2235" s="13" t="s">
        <v>97</v>
      </c>
      <c r="D2235" s="13">
        <v>26</v>
      </c>
      <c r="E2235" s="2" t="s">
        <v>123</v>
      </c>
      <c r="F2235" s="7">
        <v>2933</v>
      </c>
      <c r="G2235" s="3"/>
      <c r="H2235" s="4"/>
      <c r="I2235" s="5"/>
    </row>
    <row r="2236" spans="1:9" ht="26" customHeight="1">
      <c r="A2236" s="17" t="s">
        <v>194</v>
      </c>
      <c r="B2236" s="18" t="s">
        <v>197</v>
      </c>
      <c r="C2236" s="18" t="s">
        <v>97</v>
      </c>
      <c r="D2236" s="18">
        <v>27</v>
      </c>
      <c r="E2236" s="17" t="s">
        <v>124</v>
      </c>
      <c r="F2236" s="19">
        <v>3119</v>
      </c>
      <c r="G2236" s="20"/>
      <c r="H2236" s="21"/>
      <c r="I2236" s="22"/>
    </row>
    <row r="2237" spans="1:9" ht="26" customHeight="1">
      <c r="A2237" s="2" t="s">
        <v>194</v>
      </c>
      <c r="B2237" s="13" t="s">
        <v>197</v>
      </c>
      <c r="C2237" s="13" t="s">
        <v>97</v>
      </c>
      <c r="D2237" s="13">
        <v>28</v>
      </c>
      <c r="E2237" s="2" t="s">
        <v>125</v>
      </c>
      <c r="F2237" s="7">
        <v>3445</v>
      </c>
      <c r="G2237" s="3"/>
      <c r="H2237" s="4"/>
      <c r="I2237" s="5"/>
    </row>
    <row r="2238" spans="1:9" ht="26" customHeight="1">
      <c r="A2238" s="17" t="s">
        <v>194</v>
      </c>
      <c r="B2238" s="18" t="s">
        <v>197</v>
      </c>
      <c r="C2238" s="18" t="s">
        <v>97</v>
      </c>
      <c r="D2238" s="18">
        <v>29</v>
      </c>
      <c r="E2238" s="17" t="s">
        <v>126</v>
      </c>
      <c r="F2238" s="19">
        <v>3584</v>
      </c>
      <c r="G2238" s="20"/>
      <c r="H2238" s="21"/>
      <c r="I2238" s="22"/>
    </row>
    <row r="2239" spans="1:9" ht="26" customHeight="1">
      <c r="A2239" s="2" t="s">
        <v>194</v>
      </c>
      <c r="B2239" s="13" t="s">
        <v>197</v>
      </c>
      <c r="C2239" s="13" t="s">
        <v>97</v>
      </c>
      <c r="D2239" s="13">
        <v>30</v>
      </c>
      <c r="E2239" s="2" t="s">
        <v>127</v>
      </c>
      <c r="F2239" s="7">
        <v>3584</v>
      </c>
      <c r="G2239" s="3"/>
      <c r="H2239" s="4"/>
      <c r="I2239" s="5"/>
    </row>
    <row r="2240" spans="1:9" ht="26" customHeight="1">
      <c r="A2240" s="17" t="s">
        <v>194</v>
      </c>
      <c r="B2240" s="18" t="s">
        <v>197</v>
      </c>
      <c r="C2240" s="18" t="s">
        <v>128</v>
      </c>
      <c r="D2240" s="18">
        <v>31</v>
      </c>
      <c r="E2240" s="17" t="s">
        <v>129</v>
      </c>
      <c r="F2240" s="19">
        <v>1937</v>
      </c>
      <c r="G2240" s="20"/>
      <c r="H2240" s="21"/>
      <c r="I2240" s="22"/>
    </row>
    <row r="2241" spans="1:9" ht="26" customHeight="1">
      <c r="A2241" s="2" t="s">
        <v>194</v>
      </c>
      <c r="B2241" s="13" t="s">
        <v>197</v>
      </c>
      <c r="C2241" s="13" t="s">
        <v>128</v>
      </c>
      <c r="D2241" s="13">
        <v>32</v>
      </c>
      <c r="E2241" s="2" t="s">
        <v>130</v>
      </c>
      <c r="F2241" s="7">
        <v>1965</v>
      </c>
      <c r="G2241" s="3"/>
      <c r="H2241" s="4"/>
      <c r="I2241" s="5"/>
    </row>
    <row r="2242" spans="1:9" ht="26" customHeight="1">
      <c r="A2242" s="17" t="s">
        <v>194</v>
      </c>
      <c r="B2242" s="18" t="s">
        <v>197</v>
      </c>
      <c r="C2242" s="18" t="s">
        <v>128</v>
      </c>
      <c r="D2242" s="18">
        <v>33</v>
      </c>
      <c r="E2242" s="17" t="s">
        <v>131</v>
      </c>
      <c r="F2242" s="19">
        <v>1965</v>
      </c>
      <c r="G2242" s="20"/>
      <c r="H2242" s="21"/>
      <c r="I2242" s="22"/>
    </row>
    <row r="2243" spans="1:9" ht="26" customHeight="1">
      <c r="A2243" s="2" t="s">
        <v>194</v>
      </c>
      <c r="B2243" s="13" t="s">
        <v>197</v>
      </c>
      <c r="C2243" s="13" t="s">
        <v>128</v>
      </c>
      <c r="D2243" s="13">
        <v>34</v>
      </c>
      <c r="E2243" s="2" t="s">
        <v>132</v>
      </c>
      <c r="F2243" s="7">
        <v>1984</v>
      </c>
      <c r="G2243" s="3"/>
      <c r="H2243" s="4"/>
      <c r="I2243" s="5"/>
    </row>
    <row r="2244" spans="1:9" ht="26" customHeight="1">
      <c r="A2244" s="17" t="s">
        <v>194</v>
      </c>
      <c r="B2244" s="18" t="s">
        <v>197</v>
      </c>
      <c r="C2244" s="18" t="s">
        <v>128</v>
      </c>
      <c r="D2244" s="18">
        <v>35</v>
      </c>
      <c r="E2244" s="17" t="s">
        <v>133</v>
      </c>
      <c r="F2244" s="19">
        <v>2384</v>
      </c>
      <c r="G2244" s="20"/>
      <c r="H2244" s="21"/>
      <c r="I2244" s="22"/>
    </row>
    <row r="2245" spans="1:9" ht="26" customHeight="1">
      <c r="A2245" s="2" t="s">
        <v>194</v>
      </c>
      <c r="B2245" s="13" t="s">
        <v>197</v>
      </c>
      <c r="C2245" s="13" t="s">
        <v>128</v>
      </c>
      <c r="D2245" s="13">
        <v>36</v>
      </c>
      <c r="E2245" s="2" t="s">
        <v>134</v>
      </c>
      <c r="F2245" s="7">
        <v>2468</v>
      </c>
      <c r="G2245" s="3"/>
      <c r="H2245" s="4"/>
      <c r="I2245" s="5"/>
    </row>
    <row r="2246" spans="1:9" ht="26" customHeight="1">
      <c r="A2246" s="17" t="s">
        <v>194</v>
      </c>
      <c r="B2246" s="18" t="s">
        <v>197</v>
      </c>
      <c r="C2246" s="18" t="s">
        <v>128</v>
      </c>
      <c r="D2246" s="18">
        <v>37</v>
      </c>
      <c r="E2246" s="17" t="s">
        <v>135</v>
      </c>
      <c r="F2246" s="19">
        <v>3045</v>
      </c>
      <c r="G2246" s="20"/>
      <c r="H2246" s="21"/>
      <c r="I2246" s="22"/>
    </row>
    <row r="2247" spans="1:9" ht="26" customHeight="1">
      <c r="A2247" s="2" t="s">
        <v>194</v>
      </c>
      <c r="B2247" s="13" t="s">
        <v>197</v>
      </c>
      <c r="C2247" s="13" t="s">
        <v>128</v>
      </c>
      <c r="D2247" s="13">
        <v>38</v>
      </c>
      <c r="E2247" s="2" t="s">
        <v>136</v>
      </c>
      <c r="F2247" s="7">
        <v>3222</v>
      </c>
      <c r="G2247" s="3"/>
      <c r="H2247" s="4"/>
      <c r="I2247" s="5"/>
    </row>
    <row r="2248" spans="1:9" ht="26" customHeight="1">
      <c r="A2248" s="17" t="s">
        <v>194</v>
      </c>
      <c r="B2248" s="18" t="s">
        <v>197</v>
      </c>
      <c r="C2248" s="18" t="s">
        <v>128</v>
      </c>
      <c r="D2248" s="18">
        <v>39</v>
      </c>
      <c r="E2248" s="17" t="s">
        <v>137</v>
      </c>
      <c r="F2248" s="19">
        <v>3306</v>
      </c>
      <c r="G2248" s="20"/>
      <c r="H2248" s="21"/>
      <c r="I2248" s="22"/>
    </row>
    <row r="2249" spans="1:9" ht="26" customHeight="1">
      <c r="A2249" s="2" t="s">
        <v>194</v>
      </c>
      <c r="B2249" s="13" t="s">
        <v>197</v>
      </c>
      <c r="C2249" s="13" t="s">
        <v>128</v>
      </c>
      <c r="D2249" s="13">
        <v>40</v>
      </c>
      <c r="E2249" s="2" t="s">
        <v>138</v>
      </c>
      <c r="F2249" s="7">
        <v>3399</v>
      </c>
      <c r="G2249" s="3"/>
      <c r="H2249" s="4"/>
      <c r="I2249" s="5"/>
    </row>
    <row r="2250" spans="1:9" ht="26" customHeight="1">
      <c r="A2250" s="17" t="s">
        <v>194</v>
      </c>
      <c r="B2250" s="18" t="s">
        <v>197</v>
      </c>
      <c r="C2250" s="18" t="s">
        <v>128</v>
      </c>
      <c r="D2250" s="18">
        <v>41</v>
      </c>
      <c r="E2250" s="17" t="s">
        <v>139</v>
      </c>
      <c r="F2250" s="19">
        <v>3613</v>
      </c>
      <c r="G2250" s="20"/>
      <c r="H2250" s="21"/>
      <c r="I2250" s="22"/>
    </row>
    <row r="2251" spans="1:9" ht="26" customHeight="1">
      <c r="A2251" s="2" t="s">
        <v>194</v>
      </c>
      <c r="B2251" s="13" t="s">
        <v>197</v>
      </c>
      <c r="C2251" s="13" t="s">
        <v>128</v>
      </c>
      <c r="D2251" s="13">
        <v>42</v>
      </c>
      <c r="E2251" s="2" t="s">
        <v>140</v>
      </c>
      <c r="F2251" s="7">
        <v>3967</v>
      </c>
      <c r="G2251" s="3"/>
      <c r="H2251" s="4"/>
      <c r="I2251" s="5"/>
    </row>
    <row r="2252" spans="1:9" ht="26" customHeight="1">
      <c r="A2252" s="17" t="s">
        <v>194</v>
      </c>
      <c r="B2252" s="18" t="s">
        <v>197</v>
      </c>
      <c r="C2252" s="18" t="s">
        <v>128</v>
      </c>
      <c r="D2252" s="18">
        <v>43</v>
      </c>
      <c r="E2252" s="17" t="s">
        <v>141</v>
      </c>
      <c r="F2252" s="19">
        <v>3967</v>
      </c>
      <c r="G2252" s="20"/>
      <c r="H2252" s="21"/>
      <c r="I2252" s="22"/>
    </row>
    <row r="2253" spans="1:9" ht="26" customHeight="1">
      <c r="A2253" s="2" t="s">
        <v>194</v>
      </c>
      <c r="B2253" s="13" t="s">
        <v>197</v>
      </c>
      <c r="C2253" s="13" t="s">
        <v>128</v>
      </c>
      <c r="D2253" s="13">
        <v>44</v>
      </c>
      <c r="E2253" s="2" t="s">
        <v>142</v>
      </c>
      <c r="F2253" s="7">
        <v>4014</v>
      </c>
      <c r="G2253" s="3"/>
      <c r="H2253" s="4"/>
      <c r="I2253" s="5"/>
    </row>
    <row r="2254" spans="1:9" ht="26" customHeight="1">
      <c r="A2254" s="17" t="s">
        <v>194</v>
      </c>
      <c r="B2254" s="18" t="s">
        <v>197</v>
      </c>
      <c r="C2254" s="18" t="s">
        <v>128</v>
      </c>
      <c r="D2254" s="18">
        <v>45</v>
      </c>
      <c r="E2254" s="17" t="s">
        <v>143</v>
      </c>
      <c r="F2254" s="19">
        <v>4060</v>
      </c>
      <c r="G2254" s="20"/>
      <c r="H2254" s="21"/>
      <c r="I2254" s="22"/>
    </row>
    <row r="2255" spans="1:9" ht="26" customHeight="1">
      <c r="A2255" s="2" t="s">
        <v>194</v>
      </c>
      <c r="B2255" s="13" t="s">
        <v>197</v>
      </c>
      <c r="C2255" s="13" t="s">
        <v>128</v>
      </c>
      <c r="D2255" s="13">
        <v>46</v>
      </c>
      <c r="E2255" s="2" t="s">
        <v>144</v>
      </c>
      <c r="F2255" s="7">
        <v>4060</v>
      </c>
      <c r="G2255" s="3"/>
      <c r="H2255" s="4"/>
      <c r="I2255" s="5"/>
    </row>
    <row r="2256" spans="1:9" ht="26" customHeight="1">
      <c r="A2256" s="17" t="s">
        <v>194</v>
      </c>
      <c r="B2256" s="18" t="s">
        <v>197</v>
      </c>
      <c r="C2256" s="18" t="s">
        <v>128</v>
      </c>
      <c r="D2256" s="18">
        <v>47</v>
      </c>
      <c r="E2256" s="17" t="s">
        <v>145</v>
      </c>
      <c r="F2256" s="19">
        <v>4144</v>
      </c>
      <c r="G2256" s="20"/>
      <c r="H2256" s="21"/>
      <c r="I2256" s="22"/>
    </row>
    <row r="2257" spans="1:9" ht="26" customHeight="1">
      <c r="A2257" s="2" t="s">
        <v>194</v>
      </c>
      <c r="B2257" s="13" t="s">
        <v>197</v>
      </c>
      <c r="C2257" s="13" t="s">
        <v>128</v>
      </c>
      <c r="D2257" s="13">
        <v>48</v>
      </c>
      <c r="E2257" s="2" t="s">
        <v>146</v>
      </c>
      <c r="F2257" s="7">
        <v>4190</v>
      </c>
      <c r="G2257" s="3"/>
      <c r="H2257" s="4"/>
      <c r="I2257" s="5"/>
    </row>
    <row r="2258" spans="1:9" ht="26" customHeight="1">
      <c r="A2258" s="17" t="s">
        <v>194</v>
      </c>
      <c r="B2258" s="18" t="s">
        <v>198</v>
      </c>
      <c r="C2258" s="18" t="s">
        <v>97</v>
      </c>
      <c r="D2258" s="18">
        <v>1</v>
      </c>
      <c r="E2258" s="17" t="s">
        <v>98</v>
      </c>
      <c r="F2258" s="19">
        <v>1195</v>
      </c>
      <c r="G2258" s="20"/>
      <c r="H2258" s="21"/>
      <c r="I2258" s="22"/>
    </row>
    <row r="2259" spans="1:9" ht="26" customHeight="1">
      <c r="A2259" s="2" t="s">
        <v>194</v>
      </c>
      <c r="B2259" s="13" t="s">
        <v>198</v>
      </c>
      <c r="C2259" s="13" t="s">
        <v>97</v>
      </c>
      <c r="D2259" s="13">
        <v>2</v>
      </c>
      <c r="E2259" s="2" t="s">
        <v>99</v>
      </c>
      <c r="F2259" s="7">
        <v>1194</v>
      </c>
      <c r="G2259" s="3"/>
      <c r="H2259" s="4"/>
      <c r="I2259" s="5"/>
    </row>
    <row r="2260" spans="1:9" ht="26" customHeight="1">
      <c r="A2260" s="17" t="s">
        <v>194</v>
      </c>
      <c r="B2260" s="18" t="s">
        <v>198</v>
      </c>
      <c r="C2260" s="18" t="s">
        <v>97</v>
      </c>
      <c r="D2260" s="18">
        <v>3</v>
      </c>
      <c r="E2260" s="17" t="s">
        <v>100</v>
      </c>
      <c r="F2260" s="19">
        <v>1326</v>
      </c>
      <c r="G2260" s="20"/>
      <c r="H2260" s="21"/>
      <c r="I2260" s="22"/>
    </row>
    <row r="2261" spans="1:9" ht="26" customHeight="1">
      <c r="A2261" s="2" t="s">
        <v>194</v>
      </c>
      <c r="B2261" s="13" t="s">
        <v>198</v>
      </c>
      <c r="C2261" s="13" t="s">
        <v>97</v>
      </c>
      <c r="D2261" s="13">
        <v>4</v>
      </c>
      <c r="E2261" s="2" t="s">
        <v>101</v>
      </c>
      <c r="F2261" s="7">
        <v>1357</v>
      </c>
      <c r="G2261" s="3"/>
      <c r="H2261" s="4"/>
      <c r="I2261" s="5"/>
    </row>
    <row r="2262" spans="1:9" ht="26" customHeight="1">
      <c r="A2262" s="17" t="s">
        <v>194</v>
      </c>
      <c r="B2262" s="18" t="s">
        <v>198</v>
      </c>
      <c r="C2262" s="18" t="s">
        <v>97</v>
      </c>
      <c r="D2262" s="18">
        <v>5</v>
      </c>
      <c r="E2262" s="17" t="s">
        <v>102</v>
      </c>
      <c r="F2262" s="19">
        <v>1357</v>
      </c>
      <c r="G2262" s="20"/>
      <c r="H2262" s="21"/>
      <c r="I2262" s="22"/>
    </row>
    <row r="2263" spans="1:9" ht="26" customHeight="1">
      <c r="A2263" s="2" t="s">
        <v>194</v>
      </c>
      <c r="B2263" s="13" t="s">
        <v>198</v>
      </c>
      <c r="C2263" s="13" t="s">
        <v>97</v>
      </c>
      <c r="D2263" s="13">
        <v>6</v>
      </c>
      <c r="E2263" s="2" t="s">
        <v>103</v>
      </c>
      <c r="F2263" s="7">
        <v>1364</v>
      </c>
      <c r="G2263" s="3"/>
      <c r="H2263" s="4"/>
      <c r="I2263" s="5"/>
    </row>
    <row r="2264" spans="1:9" ht="26" customHeight="1">
      <c r="A2264" s="17" t="s">
        <v>194</v>
      </c>
      <c r="B2264" s="18" t="s">
        <v>198</v>
      </c>
      <c r="C2264" s="18" t="s">
        <v>97</v>
      </c>
      <c r="D2264" s="18">
        <v>7</v>
      </c>
      <c r="E2264" s="17" t="s">
        <v>104</v>
      </c>
      <c r="F2264" s="19">
        <v>1364</v>
      </c>
      <c r="G2264" s="20"/>
      <c r="H2264" s="21"/>
      <c r="I2264" s="22"/>
    </row>
    <row r="2265" spans="1:9" ht="26" customHeight="1">
      <c r="A2265" s="2" t="s">
        <v>194</v>
      </c>
      <c r="B2265" s="13" t="s">
        <v>198</v>
      </c>
      <c r="C2265" s="13" t="s">
        <v>97</v>
      </c>
      <c r="D2265" s="13">
        <v>8</v>
      </c>
      <c r="E2265" s="2" t="s">
        <v>105</v>
      </c>
      <c r="F2265" s="7">
        <v>1364</v>
      </c>
      <c r="G2265" s="3"/>
      <c r="H2265" s="4"/>
      <c r="I2265" s="5"/>
    </row>
    <row r="2266" spans="1:9" ht="26" customHeight="1">
      <c r="A2266" s="17" t="s">
        <v>194</v>
      </c>
      <c r="B2266" s="18" t="s">
        <v>198</v>
      </c>
      <c r="C2266" s="18" t="s">
        <v>97</v>
      </c>
      <c r="D2266" s="18">
        <v>9</v>
      </c>
      <c r="E2266" s="17" t="s">
        <v>106</v>
      </c>
      <c r="F2266" s="19">
        <v>1364</v>
      </c>
      <c r="G2266" s="20"/>
      <c r="H2266" s="21"/>
      <c r="I2266" s="22"/>
    </row>
    <row r="2267" spans="1:9" ht="26" customHeight="1">
      <c r="A2267" s="2" t="s">
        <v>194</v>
      </c>
      <c r="B2267" s="13" t="s">
        <v>198</v>
      </c>
      <c r="C2267" s="13" t="s">
        <v>97</v>
      </c>
      <c r="D2267" s="13">
        <v>10</v>
      </c>
      <c r="E2267" s="2" t="s">
        <v>107</v>
      </c>
      <c r="F2267" s="7">
        <v>1364</v>
      </c>
      <c r="G2267" s="3"/>
      <c r="H2267" s="4"/>
      <c r="I2267" s="5"/>
    </row>
    <row r="2268" spans="1:9" ht="26" customHeight="1">
      <c r="A2268" s="17" t="s">
        <v>194</v>
      </c>
      <c r="B2268" s="18" t="s">
        <v>198</v>
      </c>
      <c r="C2268" s="18" t="s">
        <v>97</v>
      </c>
      <c r="D2268" s="18">
        <v>11</v>
      </c>
      <c r="E2268" s="17" t="s">
        <v>108</v>
      </c>
      <c r="F2268" s="19">
        <v>1364</v>
      </c>
      <c r="G2268" s="20"/>
      <c r="H2268" s="21"/>
      <c r="I2268" s="22"/>
    </row>
    <row r="2269" spans="1:9" ht="26" customHeight="1">
      <c r="A2269" s="2" t="s">
        <v>194</v>
      </c>
      <c r="B2269" s="13" t="s">
        <v>198</v>
      </c>
      <c r="C2269" s="13" t="s">
        <v>97</v>
      </c>
      <c r="D2269" s="13">
        <v>12</v>
      </c>
      <c r="E2269" s="2" t="s">
        <v>109</v>
      </c>
      <c r="F2269" s="7">
        <v>1383</v>
      </c>
      <c r="G2269" s="3"/>
      <c r="H2269" s="4"/>
      <c r="I2269" s="5"/>
    </row>
    <row r="2270" spans="1:9" ht="26" customHeight="1">
      <c r="A2270" s="17" t="s">
        <v>194</v>
      </c>
      <c r="B2270" s="18" t="s">
        <v>198</v>
      </c>
      <c r="C2270" s="18" t="s">
        <v>97</v>
      </c>
      <c r="D2270" s="18">
        <v>13</v>
      </c>
      <c r="E2270" s="17" t="s">
        <v>110</v>
      </c>
      <c r="F2270" s="19">
        <v>1383</v>
      </c>
      <c r="G2270" s="20"/>
      <c r="H2270" s="21"/>
      <c r="I2270" s="22"/>
    </row>
    <row r="2271" spans="1:9" ht="26" customHeight="1">
      <c r="A2271" s="2" t="s">
        <v>194</v>
      </c>
      <c r="B2271" s="13" t="s">
        <v>198</v>
      </c>
      <c r="C2271" s="13" t="s">
        <v>97</v>
      </c>
      <c r="D2271" s="13">
        <v>14</v>
      </c>
      <c r="E2271" s="2" t="s">
        <v>111</v>
      </c>
      <c r="F2271" s="7">
        <v>1388</v>
      </c>
      <c r="G2271" s="3"/>
      <c r="H2271" s="4"/>
      <c r="I2271" s="5"/>
    </row>
    <row r="2272" spans="1:9" ht="26" customHeight="1">
      <c r="A2272" s="17" t="s">
        <v>194</v>
      </c>
      <c r="B2272" s="18" t="s">
        <v>198</v>
      </c>
      <c r="C2272" s="18" t="s">
        <v>97</v>
      </c>
      <c r="D2272" s="18">
        <v>15</v>
      </c>
      <c r="E2272" s="17" t="s">
        <v>112</v>
      </c>
      <c r="F2272" s="19">
        <v>1388</v>
      </c>
      <c r="G2272" s="20"/>
      <c r="H2272" s="21"/>
      <c r="I2272" s="22"/>
    </row>
    <row r="2273" spans="1:9" ht="26" customHeight="1">
      <c r="A2273" s="2" t="s">
        <v>194</v>
      </c>
      <c r="B2273" s="13" t="s">
        <v>198</v>
      </c>
      <c r="C2273" s="13" t="s">
        <v>97</v>
      </c>
      <c r="D2273" s="13">
        <v>16</v>
      </c>
      <c r="E2273" s="2" t="s">
        <v>113</v>
      </c>
      <c r="F2273" s="7">
        <v>1388</v>
      </c>
      <c r="G2273" s="3"/>
      <c r="H2273" s="4"/>
      <c r="I2273" s="5"/>
    </row>
    <row r="2274" spans="1:9" ht="26" customHeight="1">
      <c r="A2274" s="17" t="s">
        <v>194</v>
      </c>
      <c r="B2274" s="18" t="s">
        <v>198</v>
      </c>
      <c r="C2274" s="18" t="s">
        <v>97</v>
      </c>
      <c r="D2274" s="18">
        <v>17</v>
      </c>
      <c r="E2274" s="17" t="s">
        <v>114</v>
      </c>
      <c r="F2274" s="19">
        <v>1411</v>
      </c>
      <c r="G2274" s="20"/>
      <c r="H2274" s="21"/>
      <c r="I2274" s="22"/>
    </row>
    <row r="2275" spans="1:9" ht="26" customHeight="1">
      <c r="A2275" s="2" t="s">
        <v>194</v>
      </c>
      <c r="B2275" s="13" t="s">
        <v>198</v>
      </c>
      <c r="C2275" s="13" t="s">
        <v>97</v>
      </c>
      <c r="D2275" s="13">
        <v>18</v>
      </c>
      <c r="E2275" s="2" t="s">
        <v>115</v>
      </c>
      <c r="F2275" s="7">
        <v>1411</v>
      </c>
      <c r="G2275" s="3"/>
      <c r="H2275" s="4"/>
      <c r="I2275" s="5"/>
    </row>
    <row r="2276" spans="1:9" ht="26" customHeight="1">
      <c r="A2276" s="17" t="s">
        <v>194</v>
      </c>
      <c r="B2276" s="18" t="s">
        <v>198</v>
      </c>
      <c r="C2276" s="18" t="s">
        <v>97</v>
      </c>
      <c r="D2276" s="18">
        <v>19</v>
      </c>
      <c r="E2276" s="17" t="s">
        <v>116</v>
      </c>
      <c r="F2276" s="19">
        <v>1411</v>
      </c>
      <c r="G2276" s="20"/>
      <c r="H2276" s="21"/>
      <c r="I2276" s="22"/>
    </row>
    <row r="2277" spans="1:9" ht="26" customHeight="1">
      <c r="A2277" s="2" t="s">
        <v>194</v>
      </c>
      <c r="B2277" s="13" t="s">
        <v>198</v>
      </c>
      <c r="C2277" s="13" t="s">
        <v>97</v>
      </c>
      <c r="D2277" s="13">
        <v>20</v>
      </c>
      <c r="E2277" s="2" t="s">
        <v>117</v>
      </c>
      <c r="F2277" s="7">
        <v>1422</v>
      </c>
      <c r="G2277" s="3"/>
      <c r="H2277" s="4"/>
      <c r="I2277" s="5"/>
    </row>
    <row r="2278" spans="1:9" ht="26" customHeight="1">
      <c r="A2278" s="17" t="s">
        <v>194</v>
      </c>
      <c r="B2278" s="18" t="s">
        <v>198</v>
      </c>
      <c r="C2278" s="18" t="s">
        <v>97</v>
      </c>
      <c r="D2278" s="18">
        <v>21</v>
      </c>
      <c r="E2278" s="17" t="s">
        <v>118</v>
      </c>
      <c r="F2278" s="19">
        <v>1430</v>
      </c>
      <c r="G2278" s="20"/>
      <c r="H2278" s="21"/>
      <c r="I2278" s="22"/>
    </row>
    <row r="2279" spans="1:9" ht="26" customHeight="1">
      <c r="A2279" s="2" t="s">
        <v>194</v>
      </c>
      <c r="B2279" s="13" t="s">
        <v>198</v>
      </c>
      <c r="C2279" s="13" t="s">
        <v>97</v>
      </c>
      <c r="D2279" s="13">
        <v>22</v>
      </c>
      <c r="E2279" s="2" t="s">
        <v>119</v>
      </c>
      <c r="F2279" s="7">
        <v>1430</v>
      </c>
      <c r="G2279" s="3"/>
      <c r="H2279" s="4"/>
      <c r="I2279" s="5"/>
    </row>
    <row r="2280" spans="1:9" ht="26" customHeight="1">
      <c r="A2280" s="17" t="s">
        <v>194</v>
      </c>
      <c r="B2280" s="18" t="s">
        <v>198</v>
      </c>
      <c r="C2280" s="18" t="s">
        <v>97</v>
      </c>
      <c r="D2280" s="18">
        <v>23</v>
      </c>
      <c r="E2280" s="17" t="s">
        <v>120</v>
      </c>
      <c r="F2280" s="19">
        <v>1452</v>
      </c>
      <c r="G2280" s="20"/>
      <c r="H2280" s="21"/>
      <c r="I2280" s="22"/>
    </row>
    <row r="2281" spans="1:9" ht="26" customHeight="1">
      <c r="A2281" s="2" t="s">
        <v>194</v>
      </c>
      <c r="B2281" s="13" t="s">
        <v>198</v>
      </c>
      <c r="C2281" s="13" t="s">
        <v>97</v>
      </c>
      <c r="D2281" s="13">
        <v>24</v>
      </c>
      <c r="E2281" s="2" t="s">
        <v>121</v>
      </c>
      <c r="F2281" s="7">
        <v>1452</v>
      </c>
      <c r="G2281" s="3"/>
      <c r="H2281" s="4"/>
      <c r="I2281" s="5"/>
    </row>
    <row r="2282" spans="1:9" ht="26" customHeight="1">
      <c r="A2282" s="17" t="s">
        <v>194</v>
      </c>
      <c r="B2282" s="18" t="s">
        <v>198</v>
      </c>
      <c r="C2282" s="18" t="s">
        <v>97</v>
      </c>
      <c r="D2282" s="18">
        <v>25</v>
      </c>
      <c r="E2282" s="17" t="s">
        <v>122</v>
      </c>
      <c r="F2282" s="19">
        <v>1452</v>
      </c>
      <c r="G2282" s="20"/>
      <c r="H2282" s="21"/>
      <c r="I2282" s="22"/>
    </row>
    <row r="2283" spans="1:9" ht="26" customHeight="1">
      <c r="A2283" s="2" t="s">
        <v>194</v>
      </c>
      <c r="B2283" s="13" t="s">
        <v>198</v>
      </c>
      <c r="C2283" s="13" t="s">
        <v>97</v>
      </c>
      <c r="D2283" s="13">
        <v>26</v>
      </c>
      <c r="E2283" s="2" t="s">
        <v>123</v>
      </c>
      <c r="F2283" s="7">
        <v>1475</v>
      </c>
      <c r="G2283" s="3"/>
      <c r="H2283" s="4"/>
      <c r="I2283" s="5"/>
    </row>
    <row r="2284" spans="1:9" ht="26" customHeight="1">
      <c r="A2284" s="17" t="s">
        <v>194</v>
      </c>
      <c r="B2284" s="18" t="s">
        <v>198</v>
      </c>
      <c r="C2284" s="18" t="s">
        <v>97</v>
      </c>
      <c r="D2284" s="18">
        <v>27</v>
      </c>
      <c r="E2284" s="17" t="s">
        <v>124</v>
      </c>
      <c r="F2284" s="19">
        <v>1570</v>
      </c>
      <c r="G2284" s="20"/>
      <c r="H2284" s="21"/>
      <c r="I2284" s="22"/>
    </row>
    <row r="2285" spans="1:9" ht="26" customHeight="1">
      <c r="A2285" s="2" t="s">
        <v>194</v>
      </c>
      <c r="B2285" s="13" t="s">
        <v>198</v>
      </c>
      <c r="C2285" s="13" t="s">
        <v>97</v>
      </c>
      <c r="D2285" s="13">
        <v>28</v>
      </c>
      <c r="E2285" s="2" t="s">
        <v>125</v>
      </c>
      <c r="F2285" s="7">
        <v>1737</v>
      </c>
      <c r="G2285" s="3"/>
      <c r="H2285" s="4"/>
      <c r="I2285" s="5"/>
    </row>
    <row r="2286" spans="1:9" ht="26" customHeight="1">
      <c r="A2286" s="17" t="s">
        <v>194</v>
      </c>
      <c r="B2286" s="18" t="s">
        <v>198</v>
      </c>
      <c r="C2286" s="18" t="s">
        <v>97</v>
      </c>
      <c r="D2286" s="18">
        <v>29</v>
      </c>
      <c r="E2286" s="17" t="s">
        <v>126</v>
      </c>
      <c r="F2286" s="19">
        <v>1808</v>
      </c>
      <c r="G2286" s="20"/>
      <c r="H2286" s="21"/>
      <c r="I2286" s="22"/>
    </row>
    <row r="2287" spans="1:9" ht="26" customHeight="1">
      <c r="A2287" s="2" t="s">
        <v>194</v>
      </c>
      <c r="B2287" s="13" t="s">
        <v>198</v>
      </c>
      <c r="C2287" s="13" t="s">
        <v>97</v>
      </c>
      <c r="D2287" s="13">
        <v>30</v>
      </c>
      <c r="E2287" s="2" t="s">
        <v>127</v>
      </c>
      <c r="F2287" s="7">
        <v>1808</v>
      </c>
      <c r="G2287" s="3"/>
      <c r="H2287" s="4"/>
      <c r="I2287" s="5"/>
    </row>
    <row r="2288" spans="1:9" ht="26" customHeight="1">
      <c r="A2288" s="17" t="s">
        <v>194</v>
      </c>
      <c r="B2288" s="18" t="s">
        <v>198</v>
      </c>
      <c r="C2288" s="18" t="s">
        <v>128</v>
      </c>
      <c r="D2288" s="18">
        <v>31</v>
      </c>
      <c r="E2288" s="17" t="s">
        <v>129</v>
      </c>
      <c r="F2288" s="19">
        <v>988</v>
      </c>
      <c r="G2288" s="20"/>
      <c r="H2288" s="21"/>
      <c r="I2288" s="22"/>
    </row>
    <row r="2289" spans="1:9" ht="26" customHeight="1">
      <c r="A2289" s="2" t="s">
        <v>194</v>
      </c>
      <c r="B2289" s="13" t="s">
        <v>198</v>
      </c>
      <c r="C2289" s="13" t="s">
        <v>128</v>
      </c>
      <c r="D2289" s="13">
        <v>32</v>
      </c>
      <c r="E2289" s="2" t="s">
        <v>130</v>
      </c>
      <c r="F2289" s="7">
        <v>1003</v>
      </c>
      <c r="G2289" s="3"/>
      <c r="H2289" s="4"/>
      <c r="I2289" s="5"/>
    </row>
    <row r="2290" spans="1:9" ht="26" customHeight="1">
      <c r="A2290" s="17" t="s">
        <v>194</v>
      </c>
      <c r="B2290" s="18" t="s">
        <v>198</v>
      </c>
      <c r="C2290" s="18" t="s">
        <v>128</v>
      </c>
      <c r="D2290" s="18">
        <v>33</v>
      </c>
      <c r="E2290" s="17" t="s">
        <v>131</v>
      </c>
      <c r="F2290" s="19">
        <v>1003</v>
      </c>
      <c r="G2290" s="20"/>
      <c r="H2290" s="21"/>
      <c r="I2290" s="22"/>
    </row>
    <row r="2291" spans="1:9" ht="26" customHeight="1">
      <c r="A2291" s="2" t="s">
        <v>194</v>
      </c>
      <c r="B2291" s="13" t="s">
        <v>198</v>
      </c>
      <c r="C2291" s="13" t="s">
        <v>128</v>
      </c>
      <c r="D2291" s="13">
        <v>34</v>
      </c>
      <c r="E2291" s="2" t="s">
        <v>132</v>
      </c>
      <c r="F2291" s="7">
        <v>1012</v>
      </c>
      <c r="G2291" s="3"/>
      <c r="H2291" s="4"/>
      <c r="I2291" s="5"/>
    </row>
    <row r="2292" spans="1:9" ht="26" customHeight="1">
      <c r="A2292" s="17" t="s">
        <v>194</v>
      </c>
      <c r="B2292" s="18" t="s">
        <v>198</v>
      </c>
      <c r="C2292" s="18" t="s">
        <v>128</v>
      </c>
      <c r="D2292" s="18">
        <v>35</v>
      </c>
      <c r="E2292" s="17" t="s">
        <v>133</v>
      </c>
      <c r="F2292" s="19">
        <v>1216</v>
      </c>
      <c r="G2292" s="20"/>
      <c r="H2292" s="21"/>
      <c r="I2292" s="22"/>
    </row>
    <row r="2293" spans="1:9" ht="26" customHeight="1">
      <c r="A2293" s="2" t="s">
        <v>194</v>
      </c>
      <c r="B2293" s="13" t="s">
        <v>198</v>
      </c>
      <c r="C2293" s="13" t="s">
        <v>128</v>
      </c>
      <c r="D2293" s="13">
        <v>36</v>
      </c>
      <c r="E2293" s="2" t="s">
        <v>134</v>
      </c>
      <c r="F2293" s="7">
        <v>1259</v>
      </c>
      <c r="G2293" s="3"/>
      <c r="H2293" s="4"/>
      <c r="I2293" s="5"/>
    </row>
    <row r="2294" spans="1:9" ht="26" customHeight="1">
      <c r="A2294" s="17" t="s">
        <v>194</v>
      </c>
      <c r="B2294" s="18" t="s">
        <v>198</v>
      </c>
      <c r="C2294" s="18" t="s">
        <v>128</v>
      </c>
      <c r="D2294" s="18">
        <v>37</v>
      </c>
      <c r="E2294" s="17" t="s">
        <v>135</v>
      </c>
      <c r="F2294" s="19">
        <v>1554</v>
      </c>
      <c r="G2294" s="20"/>
      <c r="H2294" s="21"/>
      <c r="I2294" s="22"/>
    </row>
    <row r="2295" spans="1:9" ht="26" customHeight="1">
      <c r="A2295" s="2" t="s">
        <v>194</v>
      </c>
      <c r="B2295" s="13" t="s">
        <v>198</v>
      </c>
      <c r="C2295" s="13" t="s">
        <v>128</v>
      </c>
      <c r="D2295" s="13">
        <v>38</v>
      </c>
      <c r="E2295" s="2" t="s">
        <v>136</v>
      </c>
      <c r="F2295" s="7">
        <v>1644</v>
      </c>
      <c r="G2295" s="3"/>
      <c r="H2295" s="4"/>
      <c r="I2295" s="5"/>
    </row>
    <row r="2296" spans="1:9" ht="26" customHeight="1">
      <c r="A2296" s="17" t="s">
        <v>194</v>
      </c>
      <c r="B2296" s="18" t="s">
        <v>198</v>
      </c>
      <c r="C2296" s="18" t="s">
        <v>128</v>
      </c>
      <c r="D2296" s="18">
        <v>39</v>
      </c>
      <c r="E2296" s="17" t="s">
        <v>137</v>
      </c>
      <c r="F2296" s="19">
        <v>1687</v>
      </c>
      <c r="G2296" s="20"/>
      <c r="H2296" s="21"/>
      <c r="I2296" s="22"/>
    </row>
    <row r="2297" spans="1:9" ht="26" customHeight="1">
      <c r="A2297" s="2" t="s">
        <v>194</v>
      </c>
      <c r="B2297" s="13" t="s">
        <v>198</v>
      </c>
      <c r="C2297" s="13" t="s">
        <v>128</v>
      </c>
      <c r="D2297" s="13">
        <v>40</v>
      </c>
      <c r="E2297" s="2" t="s">
        <v>138</v>
      </c>
      <c r="F2297" s="7">
        <v>1734</v>
      </c>
      <c r="G2297" s="3"/>
      <c r="H2297" s="4"/>
      <c r="I2297" s="5"/>
    </row>
    <row r="2298" spans="1:9" ht="26" customHeight="1">
      <c r="A2298" s="17" t="s">
        <v>194</v>
      </c>
      <c r="B2298" s="18" t="s">
        <v>198</v>
      </c>
      <c r="C2298" s="18" t="s">
        <v>128</v>
      </c>
      <c r="D2298" s="18">
        <v>41</v>
      </c>
      <c r="E2298" s="17" t="s">
        <v>139</v>
      </c>
      <c r="F2298" s="19">
        <v>1843</v>
      </c>
      <c r="G2298" s="20"/>
      <c r="H2298" s="21"/>
      <c r="I2298" s="22"/>
    </row>
    <row r="2299" spans="1:9" ht="26" customHeight="1">
      <c r="A2299" s="2" t="s">
        <v>194</v>
      </c>
      <c r="B2299" s="13" t="s">
        <v>198</v>
      </c>
      <c r="C2299" s="13" t="s">
        <v>128</v>
      </c>
      <c r="D2299" s="13">
        <v>42</v>
      </c>
      <c r="E2299" s="2" t="s">
        <v>140</v>
      </c>
      <c r="F2299" s="7">
        <v>2024</v>
      </c>
      <c r="G2299" s="3"/>
      <c r="H2299" s="4"/>
      <c r="I2299" s="5"/>
    </row>
    <row r="2300" spans="1:9" ht="26" customHeight="1">
      <c r="A2300" s="17" t="s">
        <v>194</v>
      </c>
      <c r="B2300" s="18" t="s">
        <v>198</v>
      </c>
      <c r="C2300" s="18" t="s">
        <v>128</v>
      </c>
      <c r="D2300" s="18">
        <v>43</v>
      </c>
      <c r="E2300" s="17" t="s">
        <v>141</v>
      </c>
      <c r="F2300" s="19">
        <v>2024</v>
      </c>
      <c r="G2300" s="20"/>
      <c r="H2300" s="21"/>
      <c r="I2300" s="22"/>
    </row>
    <row r="2301" spans="1:9" ht="26" customHeight="1">
      <c r="A2301" s="2" t="s">
        <v>194</v>
      </c>
      <c r="B2301" s="13" t="s">
        <v>198</v>
      </c>
      <c r="C2301" s="13" t="s">
        <v>128</v>
      </c>
      <c r="D2301" s="13">
        <v>44</v>
      </c>
      <c r="E2301" s="2" t="s">
        <v>142</v>
      </c>
      <c r="F2301" s="7">
        <v>2048</v>
      </c>
      <c r="G2301" s="3"/>
      <c r="H2301" s="4"/>
      <c r="I2301" s="5"/>
    </row>
    <row r="2302" spans="1:9" ht="26" customHeight="1">
      <c r="A2302" s="17" t="s">
        <v>194</v>
      </c>
      <c r="B2302" s="18" t="s">
        <v>198</v>
      </c>
      <c r="C2302" s="18" t="s">
        <v>128</v>
      </c>
      <c r="D2302" s="18">
        <v>45</v>
      </c>
      <c r="E2302" s="17" t="s">
        <v>143</v>
      </c>
      <c r="F2302" s="19">
        <v>2071</v>
      </c>
      <c r="G2302" s="20"/>
      <c r="H2302" s="21"/>
      <c r="I2302" s="22"/>
    </row>
    <row r="2303" spans="1:9" ht="26" customHeight="1">
      <c r="A2303" s="2" t="s">
        <v>194</v>
      </c>
      <c r="B2303" s="13" t="s">
        <v>198</v>
      </c>
      <c r="C2303" s="13" t="s">
        <v>128</v>
      </c>
      <c r="D2303" s="13">
        <v>46</v>
      </c>
      <c r="E2303" s="2" t="s">
        <v>144</v>
      </c>
      <c r="F2303" s="7">
        <v>2071</v>
      </c>
      <c r="G2303" s="3"/>
      <c r="H2303" s="4"/>
      <c r="I2303" s="5"/>
    </row>
    <row r="2304" spans="1:9" ht="26" customHeight="1">
      <c r="A2304" s="17" t="s">
        <v>194</v>
      </c>
      <c r="B2304" s="18" t="s">
        <v>198</v>
      </c>
      <c r="C2304" s="18" t="s">
        <v>128</v>
      </c>
      <c r="D2304" s="18">
        <v>47</v>
      </c>
      <c r="E2304" s="17" t="s">
        <v>145</v>
      </c>
      <c r="F2304" s="19">
        <v>2114</v>
      </c>
      <c r="G2304" s="20"/>
      <c r="H2304" s="21"/>
      <c r="I2304" s="22"/>
    </row>
    <row r="2305" spans="1:9" ht="26" customHeight="1">
      <c r="A2305" s="2" t="s">
        <v>194</v>
      </c>
      <c r="B2305" s="13" t="s">
        <v>198</v>
      </c>
      <c r="C2305" s="13" t="s">
        <v>128</v>
      </c>
      <c r="D2305" s="13">
        <v>48</v>
      </c>
      <c r="E2305" s="2" t="s">
        <v>146</v>
      </c>
      <c r="F2305" s="7">
        <v>2138</v>
      </c>
      <c r="G2305" s="3"/>
      <c r="H2305" s="4"/>
      <c r="I2305" s="5"/>
    </row>
    <row r="2306" spans="1:9" ht="26" customHeight="1">
      <c r="A2306" s="17" t="s">
        <v>199</v>
      </c>
      <c r="B2306" s="18" t="s">
        <v>200</v>
      </c>
      <c r="C2306" s="18" t="s">
        <v>97</v>
      </c>
      <c r="D2306" s="18">
        <v>1</v>
      </c>
      <c r="E2306" s="17" t="s">
        <v>98</v>
      </c>
      <c r="F2306" s="19">
        <v>288</v>
      </c>
      <c r="G2306" s="20"/>
      <c r="H2306" s="21"/>
      <c r="I2306" s="22"/>
    </row>
    <row r="2307" spans="1:9" ht="26" customHeight="1">
      <c r="A2307" s="2" t="s">
        <v>199</v>
      </c>
      <c r="B2307" s="13" t="s">
        <v>200</v>
      </c>
      <c r="C2307" s="13" t="s">
        <v>97</v>
      </c>
      <c r="D2307" s="13">
        <v>2</v>
      </c>
      <c r="E2307" s="2" t="s">
        <v>99</v>
      </c>
      <c r="F2307" s="7">
        <v>288</v>
      </c>
      <c r="G2307" s="3"/>
      <c r="H2307" s="4"/>
      <c r="I2307" s="5"/>
    </row>
    <row r="2308" spans="1:9" ht="26" customHeight="1">
      <c r="A2308" s="17" t="s">
        <v>199</v>
      </c>
      <c r="B2308" s="18" t="s">
        <v>200</v>
      </c>
      <c r="C2308" s="18" t="s">
        <v>97</v>
      </c>
      <c r="D2308" s="18">
        <v>3</v>
      </c>
      <c r="E2308" s="17" t="s">
        <v>100</v>
      </c>
      <c r="F2308" s="19">
        <v>318</v>
      </c>
      <c r="G2308" s="20"/>
      <c r="H2308" s="21"/>
      <c r="I2308" s="22"/>
    </row>
    <row r="2309" spans="1:9" ht="26" customHeight="1">
      <c r="A2309" s="2" t="s">
        <v>199</v>
      </c>
      <c r="B2309" s="13" t="s">
        <v>200</v>
      </c>
      <c r="C2309" s="13" t="s">
        <v>97</v>
      </c>
      <c r="D2309" s="13">
        <v>4</v>
      </c>
      <c r="E2309" s="2" t="s">
        <v>101</v>
      </c>
      <c r="F2309" s="7">
        <v>323</v>
      </c>
      <c r="G2309" s="3"/>
      <c r="H2309" s="4"/>
      <c r="I2309" s="5"/>
    </row>
    <row r="2310" spans="1:9" ht="26" customHeight="1">
      <c r="A2310" s="17" t="s">
        <v>199</v>
      </c>
      <c r="B2310" s="18" t="s">
        <v>200</v>
      </c>
      <c r="C2310" s="18" t="s">
        <v>97</v>
      </c>
      <c r="D2310" s="18">
        <v>5</v>
      </c>
      <c r="E2310" s="17" t="s">
        <v>102</v>
      </c>
      <c r="F2310" s="19">
        <v>323</v>
      </c>
      <c r="G2310" s="20"/>
      <c r="H2310" s="21"/>
      <c r="I2310" s="22"/>
    </row>
    <row r="2311" spans="1:9" ht="26" customHeight="1">
      <c r="A2311" s="2" t="s">
        <v>199</v>
      </c>
      <c r="B2311" s="13" t="s">
        <v>200</v>
      </c>
      <c r="C2311" s="13" t="s">
        <v>97</v>
      </c>
      <c r="D2311" s="13">
        <v>6</v>
      </c>
      <c r="E2311" s="2" t="s">
        <v>103</v>
      </c>
      <c r="F2311" s="7">
        <v>324</v>
      </c>
      <c r="G2311" s="3"/>
      <c r="H2311" s="4"/>
      <c r="I2311" s="5"/>
    </row>
    <row r="2312" spans="1:9" ht="26" customHeight="1">
      <c r="A2312" s="17" t="s">
        <v>199</v>
      </c>
      <c r="B2312" s="18" t="s">
        <v>200</v>
      </c>
      <c r="C2312" s="18" t="s">
        <v>97</v>
      </c>
      <c r="D2312" s="18">
        <v>7</v>
      </c>
      <c r="E2312" s="17" t="s">
        <v>104</v>
      </c>
      <c r="F2312" s="19">
        <v>324</v>
      </c>
      <c r="G2312" s="20"/>
      <c r="H2312" s="21"/>
      <c r="I2312" s="22"/>
    </row>
    <row r="2313" spans="1:9" ht="26" customHeight="1">
      <c r="A2313" s="2" t="s">
        <v>199</v>
      </c>
      <c r="B2313" s="13" t="s">
        <v>200</v>
      </c>
      <c r="C2313" s="13" t="s">
        <v>97</v>
      </c>
      <c r="D2313" s="13">
        <v>8</v>
      </c>
      <c r="E2313" s="2" t="s">
        <v>105</v>
      </c>
      <c r="F2313" s="7">
        <v>324</v>
      </c>
      <c r="G2313" s="3"/>
      <c r="H2313" s="4"/>
      <c r="I2313" s="5"/>
    </row>
    <row r="2314" spans="1:9" ht="26" customHeight="1">
      <c r="A2314" s="17" t="s">
        <v>199</v>
      </c>
      <c r="B2314" s="18" t="s">
        <v>200</v>
      </c>
      <c r="C2314" s="18" t="s">
        <v>97</v>
      </c>
      <c r="D2314" s="18">
        <v>9</v>
      </c>
      <c r="E2314" s="17" t="s">
        <v>106</v>
      </c>
      <c r="F2314" s="19">
        <v>324</v>
      </c>
      <c r="G2314" s="20"/>
      <c r="H2314" s="21"/>
      <c r="I2314" s="22"/>
    </row>
    <row r="2315" spans="1:9" ht="26" customHeight="1">
      <c r="A2315" s="2" t="s">
        <v>199</v>
      </c>
      <c r="B2315" s="13" t="s">
        <v>200</v>
      </c>
      <c r="C2315" s="13" t="s">
        <v>97</v>
      </c>
      <c r="D2315" s="13">
        <v>10</v>
      </c>
      <c r="E2315" s="2" t="s">
        <v>107</v>
      </c>
      <c r="F2315" s="7">
        <v>324</v>
      </c>
      <c r="G2315" s="3"/>
      <c r="H2315" s="4"/>
      <c r="I2315" s="5"/>
    </row>
    <row r="2316" spans="1:9" ht="26" customHeight="1">
      <c r="A2316" s="17" t="s">
        <v>199</v>
      </c>
      <c r="B2316" s="18" t="s">
        <v>200</v>
      </c>
      <c r="C2316" s="18" t="s">
        <v>97</v>
      </c>
      <c r="D2316" s="18">
        <v>11</v>
      </c>
      <c r="E2316" s="17" t="s">
        <v>108</v>
      </c>
      <c r="F2316" s="19">
        <v>324</v>
      </c>
      <c r="G2316" s="20"/>
      <c r="H2316" s="21"/>
      <c r="I2316" s="22"/>
    </row>
    <row r="2317" spans="1:9" ht="26" customHeight="1">
      <c r="A2317" s="2" t="s">
        <v>199</v>
      </c>
      <c r="B2317" s="13" t="s">
        <v>200</v>
      </c>
      <c r="C2317" s="13" t="s">
        <v>97</v>
      </c>
      <c r="D2317" s="13">
        <v>12</v>
      </c>
      <c r="E2317" s="2" t="s">
        <v>109</v>
      </c>
      <c r="F2317" s="7">
        <v>329</v>
      </c>
      <c r="G2317" s="3"/>
      <c r="H2317" s="4"/>
      <c r="I2317" s="5"/>
    </row>
    <row r="2318" spans="1:9" ht="26" customHeight="1">
      <c r="A2318" s="17" t="s">
        <v>199</v>
      </c>
      <c r="B2318" s="18" t="s">
        <v>200</v>
      </c>
      <c r="C2318" s="18" t="s">
        <v>97</v>
      </c>
      <c r="D2318" s="18">
        <v>13</v>
      </c>
      <c r="E2318" s="17" t="s">
        <v>110</v>
      </c>
      <c r="F2318" s="19">
        <v>329</v>
      </c>
      <c r="G2318" s="20"/>
      <c r="H2318" s="21"/>
      <c r="I2318" s="22"/>
    </row>
    <row r="2319" spans="1:9" ht="26" customHeight="1">
      <c r="A2319" s="2" t="s">
        <v>199</v>
      </c>
      <c r="B2319" s="13" t="s">
        <v>200</v>
      </c>
      <c r="C2319" s="13" t="s">
        <v>97</v>
      </c>
      <c r="D2319" s="13">
        <v>14</v>
      </c>
      <c r="E2319" s="2" t="s">
        <v>111</v>
      </c>
      <c r="F2319" s="7">
        <v>330</v>
      </c>
      <c r="G2319" s="3"/>
      <c r="H2319" s="4"/>
      <c r="I2319" s="5"/>
    </row>
    <row r="2320" spans="1:9" ht="26" customHeight="1">
      <c r="A2320" s="17" t="s">
        <v>199</v>
      </c>
      <c r="B2320" s="18" t="s">
        <v>200</v>
      </c>
      <c r="C2320" s="18" t="s">
        <v>97</v>
      </c>
      <c r="D2320" s="18">
        <v>15</v>
      </c>
      <c r="E2320" s="17" t="s">
        <v>112</v>
      </c>
      <c r="F2320" s="19">
        <v>330</v>
      </c>
      <c r="G2320" s="20"/>
      <c r="H2320" s="21"/>
      <c r="I2320" s="22"/>
    </row>
    <row r="2321" spans="1:9" ht="26" customHeight="1">
      <c r="A2321" s="2" t="s">
        <v>199</v>
      </c>
      <c r="B2321" s="13" t="s">
        <v>200</v>
      </c>
      <c r="C2321" s="13" t="s">
        <v>97</v>
      </c>
      <c r="D2321" s="13">
        <v>16</v>
      </c>
      <c r="E2321" s="2" t="s">
        <v>113</v>
      </c>
      <c r="F2321" s="7">
        <v>330</v>
      </c>
      <c r="G2321" s="3"/>
      <c r="H2321" s="4"/>
      <c r="I2321" s="5"/>
    </row>
    <row r="2322" spans="1:9" ht="26" customHeight="1">
      <c r="A2322" s="17" t="s">
        <v>199</v>
      </c>
      <c r="B2322" s="18" t="s">
        <v>200</v>
      </c>
      <c r="C2322" s="18" t="s">
        <v>97</v>
      </c>
      <c r="D2322" s="18">
        <v>17</v>
      </c>
      <c r="E2322" s="17" t="s">
        <v>114</v>
      </c>
      <c r="F2322" s="19">
        <v>335</v>
      </c>
      <c r="G2322" s="20"/>
      <c r="H2322" s="21"/>
      <c r="I2322" s="22"/>
    </row>
    <row r="2323" spans="1:9" ht="26" customHeight="1">
      <c r="A2323" s="2" t="s">
        <v>199</v>
      </c>
      <c r="B2323" s="13" t="s">
        <v>200</v>
      </c>
      <c r="C2323" s="13" t="s">
        <v>97</v>
      </c>
      <c r="D2323" s="13">
        <v>18</v>
      </c>
      <c r="E2323" s="2" t="s">
        <v>115</v>
      </c>
      <c r="F2323" s="7">
        <v>335</v>
      </c>
      <c r="G2323" s="3"/>
      <c r="H2323" s="4"/>
      <c r="I2323" s="5"/>
    </row>
    <row r="2324" spans="1:9" ht="26" customHeight="1">
      <c r="A2324" s="17" t="s">
        <v>199</v>
      </c>
      <c r="B2324" s="18" t="s">
        <v>200</v>
      </c>
      <c r="C2324" s="18" t="s">
        <v>97</v>
      </c>
      <c r="D2324" s="18">
        <v>19</v>
      </c>
      <c r="E2324" s="17" t="s">
        <v>116</v>
      </c>
      <c r="F2324" s="19">
        <v>335</v>
      </c>
      <c r="G2324" s="20"/>
      <c r="H2324" s="21"/>
      <c r="I2324" s="22"/>
    </row>
    <row r="2325" spans="1:9" ht="26" customHeight="1">
      <c r="A2325" s="2" t="s">
        <v>199</v>
      </c>
      <c r="B2325" s="13" t="s">
        <v>200</v>
      </c>
      <c r="C2325" s="13" t="s">
        <v>97</v>
      </c>
      <c r="D2325" s="13">
        <v>20</v>
      </c>
      <c r="E2325" s="2" t="s">
        <v>117</v>
      </c>
      <c r="F2325" s="7">
        <v>338</v>
      </c>
      <c r="G2325" s="3"/>
      <c r="H2325" s="4"/>
      <c r="I2325" s="5"/>
    </row>
    <row r="2326" spans="1:9" ht="26" customHeight="1">
      <c r="A2326" s="17" t="s">
        <v>199</v>
      </c>
      <c r="B2326" s="18" t="s">
        <v>200</v>
      </c>
      <c r="C2326" s="18" t="s">
        <v>97</v>
      </c>
      <c r="D2326" s="18">
        <v>21</v>
      </c>
      <c r="E2326" s="17" t="s">
        <v>118</v>
      </c>
      <c r="F2326" s="19">
        <v>339</v>
      </c>
      <c r="G2326" s="20"/>
      <c r="H2326" s="21"/>
      <c r="I2326" s="22"/>
    </row>
    <row r="2327" spans="1:9" ht="26" customHeight="1">
      <c r="A2327" s="2" t="s">
        <v>199</v>
      </c>
      <c r="B2327" s="13" t="s">
        <v>200</v>
      </c>
      <c r="C2327" s="13" t="s">
        <v>97</v>
      </c>
      <c r="D2327" s="13">
        <v>22</v>
      </c>
      <c r="E2327" s="2" t="s">
        <v>119</v>
      </c>
      <c r="F2327" s="7">
        <v>339</v>
      </c>
      <c r="G2327" s="3"/>
      <c r="H2327" s="4"/>
      <c r="I2327" s="5"/>
    </row>
    <row r="2328" spans="1:9" ht="26" customHeight="1">
      <c r="A2328" s="17" t="s">
        <v>199</v>
      </c>
      <c r="B2328" s="18" t="s">
        <v>200</v>
      </c>
      <c r="C2328" s="18" t="s">
        <v>97</v>
      </c>
      <c r="D2328" s="18">
        <v>23</v>
      </c>
      <c r="E2328" s="17" t="s">
        <v>120</v>
      </c>
      <c r="F2328" s="19">
        <v>344</v>
      </c>
      <c r="G2328" s="20"/>
      <c r="H2328" s="21"/>
      <c r="I2328" s="22"/>
    </row>
    <row r="2329" spans="1:9" ht="26" customHeight="1">
      <c r="A2329" s="2" t="s">
        <v>199</v>
      </c>
      <c r="B2329" s="13" t="s">
        <v>200</v>
      </c>
      <c r="C2329" s="13" t="s">
        <v>97</v>
      </c>
      <c r="D2329" s="13">
        <v>24</v>
      </c>
      <c r="E2329" s="2" t="s">
        <v>121</v>
      </c>
      <c r="F2329" s="7">
        <v>344</v>
      </c>
      <c r="G2329" s="3"/>
      <c r="H2329" s="4"/>
      <c r="I2329" s="5"/>
    </row>
    <row r="2330" spans="1:9" ht="26" customHeight="1">
      <c r="A2330" s="17" t="s">
        <v>199</v>
      </c>
      <c r="B2330" s="18" t="s">
        <v>200</v>
      </c>
      <c r="C2330" s="18" t="s">
        <v>97</v>
      </c>
      <c r="D2330" s="18">
        <v>25</v>
      </c>
      <c r="E2330" s="17" t="s">
        <v>122</v>
      </c>
      <c r="F2330" s="19">
        <v>344</v>
      </c>
      <c r="G2330" s="20"/>
      <c r="H2330" s="21"/>
      <c r="I2330" s="22"/>
    </row>
    <row r="2331" spans="1:9" ht="26" customHeight="1">
      <c r="A2331" s="2" t="s">
        <v>199</v>
      </c>
      <c r="B2331" s="13" t="s">
        <v>200</v>
      </c>
      <c r="C2331" s="13" t="s">
        <v>97</v>
      </c>
      <c r="D2331" s="13">
        <v>26</v>
      </c>
      <c r="E2331" s="2" t="s">
        <v>123</v>
      </c>
      <c r="F2331" s="7">
        <v>350</v>
      </c>
      <c r="G2331" s="3"/>
      <c r="H2331" s="4"/>
      <c r="I2331" s="5"/>
    </row>
    <row r="2332" spans="1:9" ht="26" customHeight="1">
      <c r="A2332" s="17" t="s">
        <v>199</v>
      </c>
      <c r="B2332" s="18" t="s">
        <v>200</v>
      </c>
      <c r="C2332" s="18" t="s">
        <v>97</v>
      </c>
      <c r="D2332" s="18">
        <v>27</v>
      </c>
      <c r="E2332" s="17" t="s">
        <v>124</v>
      </c>
      <c r="F2332" s="19">
        <v>371</v>
      </c>
      <c r="G2332" s="20"/>
      <c r="H2332" s="21"/>
      <c r="I2332" s="22"/>
    </row>
    <row r="2333" spans="1:9" ht="26" customHeight="1">
      <c r="A2333" s="2" t="s">
        <v>199</v>
      </c>
      <c r="B2333" s="13" t="s">
        <v>200</v>
      </c>
      <c r="C2333" s="13" t="s">
        <v>97</v>
      </c>
      <c r="D2333" s="13">
        <v>28</v>
      </c>
      <c r="E2333" s="2" t="s">
        <v>125</v>
      </c>
      <c r="F2333" s="7">
        <v>409</v>
      </c>
      <c r="G2333" s="3"/>
      <c r="H2333" s="4"/>
      <c r="I2333" s="5"/>
    </row>
    <row r="2334" spans="1:9" ht="26" customHeight="1">
      <c r="A2334" s="17" t="s">
        <v>199</v>
      </c>
      <c r="B2334" s="18" t="s">
        <v>200</v>
      </c>
      <c r="C2334" s="18" t="s">
        <v>97</v>
      </c>
      <c r="D2334" s="18">
        <v>29</v>
      </c>
      <c r="E2334" s="17" t="s">
        <v>126</v>
      </c>
      <c r="F2334" s="19">
        <v>425</v>
      </c>
      <c r="G2334" s="20"/>
      <c r="H2334" s="21"/>
      <c r="I2334" s="22"/>
    </row>
    <row r="2335" spans="1:9" ht="26" customHeight="1">
      <c r="A2335" s="2" t="s">
        <v>199</v>
      </c>
      <c r="B2335" s="13" t="s">
        <v>200</v>
      </c>
      <c r="C2335" s="13" t="s">
        <v>97</v>
      </c>
      <c r="D2335" s="13">
        <v>30</v>
      </c>
      <c r="E2335" s="2" t="s">
        <v>127</v>
      </c>
      <c r="F2335" s="7">
        <v>425</v>
      </c>
      <c r="G2335" s="3"/>
      <c r="H2335" s="4"/>
      <c r="I2335" s="5"/>
    </row>
    <row r="2336" spans="1:9" ht="26" customHeight="1">
      <c r="A2336" s="17" t="s">
        <v>199</v>
      </c>
      <c r="B2336" s="18" t="s">
        <v>200</v>
      </c>
      <c r="C2336" s="18" t="s">
        <v>128</v>
      </c>
      <c r="D2336" s="18">
        <v>31</v>
      </c>
      <c r="E2336" s="17" t="s">
        <v>129</v>
      </c>
      <c r="F2336" s="19">
        <v>244</v>
      </c>
      <c r="G2336" s="20"/>
      <c r="H2336" s="21"/>
      <c r="I2336" s="22"/>
    </row>
    <row r="2337" spans="1:9" ht="26" customHeight="1">
      <c r="A2337" s="2" t="s">
        <v>199</v>
      </c>
      <c r="B2337" s="13" t="s">
        <v>200</v>
      </c>
      <c r="C2337" s="13" t="s">
        <v>128</v>
      </c>
      <c r="D2337" s="13">
        <v>32</v>
      </c>
      <c r="E2337" s="2" t="s">
        <v>130</v>
      </c>
      <c r="F2337" s="7">
        <v>247</v>
      </c>
      <c r="G2337" s="3"/>
      <c r="H2337" s="4"/>
      <c r="I2337" s="5"/>
    </row>
    <row r="2338" spans="1:9" ht="26" customHeight="1">
      <c r="A2338" s="17" t="s">
        <v>199</v>
      </c>
      <c r="B2338" s="18" t="s">
        <v>200</v>
      </c>
      <c r="C2338" s="18" t="s">
        <v>128</v>
      </c>
      <c r="D2338" s="18">
        <v>33</v>
      </c>
      <c r="E2338" s="17" t="s">
        <v>131</v>
      </c>
      <c r="F2338" s="19">
        <v>247</v>
      </c>
      <c r="G2338" s="20"/>
      <c r="H2338" s="21"/>
      <c r="I2338" s="22"/>
    </row>
    <row r="2339" spans="1:9" ht="26" customHeight="1">
      <c r="A2339" s="2" t="s">
        <v>199</v>
      </c>
      <c r="B2339" s="13" t="s">
        <v>200</v>
      </c>
      <c r="C2339" s="13" t="s">
        <v>128</v>
      </c>
      <c r="D2339" s="13">
        <v>34</v>
      </c>
      <c r="E2339" s="2" t="s">
        <v>132</v>
      </c>
      <c r="F2339" s="7">
        <v>249</v>
      </c>
      <c r="G2339" s="3"/>
      <c r="H2339" s="4"/>
      <c r="I2339" s="5"/>
    </row>
    <row r="2340" spans="1:9" ht="26" customHeight="1">
      <c r="A2340" s="17" t="s">
        <v>199</v>
      </c>
      <c r="B2340" s="18" t="s">
        <v>200</v>
      </c>
      <c r="C2340" s="18" t="s">
        <v>128</v>
      </c>
      <c r="D2340" s="18">
        <v>35</v>
      </c>
      <c r="E2340" s="17" t="s">
        <v>133</v>
      </c>
      <c r="F2340" s="19">
        <v>296</v>
      </c>
      <c r="G2340" s="20"/>
      <c r="H2340" s="21"/>
      <c r="I2340" s="22"/>
    </row>
    <row r="2341" spans="1:9" ht="26" customHeight="1">
      <c r="A2341" s="2" t="s">
        <v>199</v>
      </c>
      <c r="B2341" s="13" t="s">
        <v>200</v>
      </c>
      <c r="C2341" s="13" t="s">
        <v>128</v>
      </c>
      <c r="D2341" s="13">
        <v>36</v>
      </c>
      <c r="E2341" s="2" t="s">
        <v>134</v>
      </c>
      <c r="F2341" s="7">
        <v>305</v>
      </c>
      <c r="G2341" s="3"/>
      <c r="H2341" s="4"/>
      <c r="I2341" s="5"/>
    </row>
    <row r="2342" spans="1:9" ht="26" customHeight="1">
      <c r="A2342" s="17" t="s">
        <v>199</v>
      </c>
      <c r="B2342" s="18" t="s">
        <v>200</v>
      </c>
      <c r="C2342" s="18" t="s">
        <v>128</v>
      </c>
      <c r="D2342" s="18">
        <v>37</v>
      </c>
      <c r="E2342" s="17" t="s">
        <v>135</v>
      </c>
      <c r="F2342" s="19">
        <v>372</v>
      </c>
      <c r="G2342" s="20"/>
      <c r="H2342" s="21"/>
      <c r="I2342" s="22"/>
    </row>
    <row r="2343" spans="1:9" ht="26" customHeight="1">
      <c r="A2343" s="2" t="s">
        <v>199</v>
      </c>
      <c r="B2343" s="13" t="s">
        <v>200</v>
      </c>
      <c r="C2343" s="13" t="s">
        <v>128</v>
      </c>
      <c r="D2343" s="13">
        <v>38</v>
      </c>
      <c r="E2343" s="2" t="s">
        <v>136</v>
      </c>
      <c r="F2343" s="7">
        <v>392</v>
      </c>
      <c r="G2343" s="3"/>
      <c r="H2343" s="4"/>
      <c r="I2343" s="5"/>
    </row>
    <row r="2344" spans="1:9" ht="26" customHeight="1">
      <c r="A2344" s="17" t="s">
        <v>199</v>
      </c>
      <c r="B2344" s="18" t="s">
        <v>200</v>
      </c>
      <c r="C2344" s="18" t="s">
        <v>128</v>
      </c>
      <c r="D2344" s="18">
        <v>39</v>
      </c>
      <c r="E2344" s="17" t="s">
        <v>137</v>
      </c>
      <c r="F2344" s="19">
        <v>402</v>
      </c>
      <c r="G2344" s="20"/>
      <c r="H2344" s="21"/>
      <c r="I2344" s="22"/>
    </row>
    <row r="2345" spans="1:9" ht="26" customHeight="1">
      <c r="A2345" s="2" t="s">
        <v>199</v>
      </c>
      <c r="B2345" s="13" t="s">
        <v>200</v>
      </c>
      <c r="C2345" s="13" t="s">
        <v>128</v>
      </c>
      <c r="D2345" s="13">
        <v>40</v>
      </c>
      <c r="E2345" s="2" t="s">
        <v>138</v>
      </c>
      <c r="F2345" s="7">
        <v>413</v>
      </c>
      <c r="G2345" s="3"/>
      <c r="H2345" s="4"/>
      <c r="I2345" s="5"/>
    </row>
    <row r="2346" spans="1:9" ht="26" customHeight="1">
      <c r="A2346" s="17" t="s">
        <v>199</v>
      </c>
      <c r="B2346" s="18" t="s">
        <v>200</v>
      </c>
      <c r="C2346" s="18" t="s">
        <v>128</v>
      </c>
      <c r="D2346" s="18">
        <v>41</v>
      </c>
      <c r="E2346" s="17" t="s">
        <v>139</v>
      </c>
      <c r="F2346" s="19">
        <v>438</v>
      </c>
      <c r="G2346" s="20"/>
      <c r="H2346" s="21"/>
      <c r="I2346" s="22"/>
    </row>
    <row r="2347" spans="1:9" ht="26" customHeight="1">
      <c r="A2347" s="2" t="s">
        <v>199</v>
      </c>
      <c r="B2347" s="13" t="s">
        <v>200</v>
      </c>
      <c r="C2347" s="13" t="s">
        <v>128</v>
      </c>
      <c r="D2347" s="13">
        <v>42</v>
      </c>
      <c r="E2347" s="2" t="s">
        <v>140</v>
      </c>
      <c r="F2347" s="7">
        <v>478</v>
      </c>
      <c r="G2347" s="3"/>
      <c r="H2347" s="4"/>
      <c r="I2347" s="5"/>
    </row>
    <row r="2348" spans="1:9" ht="26" customHeight="1">
      <c r="A2348" s="17" t="s">
        <v>199</v>
      </c>
      <c r="B2348" s="18" t="s">
        <v>200</v>
      </c>
      <c r="C2348" s="18" t="s">
        <v>128</v>
      </c>
      <c r="D2348" s="18">
        <v>43</v>
      </c>
      <c r="E2348" s="17" t="s">
        <v>141</v>
      </c>
      <c r="F2348" s="19">
        <v>478</v>
      </c>
      <c r="G2348" s="20"/>
      <c r="H2348" s="21"/>
      <c r="I2348" s="22"/>
    </row>
    <row r="2349" spans="1:9" ht="26" customHeight="1">
      <c r="A2349" s="2" t="s">
        <v>199</v>
      </c>
      <c r="B2349" s="13" t="s">
        <v>200</v>
      </c>
      <c r="C2349" s="13" t="s">
        <v>128</v>
      </c>
      <c r="D2349" s="13">
        <v>44</v>
      </c>
      <c r="E2349" s="2" t="s">
        <v>142</v>
      </c>
      <c r="F2349" s="7">
        <v>484</v>
      </c>
      <c r="G2349" s="3"/>
      <c r="H2349" s="4"/>
      <c r="I2349" s="5"/>
    </row>
    <row r="2350" spans="1:9" ht="26" customHeight="1">
      <c r="A2350" s="17" t="s">
        <v>199</v>
      </c>
      <c r="B2350" s="18" t="s">
        <v>200</v>
      </c>
      <c r="C2350" s="18" t="s">
        <v>128</v>
      </c>
      <c r="D2350" s="18">
        <v>45</v>
      </c>
      <c r="E2350" s="17" t="s">
        <v>143</v>
      </c>
      <c r="F2350" s="19">
        <v>489</v>
      </c>
      <c r="G2350" s="20"/>
      <c r="H2350" s="21"/>
      <c r="I2350" s="22"/>
    </row>
    <row r="2351" spans="1:9" ht="26" customHeight="1">
      <c r="A2351" s="2" t="s">
        <v>199</v>
      </c>
      <c r="B2351" s="13" t="s">
        <v>200</v>
      </c>
      <c r="C2351" s="13" t="s">
        <v>128</v>
      </c>
      <c r="D2351" s="13">
        <v>46</v>
      </c>
      <c r="E2351" s="2" t="s">
        <v>144</v>
      </c>
      <c r="F2351" s="7">
        <v>489</v>
      </c>
      <c r="G2351" s="3"/>
      <c r="H2351" s="4"/>
      <c r="I2351" s="5"/>
    </row>
    <row r="2352" spans="1:9" ht="26" customHeight="1">
      <c r="A2352" s="17" t="s">
        <v>199</v>
      </c>
      <c r="B2352" s="18" t="s">
        <v>200</v>
      </c>
      <c r="C2352" s="18" t="s">
        <v>128</v>
      </c>
      <c r="D2352" s="18">
        <v>47</v>
      </c>
      <c r="E2352" s="17" t="s">
        <v>145</v>
      </c>
      <c r="F2352" s="19">
        <v>499</v>
      </c>
      <c r="G2352" s="20"/>
      <c r="H2352" s="21"/>
      <c r="I2352" s="22"/>
    </row>
    <row r="2353" spans="1:9" ht="26" customHeight="1">
      <c r="A2353" s="2" t="s">
        <v>199</v>
      </c>
      <c r="B2353" s="13" t="s">
        <v>200</v>
      </c>
      <c r="C2353" s="13" t="s">
        <v>128</v>
      </c>
      <c r="D2353" s="13">
        <v>48</v>
      </c>
      <c r="E2353" s="2" t="s">
        <v>146</v>
      </c>
      <c r="F2353" s="7">
        <v>504</v>
      </c>
      <c r="G2353" s="3"/>
      <c r="H2353" s="4"/>
      <c r="I2353" s="5"/>
    </row>
    <row r="2354" spans="1:9" ht="26" customHeight="1">
      <c r="A2354" s="17" t="s">
        <v>199</v>
      </c>
      <c r="B2354" s="18" t="s">
        <v>201</v>
      </c>
      <c r="C2354" s="18" t="s">
        <v>97</v>
      </c>
      <c r="D2354" s="18">
        <v>1</v>
      </c>
      <c r="E2354" s="17" t="s">
        <v>98</v>
      </c>
      <c r="F2354" s="19">
        <v>284</v>
      </c>
      <c r="G2354" s="20"/>
      <c r="H2354" s="21"/>
      <c r="I2354" s="22"/>
    </row>
    <row r="2355" spans="1:9" ht="26" customHeight="1">
      <c r="A2355" s="2" t="s">
        <v>199</v>
      </c>
      <c r="B2355" s="13" t="s">
        <v>201</v>
      </c>
      <c r="C2355" s="13" t="s">
        <v>97</v>
      </c>
      <c r="D2355" s="13">
        <v>2</v>
      </c>
      <c r="E2355" s="2" t="s">
        <v>99</v>
      </c>
      <c r="F2355" s="7">
        <v>284</v>
      </c>
      <c r="G2355" s="3"/>
      <c r="H2355" s="4"/>
      <c r="I2355" s="5"/>
    </row>
    <row r="2356" spans="1:9" ht="26" customHeight="1">
      <c r="A2356" s="17" t="s">
        <v>199</v>
      </c>
      <c r="B2356" s="18" t="s">
        <v>201</v>
      </c>
      <c r="C2356" s="18" t="s">
        <v>97</v>
      </c>
      <c r="D2356" s="18">
        <v>3</v>
      </c>
      <c r="E2356" s="17" t="s">
        <v>100</v>
      </c>
      <c r="F2356" s="19">
        <v>314</v>
      </c>
      <c r="G2356" s="20"/>
      <c r="H2356" s="21"/>
      <c r="I2356" s="22"/>
    </row>
    <row r="2357" spans="1:9" ht="26" customHeight="1">
      <c r="A2357" s="2" t="s">
        <v>199</v>
      </c>
      <c r="B2357" s="13" t="s">
        <v>201</v>
      </c>
      <c r="C2357" s="13" t="s">
        <v>97</v>
      </c>
      <c r="D2357" s="13">
        <v>4</v>
      </c>
      <c r="E2357" s="2" t="s">
        <v>101</v>
      </c>
      <c r="F2357" s="7">
        <v>318</v>
      </c>
      <c r="G2357" s="3"/>
      <c r="H2357" s="4"/>
      <c r="I2357" s="5"/>
    </row>
    <row r="2358" spans="1:9" ht="26" customHeight="1">
      <c r="A2358" s="17" t="s">
        <v>199</v>
      </c>
      <c r="B2358" s="18" t="s">
        <v>201</v>
      </c>
      <c r="C2358" s="18" t="s">
        <v>97</v>
      </c>
      <c r="D2358" s="18">
        <v>5</v>
      </c>
      <c r="E2358" s="17" t="s">
        <v>102</v>
      </c>
      <c r="F2358" s="19">
        <v>318</v>
      </c>
      <c r="G2358" s="20"/>
      <c r="H2358" s="21"/>
      <c r="I2358" s="22"/>
    </row>
    <row r="2359" spans="1:9" ht="26" customHeight="1">
      <c r="A2359" s="2" t="s">
        <v>199</v>
      </c>
      <c r="B2359" s="13" t="s">
        <v>201</v>
      </c>
      <c r="C2359" s="13" t="s">
        <v>97</v>
      </c>
      <c r="D2359" s="13">
        <v>6</v>
      </c>
      <c r="E2359" s="2" t="s">
        <v>103</v>
      </c>
      <c r="F2359" s="7">
        <v>320</v>
      </c>
      <c r="G2359" s="3"/>
      <c r="H2359" s="4"/>
      <c r="I2359" s="5"/>
    </row>
    <row r="2360" spans="1:9" ht="26" customHeight="1">
      <c r="A2360" s="17" t="s">
        <v>199</v>
      </c>
      <c r="B2360" s="18" t="s">
        <v>201</v>
      </c>
      <c r="C2360" s="18" t="s">
        <v>97</v>
      </c>
      <c r="D2360" s="18">
        <v>7</v>
      </c>
      <c r="E2360" s="17" t="s">
        <v>104</v>
      </c>
      <c r="F2360" s="19">
        <v>320</v>
      </c>
      <c r="G2360" s="20"/>
      <c r="H2360" s="21"/>
      <c r="I2360" s="22"/>
    </row>
    <row r="2361" spans="1:9" ht="26" customHeight="1">
      <c r="A2361" s="2" t="s">
        <v>199</v>
      </c>
      <c r="B2361" s="13" t="s">
        <v>201</v>
      </c>
      <c r="C2361" s="13" t="s">
        <v>97</v>
      </c>
      <c r="D2361" s="13">
        <v>8</v>
      </c>
      <c r="E2361" s="2" t="s">
        <v>105</v>
      </c>
      <c r="F2361" s="7">
        <v>320</v>
      </c>
      <c r="G2361" s="3"/>
      <c r="H2361" s="4"/>
      <c r="I2361" s="5"/>
    </row>
    <row r="2362" spans="1:9" ht="26" customHeight="1">
      <c r="A2362" s="17" t="s">
        <v>199</v>
      </c>
      <c r="B2362" s="18" t="s">
        <v>201</v>
      </c>
      <c r="C2362" s="18" t="s">
        <v>97</v>
      </c>
      <c r="D2362" s="18">
        <v>9</v>
      </c>
      <c r="E2362" s="17" t="s">
        <v>106</v>
      </c>
      <c r="F2362" s="19">
        <v>320</v>
      </c>
      <c r="G2362" s="20"/>
      <c r="H2362" s="21"/>
      <c r="I2362" s="22"/>
    </row>
    <row r="2363" spans="1:9" ht="26" customHeight="1">
      <c r="A2363" s="2" t="s">
        <v>199</v>
      </c>
      <c r="B2363" s="13" t="s">
        <v>201</v>
      </c>
      <c r="C2363" s="13" t="s">
        <v>97</v>
      </c>
      <c r="D2363" s="13">
        <v>10</v>
      </c>
      <c r="E2363" s="2" t="s">
        <v>107</v>
      </c>
      <c r="F2363" s="7">
        <v>320</v>
      </c>
      <c r="G2363" s="3"/>
      <c r="H2363" s="4"/>
      <c r="I2363" s="5"/>
    </row>
    <row r="2364" spans="1:9" ht="26" customHeight="1">
      <c r="A2364" s="17" t="s">
        <v>199</v>
      </c>
      <c r="B2364" s="18" t="s">
        <v>201</v>
      </c>
      <c r="C2364" s="18" t="s">
        <v>97</v>
      </c>
      <c r="D2364" s="18">
        <v>11</v>
      </c>
      <c r="E2364" s="17" t="s">
        <v>108</v>
      </c>
      <c r="F2364" s="19">
        <v>320</v>
      </c>
      <c r="G2364" s="20"/>
      <c r="H2364" s="21"/>
      <c r="I2364" s="22"/>
    </row>
    <row r="2365" spans="1:9" ht="26" customHeight="1">
      <c r="A2365" s="2" t="s">
        <v>199</v>
      </c>
      <c r="B2365" s="13" t="s">
        <v>201</v>
      </c>
      <c r="C2365" s="13" t="s">
        <v>97</v>
      </c>
      <c r="D2365" s="13">
        <v>12</v>
      </c>
      <c r="E2365" s="2" t="s">
        <v>109</v>
      </c>
      <c r="F2365" s="7">
        <v>324</v>
      </c>
      <c r="G2365" s="3"/>
      <c r="H2365" s="4"/>
      <c r="I2365" s="5"/>
    </row>
    <row r="2366" spans="1:9" ht="26" customHeight="1">
      <c r="A2366" s="17" t="s">
        <v>199</v>
      </c>
      <c r="B2366" s="18" t="s">
        <v>201</v>
      </c>
      <c r="C2366" s="18" t="s">
        <v>97</v>
      </c>
      <c r="D2366" s="18">
        <v>13</v>
      </c>
      <c r="E2366" s="17" t="s">
        <v>110</v>
      </c>
      <c r="F2366" s="19">
        <v>324</v>
      </c>
      <c r="G2366" s="20"/>
      <c r="H2366" s="21"/>
      <c r="I2366" s="22"/>
    </row>
    <row r="2367" spans="1:9" ht="26" customHeight="1">
      <c r="A2367" s="2" t="s">
        <v>199</v>
      </c>
      <c r="B2367" s="13" t="s">
        <v>201</v>
      </c>
      <c r="C2367" s="13" t="s">
        <v>97</v>
      </c>
      <c r="D2367" s="13">
        <v>14</v>
      </c>
      <c r="E2367" s="2" t="s">
        <v>111</v>
      </c>
      <c r="F2367" s="7">
        <v>325</v>
      </c>
      <c r="G2367" s="3"/>
      <c r="H2367" s="4"/>
      <c r="I2367" s="5"/>
    </row>
    <row r="2368" spans="1:9" ht="26" customHeight="1">
      <c r="A2368" s="17" t="s">
        <v>199</v>
      </c>
      <c r="B2368" s="18" t="s">
        <v>201</v>
      </c>
      <c r="C2368" s="18" t="s">
        <v>97</v>
      </c>
      <c r="D2368" s="18">
        <v>15</v>
      </c>
      <c r="E2368" s="17" t="s">
        <v>112</v>
      </c>
      <c r="F2368" s="19">
        <v>325</v>
      </c>
      <c r="G2368" s="20"/>
      <c r="H2368" s="21"/>
      <c r="I2368" s="22"/>
    </row>
    <row r="2369" spans="1:9" ht="26" customHeight="1">
      <c r="A2369" s="2" t="s">
        <v>199</v>
      </c>
      <c r="B2369" s="13" t="s">
        <v>201</v>
      </c>
      <c r="C2369" s="13" t="s">
        <v>97</v>
      </c>
      <c r="D2369" s="13">
        <v>16</v>
      </c>
      <c r="E2369" s="2" t="s">
        <v>113</v>
      </c>
      <c r="F2369" s="7">
        <v>325</v>
      </c>
      <c r="G2369" s="3"/>
      <c r="H2369" s="4"/>
      <c r="I2369" s="5"/>
    </row>
    <row r="2370" spans="1:9" ht="26" customHeight="1">
      <c r="A2370" s="17" t="s">
        <v>199</v>
      </c>
      <c r="B2370" s="18" t="s">
        <v>201</v>
      </c>
      <c r="C2370" s="18" t="s">
        <v>97</v>
      </c>
      <c r="D2370" s="18">
        <v>17</v>
      </c>
      <c r="E2370" s="17" t="s">
        <v>114</v>
      </c>
      <c r="F2370" s="19">
        <v>330</v>
      </c>
      <c r="G2370" s="20"/>
      <c r="H2370" s="21"/>
      <c r="I2370" s="22"/>
    </row>
    <row r="2371" spans="1:9" ht="26" customHeight="1">
      <c r="A2371" s="2" t="s">
        <v>199</v>
      </c>
      <c r="B2371" s="13" t="s">
        <v>201</v>
      </c>
      <c r="C2371" s="13" t="s">
        <v>97</v>
      </c>
      <c r="D2371" s="13">
        <v>18</v>
      </c>
      <c r="E2371" s="2" t="s">
        <v>115</v>
      </c>
      <c r="F2371" s="7">
        <v>330</v>
      </c>
      <c r="G2371" s="3"/>
      <c r="H2371" s="4"/>
      <c r="I2371" s="5"/>
    </row>
    <row r="2372" spans="1:9" ht="26" customHeight="1">
      <c r="A2372" s="17" t="s">
        <v>199</v>
      </c>
      <c r="B2372" s="18" t="s">
        <v>201</v>
      </c>
      <c r="C2372" s="18" t="s">
        <v>97</v>
      </c>
      <c r="D2372" s="18">
        <v>19</v>
      </c>
      <c r="E2372" s="17" t="s">
        <v>116</v>
      </c>
      <c r="F2372" s="19">
        <v>330</v>
      </c>
      <c r="G2372" s="20"/>
      <c r="H2372" s="21"/>
      <c r="I2372" s="22"/>
    </row>
    <row r="2373" spans="1:9" ht="26" customHeight="1">
      <c r="A2373" s="2" t="s">
        <v>199</v>
      </c>
      <c r="B2373" s="13" t="s">
        <v>201</v>
      </c>
      <c r="C2373" s="13" t="s">
        <v>97</v>
      </c>
      <c r="D2373" s="13">
        <v>20</v>
      </c>
      <c r="E2373" s="2" t="s">
        <v>117</v>
      </c>
      <c r="F2373" s="7">
        <v>333</v>
      </c>
      <c r="G2373" s="3"/>
      <c r="H2373" s="4"/>
      <c r="I2373" s="5"/>
    </row>
    <row r="2374" spans="1:9" ht="26" customHeight="1">
      <c r="A2374" s="17" t="s">
        <v>199</v>
      </c>
      <c r="B2374" s="18" t="s">
        <v>201</v>
      </c>
      <c r="C2374" s="18" t="s">
        <v>97</v>
      </c>
      <c r="D2374" s="18">
        <v>21</v>
      </c>
      <c r="E2374" s="17" t="s">
        <v>118</v>
      </c>
      <c r="F2374" s="19">
        <v>335</v>
      </c>
      <c r="G2374" s="20"/>
      <c r="H2374" s="21"/>
      <c r="I2374" s="22"/>
    </row>
    <row r="2375" spans="1:9" ht="26" customHeight="1">
      <c r="A2375" s="2" t="s">
        <v>199</v>
      </c>
      <c r="B2375" s="13" t="s">
        <v>201</v>
      </c>
      <c r="C2375" s="13" t="s">
        <v>97</v>
      </c>
      <c r="D2375" s="13">
        <v>22</v>
      </c>
      <c r="E2375" s="2" t="s">
        <v>119</v>
      </c>
      <c r="F2375" s="7">
        <v>335</v>
      </c>
      <c r="G2375" s="3"/>
      <c r="H2375" s="4"/>
      <c r="I2375" s="5"/>
    </row>
    <row r="2376" spans="1:9" ht="26" customHeight="1">
      <c r="A2376" s="17" t="s">
        <v>199</v>
      </c>
      <c r="B2376" s="18" t="s">
        <v>201</v>
      </c>
      <c r="C2376" s="18" t="s">
        <v>97</v>
      </c>
      <c r="D2376" s="18">
        <v>23</v>
      </c>
      <c r="E2376" s="17" t="s">
        <v>120</v>
      </c>
      <c r="F2376" s="19">
        <v>339</v>
      </c>
      <c r="G2376" s="20"/>
      <c r="H2376" s="21"/>
      <c r="I2376" s="22"/>
    </row>
    <row r="2377" spans="1:9" ht="26" customHeight="1">
      <c r="A2377" s="2" t="s">
        <v>199</v>
      </c>
      <c r="B2377" s="13" t="s">
        <v>201</v>
      </c>
      <c r="C2377" s="13" t="s">
        <v>97</v>
      </c>
      <c r="D2377" s="13">
        <v>24</v>
      </c>
      <c r="E2377" s="2" t="s">
        <v>121</v>
      </c>
      <c r="F2377" s="7">
        <v>339</v>
      </c>
      <c r="G2377" s="3"/>
      <c r="H2377" s="4"/>
      <c r="I2377" s="5"/>
    </row>
    <row r="2378" spans="1:9" ht="26" customHeight="1">
      <c r="A2378" s="17" t="s">
        <v>199</v>
      </c>
      <c r="B2378" s="18" t="s">
        <v>201</v>
      </c>
      <c r="C2378" s="18" t="s">
        <v>97</v>
      </c>
      <c r="D2378" s="18">
        <v>25</v>
      </c>
      <c r="E2378" s="17" t="s">
        <v>122</v>
      </c>
      <c r="F2378" s="19">
        <v>339</v>
      </c>
      <c r="G2378" s="20"/>
      <c r="H2378" s="21"/>
      <c r="I2378" s="22"/>
    </row>
    <row r="2379" spans="1:9" ht="26" customHeight="1">
      <c r="A2379" s="2" t="s">
        <v>199</v>
      </c>
      <c r="B2379" s="13" t="s">
        <v>201</v>
      </c>
      <c r="C2379" s="13" t="s">
        <v>97</v>
      </c>
      <c r="D2379" s="13">
        <v>26</v>
      </c>
      <c r="E2379" s="2" t="s">
        <v>123</v>
      </c>
      <c r="F2379" s="7">
        <v>345</v>
      </c>
      <c r="G2379" s="3"/>
      <c r="H2379" s="4"/>
      <c r="I2379" s="5"/>
    </row>
    <row r="2380" spans="1:9" ht="26" customHeight="1">
      <c r="A2380" s="17" t="s">
        <v>199</v>
      </c>
      <c r="B2380" s="18" t="s">
        <v>201</v>
      </c>
      <c r="C2380" s="18" t="s">
        <v>97</v>
      </c>
      <c r="D2380" s="18">
        <v>27</v>
      </c>
      <c r="E2380" s="17" t="s">
        <v>124</v>
      </c>
      <c r="F2380" s="19">
        <v>366</v>
      </c>
      <c r="G2380" s="20"/>
      <c r="H2380" s="21"/>
      <c r="I2380" s="22"/>
    </row>
    <row r="2381" spans="1:9" ht="26" customHeight="1">
      <c r="A2381" s="2" t="s">
        <v>199</v>
      </c>
      <c r="B2381" s="13" t="s">
        <v>201</v>
      </c>
      <c r="C2381" s="13" t="s">
        <v>97</v>
      </c>
      <c r="D2381" s="13">
        <v>28</v>
      </c>
      <c r="E2381" s="2" t="s">
        <v>125</v>
      </c>
      <c r="F2381" s="7">
        <v>403</v>
      </c>
      <c r="G2381" s="3"/>
      <c r="H2381" s="4"/>
      <c r="I2381" s="5"/>
    </row>
    <row r="2382" spans="1:9" ht="26" customHeight="1">
      <c r="A2382" s="17" t="s">
        <v>199</v>
      </c>
      <c r="B2382" s="18" t="s">
        <v>201</v>
      </c>
      <c r="C2382" s="18" t="s">
        <v>97</v>
      </c>
      <c r="D2382" s="18">
        <v>29</v>
      </c>
      <c r="E2382" s="17" t="s">
        <v>126</v>
      </c>
      <c r="F2382" s="19">
        <v>419</v>
      </c>
      <c r="G2382" s="20"/>
      <c r="H2382" s="21"/>
      <c r="I2382" s="22"/>
    </row>
    <row r="2383" spans="1:9" ht="26" customHeight="1">
      <c r="A2383" s="2" t="s">
        <v>199</v>
      </c>
      <c r="B2383" s="13" t="s">
        <v>201</v>
      </c>
      <c r="C2383" s="13" t="s">
        <v>97</v>
      </c>
      <c r="D2383" s="13">
        <v>30</v>
      </c>
      <c r="E2383" s="2" t="s">
        <v>127</v>
      </c>
      <c r="F2383" s="7">
        <v>419</v>
      </c>
      <c r="G2383" s="3"/>
      <c r="H2383" s="4"/>
      <c r="I2383" s="5"/>
    </row>
    <row r="2384" spans="1:9" ht="26" customHeight="1">
      <c r="A2384" s="17" t="s">
        <v>199</v>
      </c>
      <c r="B2384" s="18" t="s">
        <v>201</v>
      </c>
      <c r="C2384" s="18" t="s">
        <v>128</v>
      </c>
      <c r="D2384" s="18">
        <v>31</v>
      </c>
      <c r="E2384" s="17" t="s">
        <v>129</v>
      </c>
      <c r="F2384" s="19">
        <v>241</v>
      </c>
      <c r="G2384" s="20"/>
      <c r="H2384" s="21"/>
      <c r="I2384" s="22"/>
    </row>
    <row r="2385" spans="1:9" ht="26" customHeight="1">
      <c r="A2385" s="2" t="s">
        <v>199</v>
      </c>
      <c r="B2385" s="13" t="s">
        <v>201</v>
      </c>
      <c r="C2385" s="13" t="s">
        <v>128</v>
      </c>
      <c r="D2385" s="13">
        <v>32</v>
      </c>
      <c r="E2385" s="2" t="s">
        <v>130</v>
      </c>
      <c r="F2385" s="7">
        <v>244</v>
      </c>
      <c r="G2385" s="3"/>
      <c r="H2385" s="4"/>
      <c r="I2385" s="5"/>
    </row>
    <row r="2386" spans="1:9" ht="26" customHeight="1">
      <c r="A2386" s="17" t="s">
        <v>199</v>
      </c>
      <c r="B2386" s="18" t="s">
        <v>201</v>
      </c>
      <c r="C2386" s="18" t="s">
        <v>128</v>
      </c>
      <c r="D2386" s="18">
        <v>33</v>
      </c>
      <c r="E2386" s="17" t="s">
        <v>131</v>
      </c>
      <c r="F2386" s="19">
        <v>244</v>
      </c>
      <c r="G2386" s="20"/>
      <c r="H2386" s="21"/>
      <c r="I2386" s="22"/>
    </row>
    <row r="2387" spans="1:9" ht="26" customHeight="1">
      <c r="A2387" s="2" t="s">
        <v>199</v>
      </c>
      <c r="B2387" s="13" t="s">
        <v>201</v>
      </c>
      <c r="C2387" s="13" t="s">
        <v>128</v>
      </c>
      <c r="D2387" s="13">
        <v>34</v>
      </c>
      <c r="E2387" s="2" t="s">
        <v>132</v>
      </c>
      <c r="F2387" s="7">
        <v>246</v>
      </c>
      <c r="G2387" s="3"/>
      <c r="H2387" s="4"/>
      <c r="I2387" s="5"/>
    </row>
    <row r="2388" spans="1:9" ht="26" customHeight="1">
      <c r="A2388" s="17" t="s">
        <v>199</v>
      </c>
      <c r="B2388" s="18" t="s">
        <v>201</v>
      </c>
      <c r="C2388" s="18" t="s">
        <v>128</v>
      </c>
      <c r="D2388" s="18">
        <v>35</v>
      </c>
      <c r="E2388" s="17" t="s">
        <v>133</v>
      </c>
      <c r="F2388" s="19">
        <v>291</v>
      </c>
      <c r="G2388" s="20"/>
      <c r="H2388" s="21"/>
      <c r="I2388" s="22"/>
    </row>
    <row r="2389" spans="1:9" ht="26" customHeight="1">
      <c r="A2389" s="2" t="s">
        <v>199</v>
      </c>
      <c r="B2389" s="13" t="s">
        <v>201</v>
      </c>
      <c r="C2389" s="13" t="s">
        <v>128</v>
      </c>
      <c r="D2389" s="13">
        <v>36</v>
      </c>
      <c r="E2389" s="2" t="s">
        <v>134</v>
      </c>
      <c r="F2389" s="7">
        <v>301</v>
      </c>
      <c r="G2389" s="3"/>
      <c r="H2389" s="4"/>
      <c r="I2389" s="5"/>
    </row>
    <row r="2390" spans="1:9" ht="26" customHeight="1">
      <c r="A2390" s="17" t="s">
        <v>199</v>
      </c>
      <c r="B2390" s="18" t="s">
        <v>201</v>
      </c>
      <c r="C2390" s="18" t="s">
        <v>128</v>
      </c>
      <c r="D2390" s="18">
        <v>37</v>
      </c>
      <c r="E2390" s="17" t="s">
        <v>135</v>
      </c>
      <c r="F2390" s="19">
        <v>367</v>
      </c>
      <c r="G2390" s="20"/>
      <c r="H2390" s="21"/>
      <c r="I2390" s="22"/>
    </row>
    <row r="2391" spans="1:9" ht="26" customHeight="1">
      <c r="A2391" s="2" t="s">
        <v>199</v>
      </c>
      <c r="B2391" s="13" t="s">
        <v>201</v>
      </c>
      <c r="C2391" s="13" t="s">
        <v>128</v>
      </c>
      <c r="D2391" s="13">
        <v>38</v>
      </c>
      <c r="E2391" s="2" t="s">
        <v>136</v>
      </c>
      <c r="F2391" s="7">
        <v>387</v>
      </c>
      <c r="G2391" s="3"/>
      <c r="H2391" s="4"/>
      <c r="I2391" s="5"/>
    </row>
    <row r="2392" spans="1:9" ht="26" customHeight="1">
      <c r="A2392" s="17" t="s">
        <v>199</v>
      </c>
      <c r="B2392" s="18" t="s">
        <v>201</v>
      </c>
      <c r="C2392" s="18" t="s">
        <v>128</v>
      </c>
      <c r="D2392" s="18">
        <v>39</v>
      </c>
      <c r="E2392" s="17" t="s">
        <v>137</v>
      </c>
      <c r="F2392" s="19">
        <v>396</v>
      </c>
      <c r="G2392" s="20"/>
      <c r="H2392" s="21"/>
      <c r="I2392" s="22"/>
    </row>
    <row r="2393" spans="1:9" ht="26" customHeight="1">
      <c r="A2393" s="2" t="s">
        <v>199</v>
      </c>
      <c r="B2393" s="13" t="s">
        <v>201</v>
      </c>
      <c r="C2393" s="13" t="s">
        <v>128</v>
      </c>
      <c r="D2393" s="13">
        <v>40</v>
      </c>
      <c r="E2393" s="2" t="s">
        <v>138</v>
      </c>
      <c r="F2393" s="7">
        <v>407</v>
      </c>
      <c r="G2393" s="3"/>
      <c r="H2393" s="4"/>
      <c r="I2393" s="5"/>
    </row>
    <row r="2394" spans="1:9" ht="26" customHeight="1">
      <c r="A2394" s="17" t="s">
        <v>199</v>
      </c>
      <c r="B2394" s="18" t="s">
        <v>201</v>
      </c>
      <c r="C2394" s="18" t="s">
        <v>128</v>
      </c>
      <c r="D2394" s="18">
        <v>41</v>
      </c>
      <c r="E2394" s="17" t="s">
        <v>139</v>
      </c>
      <c r="F2394" s="19">
        <v>431</v>
      </c>
      <c r="G2394" s="20"/>
      <c r="H2394" s="21"/>
      <c r="I2394" s="22"/>
    </row>
    <row r="2395" spans="1:9" ht="26" customHeight="1">
      <c r="A2395" s="2" t="s">
        <v>199</v>
      </c>
      <c r="B2395" s="13" t="s">
        <v>201</v>
      </c>
      <c r="C2395" s="13" t="s">
        <v>128</v>
      </c>
      <c r="D2395" s="13">
        <v>42</v>
      </c>
      <c r="E2395" s="2" t="s">
        <v>140</v>
      </c>
      <c r="F2395" s="7">
        <v>472</v>
      </c>
      <c r="G2395" s="3"/>
      <c r="H2395" s="4"/>
      <c r="I2395" s="5"/>
    </row>
    <row r="2396" spans="1:9" ht="26" customHeight="1">
      <c r="A2396" s="17" t="s">
        <v>199</v>
      </c>
      <c r="B2396" s="18" t="s">
        <v>201</v>
      </c>
      <c r="C2396" s="18" t="s">
        <v>128</v>
      </c>
      <c r="D2396" s="18">
        <v>43</v>
      </c>
      <c r="E2396" s="17" t="s">
        <v>141</v>
      </c>
      <c r="F2396" s="19">
        <v>472</v>
      </c>
      <c r="G2396" s="20"/>
      <c r="H2396" s="21"/>
      <c r="I2396" s="22"/>
    </row>
    <row r="2397" spans="1:9" ht="26" customHeight="1">
      <c r="A2397" s="2" t="s">
        <v>199</v>
      </c>
      <c r="B2397" s="13" t="s">
        <v>201</v>
      </c>
      <c r="C2397" s="13" t="s">
        <v>128</v>
      </c>
      <c r="D2397" s="13">
        <v>44</v>
      </c>
      <c r="E2397" s="2" t="s">
        <v>142</v>
      </c>
      <c r="F2397" s="7">
        <v>477</v>
      </c>
      <c r="G2397" s="3"/>
      <c r="H2397" s="4"/>
      <c r="I2397" s="5"/>
    </row>
    <row r="2398" spans="1:9" ht="26" customHeight="1">
      <c r="A2398" s="17" t="s">
        <v>199</v>
      </c>
      <c r="B2398" s="18" t="s">
        <v>201</v>
      </c>
      <c r="C2398" s="18" t="s">
        <v>128</v>
      </c>
      <c r="D2398" s="18">
        <v>45</v>
      </c>
      <c r="E2398" s="17" t="s">
        <v>143</v>
      </c>
      <c r="F2398" s="19">
        <v>482</v>
      </c>
      <c r="G2398" s="20"/>
      <c r="H2398" s="21"/>
      <c r="I2398" s="22"/>
    </row>
    <row r="2399" spans="1:9" ht="26" customHeight="1">
      <c r="A2399" s="2" t="s">
        <v>199</v>
      </c>
      <c r="B2399" s="13" t="s">
        <v>201</v>
      </c>
      <c r="C2399" s="13" t="s">
        <v>128</v>
      </c>
      <c r="D2399" s="13">
        <v>46</v>
      </c>
      <c r="E2399" s="2" t="s">
        <v>144</v>
      </c>
      <c r="F2399" s="7">
        <v>482</v>
      </c>
      <c r="G2399" s="3"/>
      <c r="H2399" s="4"/>
      <c r="I2399" s="5"/>
    </row>
    <row r="2400" spans="1:9" ht="26" customHeight="1">
      <c r="A2400" s="17" t="s">
        <v>199</v>
      </c>
      <c r="B2400" s="18" t="s">
        <v>201</v>
      </c>
      <c r="C2400" s="18" t="s">
        <v>128</v>
      </c>
      <c r="D2400" s="18">
        <v>47</v>
      </c>
      <c r="E2400" s="17" t="s">
        <v>145</v>
      </c>
      <c r="F2400" s="19">
        <v>492</v>
      </c>
      <c r="G2400" s="20"/>
      <c r="H2400" s="21"/>
      <c r="I2400" s="22"/>
    </row>
    <row r="2401" spans="1:9" ht="26" customHeight="1">
      <c r="A2401" s="2" t="s">
        <v>199</v>
      </c>
      <c r="B2401" s="13" t="s">
        <v>201</v>
      </c>
      <c r="C2401" s="13" t="s">
        <v>128</v>
      </c>
      <c r="D2401" s="13">
        <v>48</v>
      </c>
      <c r="E2401" s="2" t="s">
        <v>146</v>
      </c>
      <c r="F2401" s="7">
        <v>497</v>
      </c>
      <c r="G2401" s="3"/>
      <c r="H2401" s="4"/>
      <c r="I2401" s="5"/>
    </row>
    <row r="2402" spans="1:9" ht="26" customHeight="1">
      <c r="A2402" s="17" t="s">
        <v>199</v>
      </c>
      <c r="B2402" s="18" t="s">
        <v>202</v>
      </c>
      <c r="C2402" s="18" t="s">
        <v>97</v>
      </c>
      <c r="D2402" s="18">
        <v>1</v>
      </c>
      <c r="E2402" s="17" t="s">
        <v>98</v>
      </c>
      <c r="F2402" s="19">
        <v>267</v>
      </c>
      <c r="G2402" s="20"/>
      <c r="H2402" s="21"/>
      <c r="I2402" s="22"/>
    </row>
    <row r="2403" spans="1:9" ht="26" customHeight="1">
      <c r="A2403" s="2" t="s">
        <v>199</v>
      </c>
      <c r="B2403" s="13" t="s">
        <v>202</v>
      </c>
      <c r="C2403" s="13" t="s">
        <v>97</v>
      </c>
      <c r="D2403" s="13">
        <v>2</v>
      </c>
      <c r="E2403" s="2" t="s">
        <v>99</v>
      </c>
      <c r="F2403" s="7">
        <v>267</v>
      </c>
      <c r="G2403" s="3"/>
      <c r="H2403" s="4"/>
      <c r="I2403" s="5"/>
    </row>
    <row r="2404" spans="1:9" ht="26" customHeight="1">
      <c r="A2404" s="17" t="s">
        <v>199</v>
      </c>
      <c r="B2404" s="18" t="s">
        <v>202</v>
      </c>
      <c r="C2404" s="18" t="s">
        <v>97</v>
      </c>
      <c r="D2404" s="18">
        <v>3</v>
      </c>
      <c r="E2404" s="17" t="s">
        <v>100</v>
      </c>
      <c r="F2404" s="19">
        <v>294</v>
      </c>
      <c r="G2404" s="20"/>
      <c r="H2404" s="21"/>
      <c r="I2404" s="22"/>
    </row>
    <row r="2405" spans="1:9" ht="26" customHeight="1">
      <c r="A2405" s="2" t="s">
        <v>199</v>
      </c>
      <c r="B2405" s="13" t="s">
        <v>202</v>
      </c>
      <c r="C2405" s="13" t="s">
        <v>97</v>
      </c>
      <c r="D2405" s="13">
        <v>4</v>
      </c>
      <c r="E2405" s="2" t="s">
        <v>101</v>
      </c>
      <c r="F2405" s="7">
        <v>299</v>
      </c>
      <c r="G2405" s="3"/>
      <c r="H2405" s="4"/>
      <c r="I2405" s="5"/>
    </row>
    <row r="2406" spans="1:9" ht="26" customHeight="1">
      <c r="A2406" s="17" t="s">
        <v>199</v>
      </c>
      <c r="B2406" s="18" t="s">
        <v>202</v>
      </c>
      <c r="C2406" s="18" t="s">
        <v>97</v>
      </c>
      <c r="D2406" s="18">
        <v>5</v>
      </c>
      <c r="E2406" s="17" t="s">
        <v>102</v>
      </c>
      <c r="F2406" s="19">
        <v>299</v>
      </c>
      <c r="G2406" s="20"/>
      <c r="H2406" s="21"/>
      <c r="I2406" s="22"/>
    </row>
    <row r="2407" spans="1:9" ht="26" customHeight="1">
      <c r="A2407" s="2" t="s">
        <v>199</v>
      </c>
      <c r="B2407" s="13" t="s">
        <v>202</v>
      </c>
      <c r="C2407" s="13" t="s">
        <v>97</v>
      </c>
      <c r="D2407" s="13">
        <v>6</v>
      </c>
      <c r="E2407" s="2" t="s">
        <v>103</v>
      </c>
      <c r="F2407" s="7">
        <v>300</v>
      </c>
      <c r="G2407" s="3"/>
      <c r="H2407" s="4"/>
      <c r="I2407" s="5"/>
    </row>
    <row r="2408" spans="1:9" ht="26" customHeight="1">
      <c r="A2408" s="17" t="s">
        <v>199</v>
      </c>
      <c r="B2408" s="18" t="s">
        <v>202</v>
      </c>
      <c r="C2408" s="18" t="s">
        <v>97</v>
      </c>
      <c r="D2408" s="18">
        <v>7</v>
      </c>
      <c r="E2408" s="17" t="s">
        <v>104</v>
      </c>
      <c r="F2408" s="19">
        <v>300</v>
      </c>
      <c r="G2408" s="20"/>
      <c r="H2408" s="21"/>
      <c r="I2408" s="22"/>
    </row>
    <row r="2409" spans="1:9" ht="26" customHeight="1">
      <c r="A2409" s="2" t="s">
        <v>199</v>
      </c>
      <c r="B2409" s="13" t="s">
        <v>202</v>
      </c>
      <c r="C2409" s="13" t="s">
        <v>97</v>
      </c>
      <c r="D2409" s="13">
        <v>8</v>
      </c>
      <c r="E2409" s="2" t="s">
        <v>105</v>
      </c>
      <c r="F2409" s="7">
        <v>300</v>
      </c>
      <c r="G2409" s="3"/>
      <c r="H2409" s="4"/>
      <c r="I2409" s="5"/>
    </row>
    <row r="2410" spans="1:9" ht="26" customHeight="1">
      <c r="A2410" s="17" t="s">
        <v>199</v>
      </c>
      <c r="B2410" s="18" t="s">
        <v>202</v>
      </c>
      <c r="C2410" s="18" t="s">
        <v>97</v>
      </c>
      <c r="D2410" s="18">
        <v>9</v>
      </c>
      <c r="E2410" s="17" t="s">
        <v>106</v>
      </c>
      <c r="F2410" s="19">
        <v>300</v>
      </c>
      <c r="G2410" s="20"/>
      <c r="H2410" s="21"/>
      <c r="I2410" s="22"/>
    </row>
    <row r="2411" spans="1:9" ht="26" customHeight="1">
      <c r="A2411" s="2" t="s">
        <v>199</v>
      </c>
      <c r="B2411" s="13" t="s">
        <v>202</v>
      </c>
      <c r="C2411" s="13" t="s">
        <v>97</v>
      </c>
      <c r="D2411" s="13">
        <v>10</v>
      </c>
      <c r="E2411" s="2" t="s">
        <v>107</v>
      </c>
      <c r="F2411" s="7">
        <v>300</v>
      </c>
      <c r="G2411" s="3"/>
      <c r="H2411" s="4"/>
      <c r="I2411" s="5"/>
    </row>
    <row r="2412" spans="1:9" ht="26" customHeight="1">
      <c r="A2412" s="17" t="s">
        <v>199</v>
      </c>
      <c r="B2412" s="18" t="s">
        <v>202</v>
      </c>
      <c r="C2412" s="18" t="s">
        <v>97</v>
      </c>
      <c r="D2412" s="18">
        <v>11</v>
      </c>
      <c r="E2412" s="17" t="s">
        <v>108</v>
      </c>
      <c r="F2412" s="19">
        <v>300</v>
      </c>
      <c r="G2412" s="20"/>
      <c r="H2412" s="21"/>
      <c r="I2412" s="22"/>
    </row>
    <row r="2413" spans="1:9" ht="26" customHeight="1">
      <c r="A2413" s="2" t="s">
        <v>199</v>
      </c>
      <c r="B2413" s="13" t="s">
        <v>202</v>
      </c>
      <c r="C2413" s="13" t="s">
        <v>97</v>
      </c>
      <c r="D2413" s="13">
        <v>12</v>
      </c>
      <c r="E2413" s="2" t="s">
        <v>109</v>
      </c>
      <c r="F2413" s="7">
        <v>304</v>
      </c>
      <c r="G2413" s="3"/>
      <c r="H2413" s="4"/>
      <c r="I2413" s="5"/>
    </row>
    <row r="2414" spans="1:9" ht="26" customHeight="1">
      <c r="A2414" s="17" t="s">
        <v>199</v>
      </c>
      <c r="B2414" s="18" t="s">
        <v>202</v>
      </c>
      <c r="C2414" s="18" t="s">
        <v>97</v>
      </c>
      <c r="D2414" s="18">
        <v>13</v>
      </c>
      <c r="E2414" s="17" t="s">
        <v>110</v>
      </c>
      <c r="F2414" s="19">
        <v>304</v>
      </c>
      <c r="G2414" s="20"/>
      <c r="H2414" s="21"/>
      <c r="I2414" s="22"/>
    </row>
    <row r="2415" spans="1:9" ht="26" customHeight="1">
      <c r="A2415" s="2" t="s">
        <v>199</v>
      </c>
      <c r="B2415" s="13" t="s">
        <v>202</v>
      </c>
      <c r="C2415" s="13" t="s">
        <v>97</v>
      </c>
      <c r="D2415" s="13">
        <v>14</v>
      </c>
      <c r="E2415" s="2" t="s">
        <v>111</v>
      </c>
      <c r="F2415" s="7">
        <v>305</v>
      </c>
      <c r="G2415" s="3"/>
      <c r="H2415" s="4"/>
      <c r="I2415" s="5"/>
    </row>
    <row r="2416" spans="1:9" ht="26" customHeight="1">
      <c r="A2416" s="17" t="s">
        <v>199</v>
      </c>
      <c r="B2416" s="18" t="s">
        <v>202</v>
      </c>
      <c r="C2416" s="18" t="s">
        <v>97</v>
      </c>
      <c r="D2416" s="18">
        <v>15</v>
      </c>
      <c r="E2416" s="17" t="s">
        <v>112</v>
      </c>
      <c r="F2416" s="19">
        <v>305</v>
      </c>
      <c r="G2416" s="20"/>
      <c r="H2416" s="21"/>
      <c r="I2416" s="22"/>
    </row>
    <row r="2417" spans="1:9" ht="26" customHeight="1">
      <c r="A2417" s="2" t="s">
        <v>199</v>
      </c>
      <c r="B2417" s="13" t="s">
        <v>202</v>
      </c>
      <c r="C2417" s="13" t="s">
        <v>97</v>
      </c>
      <c r="D2417" s="13">
        <v>16</v>
      </c>
      <c r="E2417" s="2" t="s">
        <v>113</v>
      </c>
      <c r="F2417" s="7">
        <v>305</v>
      </c>
      <c r="G2417" s="3"/>
      <c r="H2417" s="4"/>
      <c r="I2417" s="5"/>
    </row>
    <row r="2418" spans="1:9" ht="26" customHeight="1">
      <c r="A2418" s="17" t="s">
        <v>199</v>
      </c>
      <c r="B2418" s="18" t="s">
        <v>202</v>
      </c>
      <c r="C2418" s="18" t="s">
        <v>97</v>
      </c>
      <c r="D2418" s="18">
        <v>17</v>
      </c>
      <c r="E2418" s="17" t="s">
        <v>114</v>
      </c>
      <c r="F2418" s="19">
        <v>310</v>
      </c>
      <c r="G2418" s="20"/>
      <c r="H2418" s="21"/>
      <c r="I2418" s="22"/>
    </row>
    <row r="2419" spans="1:9" ht="26" customHeight="1">
      <c r="A2419" s="2" t="s">
        <v>199</v>
      </c>
      <c r="B2419" s="13" t="s">
        <v>202</v>
      </c>
      <c r="C2419" s="13" t="s">
        <v>97</v>
      </c>
      <c r="D2419" s="13">
        <v>18</v>
      </c>
      <c r="E2419" s="2" t="s">
        <v>115</v>
      </c>
      <c r="F2419" s="7">
        <v>310</v>
      </c>
      <c r="G2419" s="3"/>
      <c r="H2419" s="4"/>
      <c r="I2419" s="5"/>
    </row>
    <row r="2420" spans="1:9" ht="26" customHeight="1">
      <c r="A2420" s="17" t="s">
        <v>199</v>
      </c>
      <c r="B2420" s="18" t="s">
        <v>202</v>
      </c>
      <c r="C2420" s="18" t="s">
        <v>97</v>
      </c>
      <c r="D2420" s="18">
        <v>19</v>
      </c>
      <c r="E2420" s="17" t="s">
        <v>116</v>
      </c>
      <c r="F2420" s="19">
        <v>310</v>
      </c>
      <c r="G2420" s="20"/>
      <c r="H2420" s="21"/>
      <c r="I2420" s="22"/>
    </row>
    <row r="2421" spans="1:9" ht="26" customHeight="1">
      <c r="A2421" s="2" t="s">
        <v>199</v>
      </c>
      <c r="B2421" s="13" t="s">
        <v>202</v>
      </c>
      <c r="C2421" s="13" t="s">
        <v>97</v>
      </c>
      <c r="D2421" s="13">
        <v>20</v>
      </c>
      <c r="E2421" s="2" t="s">
        <v>117</v>
      </c>
      <c r="F2421" s="7">
        <v>312</v>
      </c>
      <c r="G2421" s="3"/>
      <c r="H2421" s="4"/>
      <c r="I2421" s="5"/>
    </row>
    <row r="2422" spans="1:9" ht="26" customHeight="1">
      <c r="A2422" s="17" t="s">
        <v>199</v>
      </c>
      <c r="B2422" s="18" t="s">
        <v>202</v>
      </c>
      <c r="C2422" s="18" t="s">
        <v>97</v>
      </c>
      <c r="D2422" s="18">
        <v>21</v>
      </c>
      <c r="E2422" s="17" t="s">
        <v>118</v>
      </c>
      <c r="F2422" s="19">
        <v>314</v>
      </c>
      <c r="G2422" s="20"/>
      <c r="H2422" s="21"/>
      <c r="I2422" s="22"/>
    </row>
    <row r="2423" spans="1:9" ht="26" customHeight="1">
      <c r="A2423" s="2" t="s">
        <v>199</v>
      </c>
      <c r="B2423" s="13" t="s">
        <v>202</v>
      </c>
      <c r="C2423" s="13" t="s">
        <v>97</v>
      </c>
      <c r="D2423" s="13">
        <v>22</v>
      </c>
      <c r="E2423" s="2" t="s">
        <v>119</v>
      </c>
      <c r="F2423" s="7">
        <v>314</v>
      </c>
      <c r="G2423" s="3"/>
      <c r="H2423" s="4"/>
      <c r="I2423" s="5"/>
    </row>
    <row r="2424" spans="1:9" ht="26" customHeight="1">
      <c r="A2424" s="17" t="s">
        <v>199</v>
      </c>
      <c r="B2424" s="18" t="s">
        <v>202</v>
      </c>
      <c r="C2424" s="18" t="s">
        <v>97</v>
      </c>
      <c r="D2424" s="18">
        <v>23</v>
      </c>
      <c r="E2424" s="17" t="s">
        <v>120</v>
      </c>
      <c r="F2424" s="19">
        <v>318</v>
      </c>
      <c r="G2424" s="20"/>
      <c r="H2424" s="21"/>
      <c r="I2424" s="22"/>
    </row>
    <row r="2425" spans="1:9" ht="26" customHeight="1">
      <c r="A2425" s="2" t="s">
        <v>199</v>
      </c>
      <c r="B2425" s="13" t="s">
        <v>202</v>
      </c>
      <c r="C2425" s="13" t="s">
        <v>97</v>
      </c>
      <c r="D2425" s="13">
        <v>24</v>
      </c>
      <c r="E2425" s="2" t="s">
        <v>121</v>
      </c>
      <c r="F2425" s="7">
        <v>318</v>
      </c>
      <c r="G2425" s="3"/>
      <c r="H2425" s="4"/>
      <c r="I2425" s="5"/>
    </row>
    <row r="2426" spans="1:9" ht="26" customHeight="1">
      <c r="A2426" s="17" t="s">
        <v>199</v>
      </c>
      <c r="B2426" s="18" t="s">
        <v>202</v>
      </c>
      <c r="C2426" s="18" t="s">
        <v>97</v>
      </c>
      <c r="D2426" s="18">
        <v>25</v>
      </c>
      <c r="E2426" s="17" t="s">
        <v>122</v>
      </c>
      <c r="F2426" s="19">
        <v>318</v>
      </c>
      <c r="G2426" s="20"/>
      <c r="H2426" s="21"/>
      <c r="I2426" s="22"/>
    </row>
    <row r="2427" spans="1:9" ht="26" customHeight="1">
      <c r="A2427" s="2" t="s">
        <v>199</v>
      </c>
      <c r="B2427" s="13" t="s">
        <v>202</v>
      </c>
      <c r="C2427" s="13" t="s">
        <v>97</v>
      </c>
      <c r="D2427" s="13">
        <v>26</v>
      </c>
      <c r="E2427" s="2" t="s">
        <v>123</v>
      </c>
      <c r="F2427" s="7">
        <v>323</v>
      </c>
      <c r="G2427" s="3"/>
      <c r="H2427" s="4"/>
      <c r="I2427" s="5"/>
    </row>
    <row r="2428" spans="1:9" ht="26" customHeight="1">
      <c r="A2428" s="17" t="s">
        <v>199</v>
      </c>
      <c r="B2428" s="18" t="s">
        <v>202</v>
      </c>
      <c r="C2428" s="18" t="s">
        <v>97</v>
      </c>
      <c r="D2428" s="18">
        <v>27</v>
      </c>
      <c r="E2428" s="17" t="s">
        <v>124</v>
      </c>
      <c r="F2428" s="19">
        <v>343</v>
      </c>
      <c r="G2428" s="20"/>
      <c r="H2428" s="21"/>
      <c r="I2428" s="22"/>
    </row>
    <row r="2429" spans="1:9" ht="26" customHeight="1">
      <c r="A2429" s="2" t="s">
        <v>199</v>
      </c>
      <c r="B2429" s="13" t="s">
        <v>202</v>
      </c>
      <c r="C2429" s="13" t="s">
        <v>97</v>
      </c>
      <c r="D2429" s="13">
        <v>28</v>
      </c>
      <c r="E2429" s="2" t="s">
        <v>125</v>
      </c>
      <c r="F2429" s="7">
        <v>378</v>
      </c>
      <c r="G2429" s="3"/>
      <c r="H2429" s="4"/>
      <c r="I2429" s="5"/>
    </row>
    <row r="2430" spans="1:9" ht="26" customHeight="1">
      <c r="A2430" s="17" t="s">
        <v>199</v>
      </c>
      <c r="B2430" s="18" t="s">
        <v>202</v>
      </c>
      <c r="C2430" s="18" t="s">
        <v>97</v>
      </c>
      <c r="D2430" s="18">
        <v>29</v>
      </c>
      <c r="E2430" s="17" t="s">
        <v>126</v>
      </c>
      <c r="F2430" s="19">
        <v>393</v>
      </c>
      <c r="G2430" s="20"/>
      <c r="H2430" s="21"/>
      <c r="I2430" s="22"/>
    </row>
    <row r="2431" spans="1:9" ht="26" customHeight="1">
      <c r="A2431" s="2" t="s">
        <v>199</v>
      </c>
      <c r="B2431" s="13" t="s">
        <v>202</v>
      </c>
      <c r="C2431" s="13" t="s">
        <v>97</v>
      </c>
      <c r="D2431" s="13">
        <v>30</v>
      </c>
      <c r="E2431" s="2" t="s">
        <v>127</v>
      </c>
      <c r="F2431" s="7">
        <v>393</v>
      </c>
      <c r="G2431" s="3"/>
      <c r="H2431" s="4"/>
      <c r="I2431" s="5"/>
    </row>
    <row r="2432" spans="1:9" ht="26" customHeight="1">
      <c r="A2432" s="17" t="s">
        <v>199</v>
      </c>
      <c r="B2432" s="18" t="s">
        <v>202</v>
      </c>
      <c r="C2432" s="18" t="s">
        <v>128</v>
      </c>
      <c r="D2432" s="18">
        <v>31</v>
      </c>
      <c r="E2432" s="17" t="s">
        <v>129</v>
      </c>
      <c r="F2432" s="19">
        <v>226</v>
      </c>
      <c r="G2432" s="20"/>
      <c r="H2432" s="21"/>
      <c r="I2432" s="22"/>
    </row>
    <row r="2433" spans="1:9" ht="26" customHeight="1">
      <c r="A2433" s="2" t="s">
        <v>199</v>
      </c>
      <c r="B2433" s="13" t="s">
        <v>202</v>
      </c>
      <c r="C2433" s="13" t="s">
        <v>128</v>
      </c>
      <c r="D2433" s="13">
        <v>32</v>
      </c>
      <c r="E2433" s="2" t="s">
        <v>130</v>
      </c>
      <c r="F2433" s="7">
        <v>229</v>
      </c>
      <c r="G2433" s="3"/>
      <c r="H2433" s="4"/>
      <c r="I2433" s="5"/>
    </row>
    <row r="2434" spans="1:9" ht="26" customHeight="1">
      <c r="A2434" s="17" t="s">
        <v>199</v>
      </c>
      <c r="B2434" s="18" t="s">
        <v>202</v>
      </c>
      <c r="C2434" s="18" t="s">
        <v>128</v>
      </c>
      <c r="D2434" s="18">
        <v>33</v>
      </c>
      <c r="E2434" s="17" t="s">
        <v>131</v>
      </c>
      <c r="F2434" s="19">
        <v>229</v>
      </c>
      <c r="G2434" s="20"/>
      <c r="H2434" s="21"/>
      <c r="I2434" s="22"/>
    </row>
    <row r="2435" spans="1:9" ht="26" customHeight="1">
      <c r="A2435" s="2" t="s">
        <v>199</v>
      </c>
      <c r="B2435" s="13" t="s">
        <v>202</v>
      </c>
      <c r="C2435" s="13" t="s">
        <v>128</v>
      </c>
      <c r="D2435" s="13">
        <v>34</v>
      </c>
      <c r="E2435" s="2" t="s">
        <v>132</v>
      </c>
      <c r="F2435" s="7">
        <v>231</v>
      </c>
      <c r="G2435" s="3"/>
      <c r="H2435" s="4"/>
      <c r="I2435" s="5"/>
    </row>
    <row r="2436" spans="1:9" ht="26" customHeight="1">
      <c r="A2436" s="17" t="s">
        <v>199</v>
      </c>
      <c r="B2436" s="18" t="s">
        <v>202</v>
      </c>
      <c r="C2436" s="18" t="s">
        <v>128</v>
      </c>
      <c r="D2436" s="18">
        <v>35</v>
      </c>
      <c r="E2436" s="17" t="s">
        <v>133</v>
      </c>
      <c r="F2436" s="19">
        <v>274</v>
      </c>
      <c r="G2436" s="20"/>
      <c r="H2436" s="21"/>
      <c r="I2436" s="22"/>
    </row>
    <row r="2437" spans="1:9" ht="26" customHeight="1">
      <c r="A2437" s="2" t="s">
        <v>199</v>
      </c>
      <c r="B2437" s="13" t="s">
        <v>202</v>
      </c>
      <c r="C2437" s="13" t="s">
        <v>128</v>
      </c>
      <c r="D2437" s="13">
        <v>36</v>
      </c>
      <c r="E2437" s="2" t="s">
        <v>134</v>
      </c>
      <c r="F2437" s="7">
        <v>282</v>
      </c>
      <c r="G2437" s="3"/>
      <c r="H2437" s="4"/>
      <c r="I2437" s="5"/>
    </row>
    <row r="2438" spans="1:9" ht="26" customHeight="1">
      <c r="A2438" s="17" t="s">
        <v>199</v>
      </c>
      <c r="B2438" s="18" t="s">
        <v>202</v>
      </c>
      <c r="C2438" s="18" t="s">
        <v>128</v>
      </c>
      <c r="D2438" s="18">
        <v>37</v>
      </c>
      <c r="E2438" s="17" t="s">
        <v>135</v>
      </c>
      <c r="F2438" s="19">
        <v>344</v>
      </c>
      <c r="G2438" s="20"/>
      <c r="H2438" s="21"/>
      <c r="I2438" s="22"/>
    </row>
    <row r="2439" spans="1:9" ht="26" customHeight="1">
      <c r="A2439" s="2" t="s">
        <v>199</v>
      </c>
      <c r="B2439" s="13" t="s">
        <v>202</v>
      </c>
      <c r="C2439" s="13" t="s">
        <v>128</v>
      </c>
      <c r="D2439" s="13">
        <v>38</v>
      </c>
      <c r="E2439" s="2" t="s">
        <v>136</v>
      </c>
      <c r="F2439" s="7">
        <v>363</v>
      </c>
      <c r="G2439" s="3"/>
      <c r="H2439" s="4"/>
      <c r="I2439" s="5"/>
    </row>
    <row r="2440" spans="1:9" ht="26" customHeight="1">
      <c r="A2440" s="17" t="s">
        <v>199</v>
      </c>
      <c r="B2440" s="18" t="s">
        <v>202</v>
      </c>
      <c r="C2440" s="18" t="s">
        <v>128</v>
      </c>
      <c r="D2440" s="18">
        <v>39</v>
      </c>
      <c r="E2440" s="17" t="s">
        <v>137</v>
      </c>
      <c r="F2440" s="19">
        <v>372</v>
      </c>
      <c r="G2440" s="20"/>
      <c r="H2440" s="21"/>
      <c r="I2440" s="22"/>
    </row>
    <row r="2441" spans="1:9" ht="26" customHeight="1">
      <c r="A2441" s="2" t="s">
        <v>199</v>
      </c>
      <c r="B2441" s="13" t="s">
        <v>202</v>
      </c>
      <c r="C2441" s="13" t="s">
        <v>128</v>
      </c>
      <c r="D2441" s="13">
        <v>40</v>
      </c>
      <c r="E2441" s="2" t="s">
        <v>138</v>
      </c>
      <c r="F2441" s="7">
        <v>381</v>
      </c>
      <c r="G2441" s="3"/>
      <c r="H2441" s="4"/>
      <c r="I2441" s="5"/>
    </row>
    <row r="2442" spans="1:9" ht="26" customHeight="1">
      <c r="A2442" s="17" t="s">
        <v>199</v>
      </c>
      <c r="B2442" s="18" t="s">
        <v>202</v>
      </c>
      <c r="C2442" s="18" t="s">
        <v>128</v>
      </c>
      <c r="D2442" s="18">
        <v>41</v>
      </c>
      <c r="E2442" s="17" t="s">
        <v>139</v>
      </c>
      <c r="F2442" s="19">
        <v>404</v>
      </c>
      <c r="G2442" s="20"/>
      <c r="H2442" s="21"/>
      <c r="I2442" s="22"/>
    </row>
    <row r="2443" spans="1:9" ht="26" customHeight="1">
      <c r="A2443" s="2" t="s">
        <v>199</v>
      </c>
      <c r="B2443" s="13" t="s">
        <v>202</v>
      </c>
      <c r="C2443" s="13" t="s">
        <v>128</v>
      </c>
      <c r="D2443" s="13">
        <v>42</v>
      </c>
      <c r="E2443" s="2" t="s">
        <v>140</v>
      </c>
      <c r="F2443" s="7">
        <v>442</v>
      </c>
      <c r="G2443" s="3"/>
      <c r="H2443" s="4"/>
      <c r="I2443" s="5"/>
    </row>
    <row r="2444" spans="1:9" ht="26" customHeight="1">
      <c r="A2444" s="17" t="s">
        <v>199</v>
      </c>
      <c r="B2444" s="18" t="s">
        <v>202</v>
      </c>
      <c r="C2444" s="18" t="s">
        <v>128</v>
      </c>
      <c r="D2444" s="18">
        <v>43</v>
      </c>
      <c r="E2444" s="17" t="s">
        <v>141</v>
      </c>
      <c r="F2444" s="19">
        <v>442</v>
      </c>
      <c r="G2444" s="20"/>
      <c r="H2444" s="21"/>
      <c r="I2444" s="22"/>
    </row>
    <row r="2445" spans="1:9" ht="26" customHeight="1">
      <c r="A2445" s="2" t="s">
        <v>199</v>
      </c>
      <c r="B2445" s="13" t="s">
        <v>202</v>
      </c>
      <c r="C2445" s="13" t="s">
        <v>128</v>
      </c>
      <c r="D2445" s="13">
        <v>44</v>
      </c>
      <c r="E2445" s="2" t="s">
        <v>142</v>
      </c>
      <c r="F2445" s="7">
        <v>447</v>
      </c>
      <c r="G2445" s="3"/>
      <c r="H2445" s="4"/>
      <c r="I2445" s="5"/>
    </row>
    <row r="2446" spans="1:9" ht="26" customHeight="1">
      <c r="A2446" s="17" t="s">
        <v>199</v>
      </c>
      <c r="B2446" s="18" t="s">
        <v>202</v>
      </c>
      <c r="C2446" s="18" t="s">
        <v>128</v>
      </c>
      <c r="D2446" s="18">
        <v>45</v>
      </c>
      <c r="E2446" s="17" t="s">
        <v>143</v>
      </c>
      <c r="F2446" s="19">
        <v>452</v>
      </c>
      <c r="G2446" s="20"/>
      <c r="H2446" s="21"/>
      <c r="I2446" s="22"/>
    </row>
    <row r="2447" spans="1:9" ht="26" customHeight="1">
      <c r="A2447" s="2" t="s">
        <v>199</v>
      </c>
      <c r="B2447" s="13" t="s">
        <v>202</v>
      </c>
      <c r="C2447" s="13" t="s">
        <v>128</v>
      </c>
      <c r="D2447" s="13">
        <v>46</v>
      </c>
      <c r="E2447" s="2" t="s">
        <v>144</v>
      </c>
      <c r="F2447" s="7">
        <v>452</v>
      </c>
      <c r="G2447" s="3"/>
      <c r="H2447" s="4"/>
      <c r="I2447" s="5"/>
    </row>
    <row r="2448" spans="1:9" ht="26" customHeight="1">
      <c r="A2448" s="17" t="s">
        <v>199</v>
      </c>
      <c r="B2448" s="18" t="s">
        <v>202</v>
      </c>
      <c r="C2448" s="18" t="s">
        <v>128</v>
      </c>
      <c r="D2448" s="18">
        <v>47</v>
      </c>
      <c r="E2448" s="17" t="s">
        <v>145</v>
      </c>
      <c r="F2448" s="19">
        <v>461</v>
      </c>
      <c r="G2448" s="20"/>
      <c r="H2448" s="21"/>
      <c r="I2448" s="22"/>
    </row>
    <row r="2449" spans="1:9" ht="26" customHeight="1">
      <c r="A2449" s="2" t="s">
        <v>199</v>
      </c>
      <c r="B2449" s="13" t="s">
        <v>202</v>
      </c>
      <c r="C2449" s="13" t="s">
        <v>128</v>
      </c>
      <c r="D2449" s="13">
        <v>48</v>
      </c>
      <c r="E2449" s="2" t="s">
        <v>146</v>
      </c>
      <c r="F2449" s="7">
        <v>466</v>
      </c>
      <c r="G2449" s="3"/>
      <c r="H2449" s="4"/>
      <c r="I2449" s="5"/>
    </row>
    <row r="2450" spans="1:9" ht="26" customHeight="1">
      <c r="A2450" s="17" t="s">
        <v>199</v>
      </c>
      <c r="B2450" s="18" t="s">
        <v>203</v>
      </c>
      <c r="C2450" s="18" t="s">
        <v>97</v>
      </c>
      <c r="D2450" s="18">
        <v>1</v>
      </c>
      <c r="E2450" s="17" t="s">
        <v>98</v>
      </c>
      <c r="F2450" s="19">
        <v>251</v>
      </c>
      <c r="G2450" s="20"/>
      <c r="H2450" s="21"/>
      <c r="I2450" s="22"/>
    </row>
    <row r="2451" spans="1:9" ht="26" customHeight="1">
      <c r="A2451" s="2" t="s">
        <v>199</v>
      </c>
      <c r="B2451" s="13" t="s">
        <v>203</v>
      </c>
      <c r="C2451" s="13" t="s">
        <v>97</v>
      </c>
      <c r="D2451" s="13">
        <v>2</v>
      </c>
      <c r="E2451" s="2" t="s">
        <v>99</v>
      </c>
      <c r="F2451" s="7">
        <v>251</v>
      </c>
      <c r="G2451" s="3"/>
      <c r="H2451" s="4"/>
      <c r="I2451" s="5"/>
    </row>
    <row r="2452" spans="1:9" ht="26" customHeight="1">
      <c r="A2452" s="17" t="s">
        <v>199</v>
      </c>
      <c r="B2452" s="18" t="s">
        <v>203</v>
      </c>
      <c r="C2452" s="18" t="s">
        <v>97</v>
      </c>
      <c r="D2452" s="18">
        <v>3</v>
      </c>
      <c r="E2452" s="17" t="s">
        <v>100</v>
      </c>
      <c r="F2452" s="19">
        <v>276</v>
      </c>
      <c r="G2452" s="20"/>
      <c r="H2452" s="21"/>
      <c r="I2452" s="22"/>
    </row>
    <row r="2453" spans="1:9" ht="26" customHeight="1">
      <c r="A2453" s="2" t="s">
        <v>199</v>
      </c>
      <c r="B2453" s="13" t="s">
        <v>203</v>
      </c>
      <c r="C2453" s="13" t="s">
        <v>97</v>
      </c>
      <c r="D2453" s="13">
        <v>4</v>
      </c>
      <c r="E2453" s="2" t="s">
        <v>101</v>
      </c>
      <c r="F2453" s="7">
        <v>280</v>
      </c>
      <c r="G2453" s="3"/>
      <c r="H2453" s="4"/>
      <c r="I2453" s="5"/>
    </row>
    <row r="2454" spans="1:9" ht="26" customHeight="1">
      <c r="A2454" s="17" t="s">
        <v>199</v>
      </c>
      <c r="B2454" s="18" t="s">
        <v>203</v>
      </c>
      <c r="C2454" s="18" t="s">
        <v>97</v>
      </c>
      <c r="D2454" s="18">
        <v>5</v>
      </c>
      <c r="E2454" s="17" t="s">
        <v>102</v>
      </c>
      <c r="F2454" s="19">
        <v>280</v>
      </c>
      <c r="G2454" s="20"/>
      <c r="H2454" s="21"/>
      <c r="I2454" s="22"/>
    </row>
    <row r="2455" spans="1:9" ht="26" customHeight="1">
      <c r="A2455" s="2" t="s">
        <v>199</v>
      </c>
      <c r="B2455" s="13" t="s">
        <v>203</v>
      </c>
      <c r="C2455" s="13" t="s">
        <v>97</v>
      </c>
      <c r="D2455" s="13">
        <v>6</v>
      </c>
      <c r="E2455" s="2" t="s">
        <v>103</v>
      </c>
      <c r="F2455" s="7">
        <v>281</v>
      </c>
      <c r="G2455" s="3"/>
      <c r="H2455" s="4"/>
      <c r="I2455" s="5"/>
    </row>
    <row r="2456" spans="1:9" ht="26" customHeight="1">
      <c r="A2456" s="17" t="s">
        <v>199</v>
      </c>
      <c r="B2456" s="18" t="s">
        <v>203</v>
      </c>
      <c r="C2456" s="18" t="s">
        <v>97</v>
      </c>
      <c r="D2456" s="18">
        <v>7</v>
      </c>
      <c r="E2456" s="17" t="s">
        <v>104</v>
      </c>
      <c r="F2456" s="19">
        <v>281</v>
      </c>
      <c r="G2456" s="20"/>
      <c r="H2456" s="21"/>
      <c r="I2456" s="22"/>
    </row>
    <row r="2457" spans="1:9" ht="26" customHeight="1">
      <c r="A2457" s="2" t="s">
        <v>199</v>
      </c>
      <c r="B2457" s="13" t="s">
        <v>203</v>
      </c>
      <c r="C2457" s="13" t="s">
        <v>97</v>
      </c>
      <c r="D2457" s="13">
        <v>8</v>
      </c>
      <c r="E2457" s="2" t="s">
        <v>105</v>
      </c>
      <c r="F2457" s="7">
        <v>281</v>
      </c>
      <c r="G2457" s="3"/>
      <c r="H2457" s="4"/>
      <c r="I2457" s="5"/>
    </row>
    <row r="2458" spans="1:9" ht="26" customHeight="1">
      <c r="A2458" s="17" t="s">
        <v>199</v>
      </c>
      <c r="B2458" s="18" t="s">
        <v>203</v>
      </c>
      <c r="C2458" s="18" t="s">
        <v>97</v>
      </c>
      <c r="D2458" s="18">
        <v>9</v>
      </c>
      <c r="E2458" s="17" t="s">
        <v>106</v>
      </c>
      <c r="F2458" s="19">
        <v>281</v>
      </c>
      <c r="G2458" s="20"/>
      <c r="H2458" s="21"/>
      <c r="I2458" s="22"/>
    </row>
    <row r="2459" spans="1:9" ht="26" customHeight="1">
      <c r="A2459" s="2" t="s">
        <v>199</v>
      </c>
      <c r="B2459" s="13" t="s">
        <v>203</v>
      </c>
      <c r="C2459" s="13" t="s">
        <v>97</v>
      </c>
      <c r="D2459" s="13">
        <v>10</v>
      </c>
      <c r="E2459" s="2" t="s">
        <v>107</v>
      </c>
      <c r="F2459" s="7">
        <v>281</v>
      </c>
      <c r="G2459" s="3"/>
      <c r="H2459" s="4"/>
      <c r="I2459" s="5"/>
    </row>
    <row r="2460" spans="1:9" ht="26" customHeight="1">
      <c r="A2460" s="17" t="s">
        <v>199</v>
      </c>
      <c r="B2460" s="18" t="s">
        <v>203</v>
      </c>
      <c r="C2460" s="18" t="s">
        <v>97</v>
      </c>
      <c r="D2460" s="18">
        <v>11</v>
      </c>
      <c r="E2460" s="17" t="s">
        <v>108</v>
      </c>
      <c r="F2460" s="19">
        <v>281</v>
      </c>
      <c r="G2460" s="20"/>
      <c r="H2460" s="21"/>
      <c r="I2460" s="22"/>
    </row>
    <row r="2461" spans="1:9" ht="26" customHeight="1">
      <c r="A2461" s="2" t="s">
        <v>199</v>
      </c>
      <c r="B2461" s="13" t="s">
        <v>203</v>
      </c>
      <c r="C2461" s="13" t="s">
        <v>97</v>
      </c>
      <c r="D2461" s="13">
        <v>12</v>
      </c>
      <c r="E2461" s="2" t="s">
        <v>109</v>
      </c>
      <c r="F2461" s="7">
        <v>285</v>
      </c>
      <c r="G2461" s="3"/>
      <c r="H2461" s="4"/>
      <c r="I2461" s="5"/>
    </row>
    <row r="2462" spans="1:9" ht="26" customHeight="1">
      <c r="A2462" s="17" t="s">
        <v>199</v>
      </c>
      <c r="B2462" s="18" t="s">
        <v>203</v>
      </c>
      <c r="C2462" s="18" t="s">
        <v>97</v>
      </c>
      <c r="D2462" s="18">
        <v>13</v>
      </c>
      <c r="E2462" s="17" t="s">
        <v>110</v>
      </c>
      <c r="F2462" s="19">
        <v>285</v>
      </c>
      <c r="G2462" s="20"/>
      <c r="H2462" s="21"/>
      <c r="I2462" s="22"/>
    </row>
    <row r="2463" spans="1:9" ht="26" customHeight="1">
      <c r="A2463" s="2" t="s">
        <v>199</v>
      </c>
      <c r="B2463" s="13" t="s">
        <v>203</v>
      </c>
      <c r="C2463" s="13" t="s">
        <v>97</v>
      </c>
      <c r="D2463" s="13">
        <v>14</v>
      </c>
      <c r="E2463" s="2" t="s">
        <v>111</v>
      </c>
      <c r="F2463" s="7">
        <v>286</v>
      </c>
      <c r="G2463" s="3"/>
      <c r="H2463" s="4"/>
      <c r="I2463" s="5"/>
    </row>
    <row r="2464" spans="1:9" ht="26" customHeight="1">
      <c r="A2464" s="17" t="s">
        <v>199</v>
      </c>
      <c r="B2464" s="18" t="s">
        <v>203</v>
      </c>
      <c r="C2464" s="18" t="s">
        <v>97</v>
      </c>
      <c r="D2464" s="18">
        <v>15</v>
      </c>
      <c r="E2464" s="17" t="s">
        <v>112</v>
      </c>
      <c r="F2464" s="19">
        <v>286</v>
      </c>
      <c r="G2464" s="20"/>
      <c r="H2464" s="21"/>
      <c r="I2464" s="22"/>
    </row>
    <row r="2465" spans="1:9" ht="26" customHeight="1">
      <c r="A2465" s="2" t="s">
        <v>199</v>
      </c>
      <c r="B2465" s="13" t="s">
        <v>203</v>
      </c>
      <c r="C2465" s="13" t="s">
        <v>97</v>
      </c>
      <c r="D2465" s="13">
        <v>16</v>
      </c>
      <c r="E2465" s="2" t="s">
        <v>113</v>
      </c>
      <c r="F2465" s="7">
        <v>286</v>
      </c>
      <c r="G2465" s="3"/>
      <c r="H2465" s="4"/>
      <c r="I2465" s="5"/>
    </row>
    <row r="2466" spans="1:9" ht="26" customHeight="1">
      <c r="A2466" s="17" t="s">
        <v>199</v>
      </c>
      <c r="B2466" s="18" t="s">
        <v>203</v>
      </c>
      <c r="C2466" s="18" t="s">
        <v>97</v>
      </c>
      <c r="D2466" s="18">
        <v>17</v>
      </c>
      <c r="E2466" s="17" t="s">
        <v>114</v>
      </c>
      <c r="F2466" s="19">
        <v>290</v>
      </c>
      <c r="G2466" s="20"/>
      <c r="H2466" s="21"/>
      <c r="I2466" s="22"/>
    </row>
    <row r="2467" spans="1:9" ht="26" customHeight="1">
      <c r="A2467" s="2" t="s">
        <v>199</v>
      </c>
      <c r="B2467" s="13" t="s">
        <v>203</v>
      </c>
      <c r="C2467" s="13" t="s">
        <v>97</v>
      </c>
      <c r="D2467" s="13">
        <v>18</v>
      </c>
      <c r="E2467" s="2" t="s">
        <v>115</v>
      </c>
      <c r="F2467" s="7">
        <v>290</v>
      </c>
      <c r="G2467" s="3"/>
      <c r="H2467" s="4"/>
      <c r="I2467" s="5"/>
    </row>
    <row r="2468" spans="1:9" ht="26" customHeight="1">
      <c r="A2468" s="17" t="s">
        <v>199</v>
      </c>
      <c r="B2468" s="18" t="s">
        <v>203</v>
      </c>
      <c r="C2468" s="18" t="s">
        <v>97</v>
      </c>
      <c r="D2468" s="18">
        <v>19</v>
      </c>
      <c r="E2468" s="17" t="s">
        <v>116</v>
      </c>
      <c r="F2468" s="19">
        <v>290</v>
      </c>
      <c r="G2468" s="20"/>
      <c r="H2468" s="21"/>
      <c r="I2468" s="22"/>
    </row>
    <row r="2469" spans="1:9" ht="26" customHeight="1">
      <c r="A2469" s="2" t="s">
        <v>199</v>
      </c>
      <c r="B2469" s="13" t="s">
        <v>203</v>
      </c>
      <c r="C2469" s="13" t="s">
        <v>97</v>
      </c>
      <c r="D2469" s="13">
        <v>20</v>
      </c>
      <c r="E2469" s="2" t="s">
        <v>117</v>
      </c>
      <c r="F2469" s="7">
        <v>292</v>
      </c>
      <c r="G2469" s="3"/>
      <c r="H2469" s="4"/>
      <c r="I2469" s="5"/>
    </row>
    <row r="2470" spans="1:9" ht="26" customHeight="1">
      <c r="A2470" s="17" t="s">
        <v>199</v>
      </c>
      <c r="B2470" s="18" t="s">
        <v>203</v>
      </c>
      <c r="C2470" s="18" t="s">
        <v>97</v>
      </c>
      <c r="D2470" s="18">
        <v>21</v>
      </c>
      <c r="E2470" s="17" t="s">
        <v>118</v>
      </c>
      <c r="F2470" s="19">
        <v>294</v>
      </c>
      <c r="G2470" s="20"/>
      <c r="H2470" s="21"/>
      <c r="I2470" s="22"/>
    </row>
    <row r="2471" spans="1:9" ht="26" customHeight="1">
      <c r="A2471" s="2" t="s">
        <v>199</v>
      </c>
      <c r="B2471" s="13" t="s">
        <v>203</v>
      </c>
      <c r="C2471" s="13" t="s">
        <v>97</v>
      </c>
      <c r="D2471" s="13">
        <v>22</v>
      </c>
      <c r="E2471" s="2" t="s">
        <v>119</v>
      </c>
      <c r="F2471" s="7">
        <v>294</v>
      </c>
      <c r="G2471" s="3"/>
      <c r="H2471" s="4"/>
      <c r="I2471" s="5"/>
    </row>
    <row r="2472" spans="1:9" ht="26" customHeight="1">
      <c r="A2472" s="17" t="s">
        <v>199</v>
      </c>
      <c r="B2472" s="18" t="s">
        <v>203</v>
      </c>
      <c r="C2472" s="18" t="s">
        <v>97</v>
      </c>
      <c r="D2472" s="18">
        <v>23</v>
      </c>
      <c r="E2472" s="17" t="s">
        <v>120</v>
      </c>
      <c r="F2472" s="19">
        <v>298</v>
      </c>
      <c r="G2472" s="20"/>
      <c r="H2472" s="21"/>
      <c r="I2472" s="22"/>
    </row>
    <row r="2473" spans="1:9" ht="26" customHeight="1">
      <c r="A2473" s="2" t="s">
        <v>199</v>
      </c>
      <c r="B2473" s="13" t="s">
        <v>203</v>
      </c>
      <c r="C2473" s="13" t="s">
        <v>97</v>
      </c>
      <c r="D2473" s="13">
        <v>24</v>
      </c>
      <c r="E2473" s="2" t="s">
        <v>121</v>
      </c>
      <c r="F2473" s="7">
        <v>298</v>
      </c>
      <c r="G2473" s="3"/>
      <c r="H2473" s="4"/>
      <c r="I2473" s="5"/>
    </row>
    <row r="2474" spans="1:9" ht="26" customHeight="1">
      <c r="A2474" s="17" t="s">
        <v>199</v>
      </c>
      <c r="B2474" s="18" t="s">
        <v>203</v>
      </c>
      <c r="C2474" s="18" t="s">
        <v>97</v>
      </c>
      <c r="D2474" s="18">
        <v>25</v>
      </c>
      <c r="E2474" s="17" t="s">
        <v>122</v>
      </c>
      <c r="F2474" s="19">
        <v>298</v>
      </c>
      <c r="G2474" s="20"/>
      <c r="H2474" s="21"/>
      <c r="I2474" s="22"/>
    </row>
    <row r="2475" spans="1:9" ht="26" customHeight="1">
      <c r="A2475" s="2" t="s">
        <v>199</v>
      </c>
      <c r="B2475" s="13" t="s">
        <v>203</v>
      </c>
      <c r="C2475" s="13" t="s">
        <v>97</v>
      </c>
      <c r="D2475" s="13">
        <v>26</v>
      </c>
      <c r="E2475" s="2" t="s">
        <v>123</v>
      </c>
      <c r="F2475" s="7">
        <v>303</v>
      </c>
      <c r="G2475" s="3"/>
      <c r="H2475" s="4"/>
      <c r="I2475" s="5"/>
    </row>
    <row r="2476" spans="1:9" ht="26" customHeight="1">
      <c r="A2476" s="17" t="s">
        <v>199</v>
      </c>
      <c r="B2476" s="18" t="s">
        <v>203</v>
      </c>
      <c r="C2476" s="18" t="s">
        <v>97</v>
      </c>
      <c r="D2476" s="18">
        <v>27</v>
      </c>
      <c r="E2476" s="17" t="s">
        <v>124</v>
      </c>
      <c r="F2476" s="19">
        <v>321</v>
      </c>
      <c r="G2476" s="20"/>
      <c r="H2476" s="21"/>
      <c r="I2476" s="22"/>
    </row>
    <row r="2477" spans="1:9" ht="26" customHeight="1">
      <c r="A2477" s="2" t="s">
        <v>199</v>
      </c>
      <c r="B2477" s="13" t="s">
        <v>203</v>
      </c>
      <c r="C2477" s="13" t="s">
        <v>97</v>
      </c>
      <c r="D2477" s="13">
        <v>28</v>
      </c>
      <c r="E2477" s="2" t="s">
        <v>125</v>
      </c>
      <c r="F2477" s="7">
        <v>352</v>
      </c>
      <c r="G2477" s="3"/>
      <c r="H2477" s="4"/>
      <c r="I2477" s="5"/>
    </row>
    <row r="2478" spans="1:9" ht="26" customHeight="1">
      <c r="A2478" s="17" t="s">
        <v>199</v>
      </c>
      <c r="B2478" s="18" t="s">
        <v>203</v>
      </c>
      <c r="C2478" s="18" t="s">
        <v>97</v>
      </c>
      <c r="D2478" s="18">
        <v>29</v>
      </c>
      <c r="E2478" s="17" t="s">
        <v>126</v>
      </c>
      <c r="F2478" s="19">
        <v>366</v>
      </c>
      <c r="G2478" s="20"/>
      <c r="H2478" s="21"/>
      <c r="I2478" s="22"/>
    </row>
    <row r="2479" spans="1:9" ht="26" customHeight="1">
      <c r="A2479" s="2" t="s">
        <v>199</v>
      </c>
      <c r="B2479" s="13" t="s">
        <v>203</v>
      </c>
      <c r="C2479" s="13" t="s">
        <v>97</v>
      </c>
      <c r="D2479" s="13">
        <v>30</v>
      </c>
      <c r="E2479" s="2" t="s">
        <v>127</v>
      </c>
      <c r="F2479" s="7">
        <v>366</v>
      </c>
      <c r="G2479" s="3"/>
      <c r="H2479" s="4"/>
      <c r="I2479" s="5"/>
    </row>
    <row r="2480" spans="1:9" ht="26" customHeight="1">
      <c r="A2480" s="17" t="s">
        <v>199</v>
      </c>
      <c r="B2480" s="18" t="s">
        <v>203</v>
      </c>
      <c r="C2480" s="18" t="s">
        <v>128</v>
      </c>
      <c r="D2480" s="18">
        <v>31</v>
      </c>
      <c r="E2480" s="17" t="s">
        <v>129</v>
      </c>
      <c r="F2480" s="19">
        <v>214</v>
      </c>
      <c r="G2480" s="20"/>
      <c r="H2480" s="21"/>
      <c r="I2480" s="22"/>
    </row>
    <row r="2481" spans="1:9" ht="26" customHeight="1">
      <c r="A2481" s="2" t="s">
        <v>199</v>
      </c>
      <c r="B2481" s="13" t="s">
        <v>203</v>
      </c>
      <c r="C2481" s="13" t="s">
        <v>128</v>
      </c>
      <c r="D2481" s="13">
        <v>32</v>
      </c>
      <c r="E2481" s="2" t="s">
        <v>130</v>
      </c>
      <c r="F2481" s="7">
        <v>216</v>
      </c>
      <c r="G2481" s="3"/>
      <c r="H2481" s="4"/>
      <c r="I2481" s="5"/>
    </row>
    <row r="2482" spans="1:9" ht="26" customHeight="1">
      <c r="A2482" s="17" t="s">
        <v>199</v>
      </c>
      <c r="B2482" s="18" t="s">
        <v>203</v>
      </c>
      <c r="C2482" s="18" t="s">
        <v>128</v>
      </c>
      <c r="D2482" s="18">
        <v>33</v>
      </c>
      <c r="E2482" s="17" t="s">
        <v>131</v>
      </c>
      <c r="F2482" s="19">
        <v>216</v>
      </c>
      <c r="G2482" s="20"/>
      <c r="H2482" s="21"/>
      <c r="I2482" s="22"/>
    </row>
    <row r="2483" spans="1:9" ht="26" customHeight="1">
      <c r="A2483" s="2" t="s">
        <v>199</v>
      </c>
      <c r="B2483" s="13" t="s">
        <v>203</v>
      </c>
      <c r="C2483" s="13" t="s">
        <v>128</v>
      </c>
      <c r="D2483" s="13">
        <v>34</v>
      </c>
      <c r="E2483" s="2" t="s">
        <v>132</v>
      </c>
      <c r="F2483" s="7">
        <v>218</v>
      </c>
      <c r="G2483" s="3"/>
      <c r="H2483" s="4"/>
      <c r="I2483" s="5"/>
    </row>
    <row r="2484" spans="1:9" ht="26" customHeight="1">
      <c r="A2484" s="17" t="s">
        <v>199</v>
      </c>
      <c r="B2484" s="18" t="s">
        <v>203</v>
      </c>
      <c r="C2484" s="18" t="s">
        <v>128</v>
      </c>
      <c r="D2484" s="18">
        <v>35</v>
      </c>
      <c r="E2484" s="17" t="s">
        <v>133</v>
      </c>
      <c r="F2484" s="19">
        <v>257</v>
      </c>
      <c r="G2484" s="20"/>
      <c r="H2484" s="21"/>
      <c r="I2484" s="22"/>
    </row>
    <row r="2485" spans="1:9" ht="26" customHeight="1">
      <c r="A2485" s="2" t="s">
        <v>199</v>
      </c>
      <c r="B2485" s="13" t="s">
        <v>203</v>
      </c>
      <c r="C2485" s="13" t="s">
        <v>128</v>
      </c>
      <c r="D2485" s="13">
        <v>36</v>
      </c>
      <c r="E2485" s="2" t="s">
        <v>134</v>
      </c>
      <c r="F2485" s="7">
        <v>265</v>
      </c>
      <c r="G2485" s="3"/>
      <c r="H2485" s="4"/>
      <c r="I2485" s="5"/>
    </row>
    <row r="2486" spans="1:9" ht="26" customHeight="1">
      <c r="A2486" s="17" t="s">
        <v>199</v>
      </c>
      <c r="B2486" s="18" t="s">
        <v>203</v>
      </c>
      <c r="C2486" s="18" t="s">
        <v>128</v>
      </c>
      <c r="D2486" s="18">
        <v>37</v>
      </c>
      <c r="E2486" s="17" t="s">
        <v>135</v>
      </c>
      <c r="F2486" s="19">
        <v>321</v>
      </c>
      <c r="G2486" s="20"/>
      <c r="H2486" s="21"/>
      <c r="I2486" s="22"/>
    </row>
    <row r="2487" spans="1:9" ht="26" customHeight="1">
      <c r="A2487" s="2" t="s">
        <v>199</v>
      </c>
      <c r="B2487" s="13" t="s">
        <v>203</v>
      </c>
      <c r="C2487" s="13" t="s">
        <v>128</v>
      </c>
      <c r="D2487" s="13">
        <v>38</v>
      </c>
      <c r="E2487" s="2" t="s">
        <v>136</v>
      </c>
      <c r="F2487" s="7">
        <v>339</v>
      </c>
      <c r="G2487" s="3"/>
      <c r="H2487" s="4"/>
      <c r="I2487" s="5"/>
    </row>
    <row r="2488" spans="1:9" ht="26" customHeight="1">
      <c r="A2488" s="17" t="s">
        <v>199</v>
      </c>
      <c r="B2488" s="18" t="s">
        <v>203</v>
      </c>
      <c r="C2488" s="18" t="s">
        <v>128</v>
      </c>
      <c r="D2488" s="18">
        <v>39</v>
      </c>
      <c r="E2488" s="17" t="s">
        <v>137</v>
      </c>
      <c r="F2488" s="19">
        <v>347</v>
      </c>
      <c r="G2488" s="20"/>
      <c r="H2488" s="21"/>
      <c r="I2488" s="22"/>
    </row>
    <row r="2489" spans="1:9" ht="26" customHeight="1">
      <c r="A2489" s="2" t="s">
        <v>199</v>
      </c>
      <c r="B2489" s="13" t="s">
        <v>203</v>
      </c>
      <c r="C2489" s="13" t="s">
        <v>128</v>
      </c>
      <c r="D2489" s="13">
        <v>40</v>
      </c>
      <c r="E2489" s="2" t="s">
        <v>138</v>
      </c>
      <c r="F2489" s="7">
        <v>356</v>
      </c>
      <c r="G2489" s="3"/>
      <c r="H2489" s="4"/>
      <c r="I2489" s="5"/>
    </row>
    <row r="2490" spans="1:9" ht="26" customHeight="1">
      <c r="A2490" s="17" t="s">
        <v>199</v>
      </c>
      <c r="B2490" s="18" t="s">
        <v>203</v>
      </c>
      <c r="C2490" s="18" t="s">
        <v>128</v>
      </c>
      <c r="D2490" s="18">
        <v>41</v>
      </c>
      <c r="E2490" s="17" t="s">
        <v>139</v>
      </c>
      <c r="F2490" s="19">
        <v>377</v>
      </c>
      <c r="G2490" s="20"/>
      <c r="H2490" s="21"/>
      <c r="I2490" s="22"/>
    </row>
    <row r="2491" spans="1:9" ht="26" customHeight="1">
      <c r="A2491" s="2" t="s">
        <v>199</v>
      </c>
      <c r="B2491" s="13" t="s">
        <v>203</v>
      </c>
      <c r="C2491" s="13" t="s">
        <v>128</v>
      </c>
      <c r="D2491" s="13">
        <v>42</v>
      </c>
      <c r="E2491" s="2" t="s">
        <v>140</v>
      </c>
      <c r="F2491" s="7">
        <v>411</v>
      </c>
      <c r="G2491" s="3"/>
      <c r="H2491" s="4"/>
      <c r="I2491" s="5"/>
    </row>
    <row r="2492" spans="1:9" ht="26" customHeight="1">
      <c r="A2492" s="17" t="s">
        <v>199</v>
      </c>
      <c r="B2492" s="18" t="s">
        <v>203</v>
      </c>
      <c r="C2492" s="18" t="s">
        <v>128</v>
      </c>
      <c r="D2492" s="18">
        <v>43</v>
      </c>
      <c r="E2492" s="17" t="s">
        <v>141</v>
      </c>
      <c r="F2492" s="19">
        <v>411</v>
      </c>
      <c r="G2492" s="20"/>
      <c r="H2492" s="21"/>
      <c r="I2492" s="22"/>
    </row>
    <row r="2493" spans="1:9" ht="26" customHeight="1">
      <c r="A2493" s="2" t="s">
        <v>199</v>
      </c>
      <c r="B2493" s="13" t="s">
        <v>203</v>
      </c>
      <c r="C2493" s="13" t="s">
        <v>128</v>
      </c>
      <c r="D2493" s="13">
        <v>44</v>
      </c>
      <c r="E2493" s="2" t="s">
        <v>142</v>
      </c>
      <c r="F2493" s="7">
        <v>416</v>
      </c>
      <c r="G2493" s="3"/>
      <c r="H2493" s="4"/>
      <c r="I2493" s="5"/>
    </row>
    <row r="2494" spans="1:9" ht="26" customHeight="1">
      <c r="A2494" s="17" t="s">
        <v>199</v>
      </c>
      <c r="B2494" s="18" t="s">
        <v>203</v>
      </c>
      <c r="C2494" s="18" t="s">
        <v>128</v>
      </c>
      <c r="D2494" s="18">
        <v>45</v>
      </c>
      <c r="E2494" s="17" t="s">
        <v>143</v>
      </c>
      <c r="F2494" s="19">
        <v>420</v>
      </c>
      <c r="G2494" s="20"/>
      <c r="H2494" s="21"/>
      <c r="I2494" s="22"/>
    </row>
    <row r="2495" spans="1:9" ht="26" customHeight="1">
      <c r="A2495" s="2" t="s">
        <v>199</v>
      </c>
      <c r="B2495" s="13" t="s">
        <v>203</v>
      </c>
      <c r="C2495" s="13" t="s">
        <v>128</v>
      </c>
      <c r="D2495" s="13">
        <v>46</v>
      </c>
      <c r="E2495" s="2" t="s">
        <v>144</v>
      </c>
      <c r="F2495" s="7">
        <v>420</v>
      </c>
      <c r="G2495" s="3"/>
      <c r="H2495" s="4"/>
      <c r="I2495" s="5"/>
    </row>
    <row r="2496" spans="1:9" ht="26" customHeight="1">
      <c r="A2496" s="17" t="s">
        <v>199</v>
      </c>
      <c r="B2496" s="18" t="s">
        <v>203</v>
      </c>
      <c r="C2496" s="18" t="s">
        <v>128</v>
      </c>
      <c r="D2496" s="18">
        <v>47</v>
      </c>
      <c r="E2496" s="17" t="s">
        <v>145</v>
      </c>
      <c r="F2496" s="19">
        <v>428</v>
      </c>
      <c r="G2496" s="20"/>
      <c r="H2496" s="21"/>
      <c r="I2496" s="22"/>
    </row>
    <row r="2497" spans="1:9" ht="26" customHeight="1">
      <c r="A2497" s="2" t="s">
        <v>199</v>
      </c>
      <c r="B2497" s="13" t="s">
        <v>203</v>
      </c>
      <c r="C2497" s="13" t="s">
        <v>128</v>
      </c>
      <c r="D2497" s="13">
        <v>48</v>
      </c>
      <c r="E2497" s="2" t="s">
        <v>146</v>
      </c>
      <c r="F2497" s="7">
        <v>433</v>
      </c>
      <c r="G2497" s="3"/>
      <c r="H2497" s="4"/>
      <c r="I2497" s="5"/>
    </row>
    <row r="2498" spans="1:9" ht="26" customHeight="1">
      <c r="A2498" s="17" t="s">
        <v>199</v>
      </c>
      <c r="B2498" s="18" t="s">
        <v>204</v>
      </c>
      <c r="C2498" s="18" t="s">
        <v>97</v>
      </c>
      <c r="D2498" s="18">
        <v>1</v>
      </c>
      <c r="E2498" s="17" t="s">
        <v>98</v>
      </c>
      <c r="F2498" s="19">
        <v>259</v>
      </c>
      <c r="G2498" s="20"/>
      <c r="H2498" s="21"/>
      <c r="I2498" s="22"/>
    </row>
    <row r="2499" spans="1:9" ht="26" customHeight="1">
      <c r="A2499" s="2" t="s">
        <v>199</v>
      </c>
      <c r="B2499" s="13" t="s">
        <v>204</v>
      </c>
      <c r="C2499" s="13" t="s">
        <v>97</v>
      </c>
      <c r="D2499" s="13">
        <v>2</v>
      </c>
      <c r="E2499" s="2" t="s">
        <v>99</v>
      </c>
      <c r="F2499" s="7">
        <v>259</v>
      </c>
      <c r="G2499" s="3"/>
      <c r="H2499" s="4"/>
      <c r="I2499" s="5"/>
    </row>
    <row r="2500" spans="1:9" ht="26" customHeight="1">
      <c r="A2500" s="17" t="s">
        <v>199</v>
      </c>
      <c r="B2500" s="18" t="s">
        <v>204</v>
      </c>
      <c r="C2500" s="18" t="s">
        <v>97</v>
      </c>
      <c r="D2500" s="18">
        <v>3</v>
      </c>
      <c r="E2500" s="17" t="s">
        <v>100</v>
      </c>
      <c r="F2500" s="19">
        <v>285</v>
      </c>
      <c r="G2500" s="20"/>
      <c r="H2500" s="21"/>
      <c r="I2500" s="22"/>
    </row>
    <row r="2501" spans="1:9" ht="26" customHeight="1">
      <c r="A2501" s="2" t="s">
        <v>199</v>
      </c>
      <c r="B2501" s="13" t="s">
        <v>204</v>
      </c>
      <c r="C2501" s="13" t="s">
        <v>97</v>
      </c>
      <c r="D2501" s="13">
        <v>4</v>
      </c>
      <c r="E2501" s="2" t="s">
        <v>101</v>
      </c>
      <c r="F2501" s="7">
        <v>290</v>
      </c>
      <c r="G2501" s="3"/>
      <c r="H2501" s="4"/>
      <c r="I2501" s="5"/>
    </row>
    <row r="2502" spans="1:9" ht="26" customHeight="1">
      <c r="A2502" s="17" t="s">
        <v>199</v>
      </c>
      <c r="B2502" s="18" t="s">
        <v>204</v>
      </c>
      <c r="C2502" s="18" t="s">
        <v>97</v>
      </c>
      <c r="D2502" s="18">
        <v>5</v>
      </c>
      <c r="E2502" s="17" t="s">
        <v>102</v>
      </c>
      <c r="F2502" s="19">
        <v>290</v>
      </c>
      <c r="G2502" s="20"/>
      <c r="H2502" s="21"/>
      <c r="I2502" s="22"/>
    </row>
    <row r="2503" spans="1:9" ht="26" customHeight="1">
      <c r="A2503" s="2" t="s">
        <v>199</v>
      </c>
      <c r="B2503" s="13" t="s">
        <v>204</v>
      </c>
      <c r="C2503" s="13" t="s">
        <v>97</v>
      </c>
      <c r="D2503" s="13">
        <v>6</v>
      </c>
      <c r="E2503" s="2" t="s">
        <v>103</v>
      </c>
      <c r="F2503" s="7">
        <v>291</v>
      </c>
      <c r="G2503" s="3"/>
      <c r="H2503" s="4"/>
      <c r="I2503" s="5"/>
    </row>
    <row r="2504" spans="1:9" ht="26" customHeight="1">
      <c r="A2504" s="17" t="s">
        <v>199</v>
      </c>
      <c r="B2504" s="18" t="s">
        <v>204</v>
      </c>
      <c r="C2504" s="18" t="s">
        <v>97</v>
      </c>
      <c r="D2504" s="18">
        <v>7</v>
      </c>
      <c r="E2504" s="17" t="s">
        <v>104</v>
      </c>
      <c r="F2504" s="19">
        <v>291</v>
      </c>
      <c r="G2504" s="20"/>
      <c r="H2504" s="21"/>
      <c r="I2504" s="22"/>
    </row>
    <row r="2505" spans="1:9" ht="26" customHeight="1">
      <c r="A2505" s="2" t="s">
        <v>199</v>
      </c>
      <c r="B2505" s="13" t="s">
        <v>204</v>
      </c>
      <c r="C2505" s="13" t="s">
        <v>97</v>
      </c>
      <c r="D2505" s="13">
        <v>8</v>
      </c>
      <c r="E2505" s="2" t="s">
        <v>105</v>
      </c>
      <c r="F2505" s="7">
        <v>291</v>
      </c>
      <c r="G2505" s="3"/>
      <c r="H2505" s="4"/>
      <c r="I2505" s="5"/>
    </row>
    <row r="2506" spans="1:9" ht="26" customHeight="1">
      <c r="A2506" s="17" t="s">
        <v>199</v>
      </c>
      <c r="B2506" s="18" t="s">
        <v>204</v>
      </c>
      <c r="C2506" s="18" t="s">
        <v>97</v>
      </c>
      <c r="D2506" s="18">
        <v>9</v>
      </c>
      <c r="E2506" s="17" t="s">
        <v>106</v>
      </c>
      <c r="F2506" s="19">
        <v>291</v>
      </c>
      <c r="G2506" s="20"/>
      <c r="H2506" s="21"/>
      <c r="I2506" s="22"/>
    </row>
    <row r="2507" spans="1:9" ht="26" customHeight="1">
      <c r="A2507" s="2" t="s">
        <v>199</v>
      </c>
      <c r="B2507" s="13" t="s">
        <v>204</v>
      </c>
      <c r="C2507" s="13" t="s">
        <v>97</v>
      </c>
      <c r="D2507" s="13">
        <v>10</v>
      </c>
      <c r="E2507" s="2" t="s">
        <v>107</v>
      </c>
      <c r="F2507" s="7">
        <v>291</v>
      </c>
      <c r="G2507" s="3"/>
      <c r="H2507" s="4"/>
      <c r="I2507" s="5"/>
    </row>
    <row r="2508" spans="1:9" ht="26" customHeight="1">
      <c r="A2508" s="17" t="s">
        <v>199</v>
      </c>
      <c r="B2508" s="18" t="s">
        <v>204</v>
      </c>
      <c r="C2508" s="18" t="s">
        <v>97</v>
      </c>
      <c r="D2508" s="18">
        <v>11</v>
      </c>
      <c r="E2508" s="17" t="s">
        <v>108</v>
      </c>
      <c r="F2508" s="19">
        <v>291</v>
      </c>
      <c r="G2508" s="20"/>
      <c r="H2508" s="21"/>
      <c r="I2508" s="22"/>
    </row>
    <row r="2509" spans="1:9" ht="26" customHeight="1">
      <c r="A2509" s="2" t="s">
        <v>199</v>
      </c>
      <c r="B2509" s="13" t="s">
        <v>204</v>
      </c>
      <c r="C2509" s="13" t="s">
        <v>97</v>
      </c>
      <c r="D2509" s="13">
        <v>12</v>
      </c>
      <c r="E2509" s="2" t="s">
        <v>109</v>
      </c>
      <c r="F2509" s="7">
        <v>295</v>
      </c>
      <c r="G2509" s="3"/>
      <c r="H2509" s="4"/>
      <c r="I2509" s="5"/>
    </row>
    <row r="2510" spans="1:9" ht="26" customHeight="1">
      <c r="A2510" s="17" t="s">
        <v>199</v>
      </c>
      <c r="B2510" s="18" t="s">
        <v>204</v>
      </c>
      <c r="C2510" s="18" t="s">
        <v>97</v>
      </c>
      <c r="D2510" s="18">
        <v>13</v>
      </c>
      <c r="E2510" s="17" t="s">
        <v>110</v>
      </c>
      <c r="F2510" s="19">
        <v>295</v>
      </c>
      <c r="G2510" s="20"/>
      <c r="H2510" s="21"/>
      <c r="I2510" s="22"/>
    </row>
    <row r="2511" spans="1:9" ht="26" customHeight="1">
      <c r="A2511" s="2" t="s">
        <v>199</v>
      </c>
      <c r="B2511" s="13" t="s">
        <v>204</v>
      </c>
      <c r="C2511" s="13" t="s">
        <v>97</v>
      </c>
      <c r="D2511" s="13">
        <v>14</v>
      </c>
      <c r="E2511" s="2" t="s">
        <v>111</v>
      </c>
      <c r="F2511" s="7">
        <v>296</v>
      </c>
      <c r="G2511" s="3"/>
      <c r="H2511" s="4"/>
      <c r="I2511" s="5"/>
    </row>
    <row r="2512" spans="1:9" ht="26" customHeight="1">
      <c r="A2512" s="17" t="s">
        <v>199</v>
      </c>
      <c r="B2512" s="18" t="s">
        <v>204</v>
      </c>
      <c r="C2512" s="18" t="s">
        <v>97</v>
      </c>
      <c r="D2512" s="18">
        <v>15</v>
      </c>
      <c r="E2512" s="17" t="s">
        <v>112</v>
      </c>
      <c r="F2512" s="19">
        <v>296</v>
      </c>
      <c r="G2512" s="20"/>
      <c r="H2512" s="21"/>
      <c r="I2512" s="22"/>
    </row>
    <row r="2513" spans="1:9" ht="26" customHeight="1">
      <c r="A2513" s="2" t="s">
        <v>199</v>
      </c>
      <c r="B2513" s="13" t="s">
        <v>204</v>
      </c>
      <c r="C2513" s="13" t="s">
        <v>97</v>
      </c>
      <c r="D2513" s="13">
        <v>16</v>
      </c>
      <c r="E2513" s="2" t="s">
        <v>113</v>
      </c>
      <c r="F2513" s="7">
        <v>296</v>
      </c>
      <c r="G2513" s="3"/>
      <c r="H2513" s="4"/>
      <c r="I2513" s="5"/>
    </row>
    <row r="2514" spans="1:9" ht="26" customHeight="1">
      <c r="A2514" s="17" t="s">
        <v>199</v>
      </c>
      <c r="B2514" s="18" t="s">
        <v>204</v>
      </c>
      <c r="C2514" s="18" t="s">
        <v>97</v>
      </c>
      <c r="D2514" s="18">
        <v>17</v>
      </c>
      <c r="E2514" s="17" t="s">
        <v>114</v>
      </c>
      <c r="F2514" s="19">
        <v>300</v>
      </c>
      <c r="G2514" s="20"/>
      <c r="H2514" s="21"/>
      <c r="I2514" s="22"/>
    </row>
    <row r="2515" spans="1:9" ht="26" customHeight="1">
      <c r="A2515" s="2" t="s">
        <v>199</v>
      </c>
      <c r="B2515" s="13" t="s">
        <v>204</v>
      </c>
      <c r="C2515" s="13" t="s">
        <v>97</v>
      </c>
      <c r="D2515" s="13">
        <v>18</v>
      </c>
      <c r="E2515" s="2" t="s">
        <v>115</v>
      </c>
      <c r="F2515" s="7">
        <v>300</v>
      </c>
      <c r="G2515" s="3"/>
      <c r="H2515" s="4"/>
      <c r="I2515" s="5"/>
    </row>
    <row r="2516" spans="1:9" ht="26" customHeight="1">
      <c r="A2516" s="17" t="s">
        <v>199</v>
      </c>
      <c r="B2516" s="18" t="s">
        <v>204</v>
      </c>
      <c r="C2516" s="18" t="s">
        <v>97</v>
      </c>
      <c r="D2516" s="18">
        <v>19</v>
      </c>
      <c r="E2516" s="17" t="s">
        <v>116</v>
      </c>
      <c r="F2516" s="19">
        <v>300</v>
      </c>
      <c r="G2516" s="20"/>
      <c r="H2516" s="21"/>
      <c r="I2516" s="22"/>
    </row>
    <row r="2517" spans="1:9" ht="26" customHeight="1">
      <c r="A2517" s="2" t="s">
        <v>199</v>
      </c>
      <c r="B2517" s="13" t="s">
        <v>204</v>
      </c>
      <c r="C2517" s="13" t="s">
        <v>97</v>
      </c>
      <c r="D2517" s="13">
        <v>20</v>
      </c>
      <c r="E2517" s="2" t="s">
        <v>117</v>
      </c>
      <c r="F2517" s="7">
        <v>302</v>
      </c>
      <c r="G2517" s="3"/>
      <c r="H2517" s="4"/>
      <c r="I2517" s="5"/>
    </row>
    <row r="2518" spans="1:9" ht="26" customHeight="1">
      <c r="A2518" s="17" t="s">
        <v>199</v>
      </c>
      <c r="B2518" s="18" t="s">
        <v>204</v>
      </c>
      <c r="C2518" s="18" t="s">
        <v>97</v>
      </c>
      <c r="D2518" s="18">
        <v>21</v>
      </c>
      <c r="E2518" s="17" t="s">
        <v>118</v>
      </c>
      <c r="F2518" s="19">
        <v>304</v>
      </c>
      <c r="G2518" s="20"/>
      <c r="H2518" s="21"/>
      <c r="I2518" s="22"/>
    </row>
    <row r="2519" spans="1:9" ht="26" customHeight="1">
      <c r="A2519" s="2" t="s">
        <v>199</v>
      </c>
      <c r="B2519" s="13" t="s">
        <v>204</v>
      </c>
      <c r="C2519" s="13" t="s">
        <v>97</v>
      </c>
      <c r="D2519" s="13">
        <v>22</v>
      </c>
      <c r="E2519" s="2" t="s">
        <v>119</v>
      </c>
      <c r="F2519" s="7">
        <v>304</v>
      </c>
      <c r="G2519" s="3"/>
      <c r="H2519" s="4"/>
      <c r="I2519" s="5"/>
    </row>
    <row r="2520" spans="1:9" ht="26" customHeight="1">
      <c r="A2520" s="17" t="s">
        <v>199</v>
      </c>
      <c r="B2520" s="18" t="s">
        <v>204</v>
      </c>
      <c r="C2520" s="18" t="s">
        <v>97</v>
      </c>
      <c r="D2520" s="18">
        <v>23</v>
      </c>
      <c r="E2520" s="17" t="s">
        <v>120</v>
      </c>
      <c r="F2520" s="19">
        <v>308</v>
      </c>
      <c r="G2520" s="20"/>
      <c r="H2520" s="21"/>
      <c r="I2520" s="22"/>
    </row>
    <row r="2521" spans="1:9" ht="26" customHeight="1">
      <c r="A2521" s="2" t="s">
        <v>199</v>
      </c>
      <c r="B2521" s="13" t="s">
        <v>204</v>
      </c>
      <c r="C2521" s="13" t="s">
        <v>97</v>
      </c>
      <c r="D2521" s="13">
        <v>24</v>
      </c>
      <c r="E2521" s="2" t="s">
        <v>121</v>
      </c>
      <c r="F2521" s="7">
        <v>308</v>
      </c>
      <c r="G2521" s="3"/>
      <c r="H2521" s="4"/>
      <c r="I2521" s="5"/>
    </row>
    <row r="2522" spans="1:9" ht="26" customHeight="1">
      <c r="A2522" s="17" t="s">
        <v>199</v>
      </c>
      <c r="B2522" s="18" t="s">
        <v>204</v>
      </c>
      <c r="C2522" s="18" t="s">
        <v>97</v>
      </c>
      <c r="D2522" s="18">
        <v>25</v>
      </c>
      <c r="E2522" s="17" t="s">
        <v>122</v>
      </c>
      <c r="F2522" s="19">
        <v>308</v>
      </c>
      <c r="G2522" s="20"/>
      <c r="H2522" s="21"/>
      <c r="I2522" s="22"/>
    </row>
    <row r="2523" spans="1:9" ht="26" customHeight="1">
      <c r="A2523" s="2" t="s">
        <v>199</v>
      </c>
      <c r="B2523" s="13" t="s">
        <v>204</v>
      </c>
      <c r="C2523" s="13" t="s">
        <v>97</v>
      </c>
      <c r="D2523" s="13">
        <v>26</v>
      </c>
      <c r="E2523" s="2" t="s">
        <v>123</v>
      </c>
      <c r="F2523" s="7">
        <v>313</v>
      </c>
      <c r="G2523" s="3"/>
      <c r="H2523" s="4"/>
      <c r="I2523" s="5"/>
    </row>
    <row r="2524" spans="1:9" ht="26" customHeight="1">
      <c r="A2524" s="17" t="s">
        <v>199</v>
      </c>
      <c r="B2524" s="18" t="s">
        <v>204</v>
      </c>
      <c r="C2524" s="18" t="s">
        <v>97</v>
      </c>
      <c r="D2524" s="18">
        <v>27</v>
      </c>
      <c r="E2524" s="17" t="s">
        <v>124</v>
      </c>
      <c r="F2524" s="19">
        <v>332</v>
      </c>
      <c r="G2524" s="20"/>
      <c r="H2524" s="21"/>
      <c r="I2524" s="22"/>
    </row>
    <row r="2525" spans="1:9" ht="26" customHeight="1">
      <c r="A2525" s="2" t="s">
        <v>199</v>
      </c>
      <c r="B2525" s="13" t="s">
        <v>204</v>
      </c>
      <c r="C2525" s="13" t="s">
        <v>97</v>
      </c>
      <c r="D2525" s="13">
        <v>28</v>
      </c>
      <c r="E2525" s="2" t="s">
        <v>125</v>
      </c>
      <c r="F2525" s="7">
        <v>365</v>
      </c>
      <c r="G2525" s="3"/>
      <c r="H2525" s="4"/>
      <c r="I2525" s="5"/>
    </row>
    <row r="2526" spans="1:9" ht="26" customHeight="1">
      <c r="A2526" s="17" t="s">
        <v>199</v>
      </c>
      <c r="B2526" s="18" t="s">
        <v>204</v>
      </c>
      <c r="C2526" s="18" t="s">
        <v>97</v>
      </c>
      <c r="D2526" s="18">
        <v>29</v>
      </c>
      <c r="E2526" s="17" t="s">
        <v>126</v>
      </c>
      <c r="F2526" s="19">
        <v>379</v>
      </c>
      <c r="G2526" s="20"/>
      <c r="H2526" s="21"/>
      <c r="I2526" s="22"/>
    </row>
    <row r="2527" spans="1:9" ht="26" customHeight="1">
      <c r="A2527" s="2" t="s">
        <v>199</v>
      </c>
      <c r="B2527" s="13" t="s">
        <v>204</v>
      </c>
      <c r="C2527" s="13" t="s">
        <v>97</v>
      </c>
      <c r="D2527" s="13">
        <v>30</v>
      </c>
      <c r="E2527" s="2" t="s">
        <v>127</v>
      </c>
      <c r="F2527" s="7">
        <v>379</v>
      </c>
      <c r="G2527" s="3"/>
      <c r="H2527" s="4"/>
      <c r="I2527" s="5"/>
    </row>
    <row r="2528" spans="1:9" ht="26" customHeight="1">
      <c r="A2528" s="17" t="s">
        <v>199</v>
      </c>
      <c r="B2528" s="18" t="s">
        <v>204</v>
      </c>
      <c r="C2528" s="18" t="s">
        <v>128</v>
      </c>
      <c r="D2528" s="18">
        <v>31</v>
      </c>
      <c r="E2528" s="17" t="s">
        <v>129</v>
      </c>
      <c r="F2528" s="19">
        <v>221</v>
      </c>
      <c r="G2528" s="20"/>
      <c r="H2528" s="21"/>
      <c r="I2528" s="22"/>
    </row>
    <row r="2529" spans="1:9" ht="26" customHeight="1">
      <c r="A2529" s="2" t="s">
        <v>199</v>
      </c>
      <c r="B2529" s="13" t="s">
        <v>204</v>
      </c>
      <c r="C2529" s="13" t="s">
        <v>128</v>
      </c>
      <c r="D2529" s="13">
        <v>32</v>
      </c>
      <c r="E2529" s="2" t="s">
        <v>130</v>
      </c>
      <c r="F2529" s="7">
        <v>223</v>
      </c>
      <c r="G2529" s="3"/>
      <c r="H2529" s="4"/>
      <c r="I2529" s="5"/>
    </row>
    <row r="2530" spans="1:9" ht="26" customHeight="1">
      <c r="A2530" s="17" t="s">
        <v>199</v>
      </c>
      <c r="B2530" s="18" t="s">
        <v>204</v>
      </c>
      <c r="C2530" s="18" t="s">
        <v>128</v>
      </c>
      <c r="D2530" s="18">
        <v>33</v>
      </c>
      <c r="E2530" s="17" t="s">
        <v>131</v>
      </c>
      <c r="F2530" s="19">
        <v>223</v>
      </c>
      <c r="G2530" s="20"/>
      <c r="H2530" s="21"/>
      <c r="I2530" s="22"/>
    </row>
    <row r="2531" spans="1:9" ht="26" customHeight="1">
      <c r="A2531" s="2" t="s">
        <v>199</v>
      </c>
      <c r="B2531" s="13" t="s">
        <v>204</v>
      </c>
      <c r="C2531" s="13" t="s">
        <v>128</v>
      </c>
      <c r="D2531" s="13">
        <v>34</v>
      </c>
      <c r="E2531" s="2" t="s">
        <v>132</v>
      </c>
      <c r="F2531" s="7">
        <v>225</v>
      </c>
      <c r="G2531" s="3"/>
      <c r="H2531" s="4"/>
      <c r="I2531" s="5"/>
    </row>
    <row r="2532" spans="1:9" ht="26" customHeight="1">
      <c r="A2532" s="17" t="s">
        <v>199</v>
      </c>
      <c r="B2532" s="18" t="s">
        <v>204</v>
      </c>
      <c r="C2532" s="18" t="s">
        <v>128</v>
      </c>
      <c r="D2532" s="18">
        <v>35</v>
      </c>
      <c r="E2532" s="17" t="s">
        <v>133</v>
      </c>
      <c r="F2532" s="19">
        <v>266</v>
      </c>
      <c r="G2532" s="20"/>
      <c r="H2532" s="21"/>
      <c r="I2532" s="22"/>
    </row>
    <row r="2533" spans="1:9" ht="26" customHeight="1">
      <c r="A2533" s="2" t="s">
        <v>199</v>
      </c>
      <c r="B2533" s="13" t="s">
        <v>204</v>
      </c>
      <c r="C2533" s="13" t="s">
        <v>128</v>
      </c>
      <c r="D2533" s="13">
        <v>36</v>
      </c>
      <c r="E2533" s="2" t="s">
        <v>134</v>
      </c>
      <c r="F2533" s="7">
        <v>274</v>
      </c>
      <c r="G2533" s="3"/>
      <c r="H2533" s="4"/>
      <c r="I2533" s="5"/>
    </row>
    <row r="2534" spans="1:9" ht="26" customHeight="1">
      <c r="A2534" s="17" t="s">
        <v>199</v>
      </c>
      <c r="B2534" s="18" t="s">
        <v>204</v>
      </c>
      <c r="C2534" s="18" t="s">
        <v>128</v>
      </c>
      <c r="D2534" s="18">
        <v>37</v>
      </c>
      <c r="E2534" s="17" t="s">
        <v>135</v>
      </c>
      <c r="F2534" s="19">
        <v>332</v>
      </c>
      <c r="G2534" s="20"/>
      <c r="H2534" s="21"/>
      <c r="I2534" s="22"/>
    </row>
    <row r="2535" spans="1:9" ht="26" customHeight="1">
      <c r="A2535" s="2" t="s">
        <v>199</v>
      </c>
      <c r="B2535" s="13" t="s">
        <v>204</v>
      </c>
      <c r="C2535" s="13" t="s">
        <v>128</v>
      </c>
      <c r="D2535" s="13">
        <v>38</v>
      </c>
      <c r="E2535" s="2" t="s">
        <v>136</v>
      </c>
      <c r="F2535" s="7">
        <v>350</v>
      </c>
      <c r="G2535" s="3"/>
      <c r="H2535" s="4"/>
      <c r="I2535" s="5"/>
    </row>
    <row r="2536" spans="1:9" ht="26" customHeight="1">
      <c r="A2536" s="17" t="s">
        <v>199</v>
      </c>
      <c r="B2536" s="18" t="s">
        <v>204</v>
      </c>
      <c r="C2536" s="18" t="s">
        <v>128</v>
      </c>
      <c r="D2536" s="18">
        <v>39</v>
      </c>
      <c r="E2536" s="17" t="s">
        <v>137</v>
      </c>
      <c r="F2536" s="19">
        <v>359</v>
      </c>
      <c r="G2536" s="20"/>
      <c r="H2536" s="21"/>
      <c r="I2536" s="22"/>
    </row>
    <row r="2537" spans="1:9" ht="26" customHeight="1">
      <c r="A2537" s="2" t="s">
        <v>199</v>
      </c>
      <c r="B2537" s="13" t="s">
        <v>204</v>
      </c>
      <c r="C2537" s="13" t="s">
        <v>128</v>
      </c>
      <c r="D2537" s="13">
        <v>40</v>
      </c>
      <c r="E2537" s="2" t="s">
        <v>138</v>
      </c>
      <c r="F2537" s="7">
        <v>368</v>
      </c>
      <c r="G2537" s="3"/>
      <c r="H2537" s="4"/>
      <c r="I2537" s="5"/>
    </row>
    <row r="2538" spans="1:9" ht="26" customHeight="1">
      <c r="A2538" s="17" t="s">
        <v>199</v>
      </c>
      <c r="B2538" s="18" t="s">
        <v>204</v>
      </c>
      <c r="C2538" s="18" t="s">
        <v>128</v>
      </c>
      <c r="D2538" s="18">
        <v>41</v>
      </c>
      <c r="E2538" s="17" t="s">
        <v>139</v>
      </c>
      <c r="F2538" s="19">
        <v>390</v>
      </c>
      <c r="G2538" s="20"/>
      <c r="H2538" s="21"/>
      <c r="I2538" s="22"/>
    </row>
    <row r="2539" spans="1:9" ht="26" customHeight="1">
      <c r="A2539" s="2" t="s">
        <v>199</v>
      </c>
      <c r="B2539" s="13" t="s">
        <v>204</v>
      </c>
      <c r="C2539" s="13" t="s">
        <v>128</v>
      </c>
      <c r="D2539" s="13">
        <v>42</v>
      </c>
      <c r="E2539" s="2" t="s">
        <v>140</v>
      </c>
      <c r="F2539" s="7">
        <v>426</v>
      </c>
      <c r="G2539" s="3"/>
      <c r="H2539" s="4"/>
      <c r="I2539" s="5"/>
    </row>
    <row r="2540" spans="1:9" ht="26" customHeight="1">
      <c r="A2540" s="17" t="s">
        <v>199</v>
      </c>
      <c r="B2540" s="18" t="s">
        <v>204</v>
      </c>
      <c r="C2540" s="18" t="s">
        <v>128</v>
      </c>
      <c r="D2540" s="18">
        <v>43</v>
      </c>
      <c r="E2540" s="17" t="s">
        <v>141</v>
      </c>
      <c r="F2540" s="19">
        <v>426</v>
      </c>
      <c r="G2540" s="20"/>
      <c r="H2540" s="21"/>
      <c r="I2540" s="22"/>
    </row>
    <row r="2541" spans="1:9" ht="26" customHeight="1">
      <c r="A2541" s="2" t="s">
        <v>199</v>
      </c>
      <c r="B2541" s="13" t="s">
        <v>204</v>
      </c>
      <c r="C2541" s="13" t="s">
        <v>128</v>
      </c>
      <c r="D2541" s="13">
        <v>44</v>
      </c>
      <c r="E2541" s="2" t="s">
        <v>142</v>
      </c>
      <c r="F2541" s="7">
        <v>430</v>
      </c>
      <c r="G2541" s="3"/>
      <c r="H2541" s="4"/>
      <c r="I2541" s="5"/>
    </row>
    <row r="2542" spans="1:9" ht="26" customHeight="1">
      <c r="A2542" s="17" t="s">
        <v>199</v>
      </c>
      <c r="B2542" s="18" t="s">
        <v>204</v>
      </c>
      <c r="C2542" s="18" t="s">
        <v>128</v>
      </c>
      <c r="D2542" s="18">
        <v>45</v>
      </c>
      <c r="E2542" s="17" t="s">
        <v>143</v>
      </c>
      <c r="F2542" s="19">
        <v>435</v>
      </c>
      <c r="G2542" s="20"/>
      <c r="H2542" s="21"/>
      <c r="I2542" s="22"/>
    </row>
    <row r="2543" spans="1:9" ht="26" customHeight="1">
      <c r="A2543" s="2" t="s">
        <v>199</v>
      </c>
      <c r="B2543" s="13" t="s">
        <v>204</v>
      </c>
      <c r="C2543" s="13" t="s">
        <v>128</v>
      </c>
      <c r="D2543" s="13">
        <v>46</v>
      </c>
      <c r="E2543" s="2" t="s">
        <v>144</v>
      </c>
      <c r="F2543" s="7">
        <v>435</v>
      </c>
      <c r="G2543" s="3"/>
      <c r="H2543" s="4"/>
      <c r="I2543" s="5"/>
    </row>
    <row r="2544" spans="1:9" ht="26" customHeight="1">
      <c r="A2544" s="17" t="s">
        <v>199</v>
      </c>
      <c r="B2544" s="18" t="s">
        <v>204</v>
      </c>
      <c r="C2544" s="18" t="s">
        <v>128</v>
      </c>
      <c r="D2544" s="18">
        <v>47</v>
      </c>
      <c r="E2544" s="17" t="s">
        <v>145</v>
      </c>
      <c r="F2544" s="19">
        <v>443</v>
      </c>
      <c r="G2544" s="20"/>
      <c r="H2544" s="21"/>
      <c r="I2544" s="22"/>
    </row>
    <row r="2545" spans="1:9" ht="26" customHeight="1">
      <c r="A2545" s="2" t="s">
        <v>199</v>
      </c>
      <c r="B2545" s="13" t="s">
        <v>204</v>
      </c>
      <c r="C2545" s="13" t="s">
        <v>128</v>
      </c>
      <c r="D2545" s="13">
        <v>48</v>
      </c>
      <c r="E2545" s="2" t="s">
        <v>146</v>
      </c>
      <c r="F2545" s="7">
        <v>448</v>
      </c>
      <c r="G2545" s="3"/>
      <c r="H2545" s="4"/>
      <c r="I2545" s="5"/>
    </row>
    <row r="2546" spans="1:9" ht="26" customHeight="1">
      <c r="A2546" s="17" t="s">
        <v>199</v>
      </c>
      <c r="B2546" s="18" t="s">
        <v>205</v>
      </c>
      <c r="C2546" s="18" t="s">
        <v>97</v>
      </c>
      <c r="D2546" s="18">
        <v>1</v>
      </c>
      <c r="E2546" s="17" t="s">
        <v>98</v>
      </c>
      <c r="F2546" s="19">
        <v>392</v>
      </c>
      <c r="G2546" s="20"/>
      <c r="H2546" s="21"/>
      <c r="I2546" s="22"/>
    </row>
    <row r="2547" spans="1:9" ht="26" customHeight="1">
      <c r="A2547" s="2" t="s">
        <v>199</v>
      </c>
      <c r="B2547" s="13" t="s">
        <v>205</v>
      </c>
      <c r="C2547" s="13" t="s">
        <v>97</v>
      </c>
      <c r="D2547" s="13">
        <v>2</v>
      </c>
      <c r="E2547" s="2" t="s">
        <v>99</v>
      </c>
      <c r="F2547" s="7">
        <v>391</v>
      </c>
      <c r="G2547" s="3"/>
      <c r="H2547" s="4"/>
      <c r="I2547" s="5"/>
    </row>
    <row r="2548" spans="1:9" ht="26" customHeight="1">
      <c r="A2548" s="17" t="s">
        <v>199</v>
      </c>
      <c r="B2548" s="18" t="s">
        <v>205</v>
      </c>
      <c r="C2548" s="18" t="s">
        <v>97</v>
      </c>
      <c r="D2548" s="18">
        <v>3</v>
      </c>
      <c r="E2548" s="17" t="s">
        <v>100</v>
      </c>
      <c r="F2548" s="19">
        <v>430</v>
      </c>
      <c r="G2548" s="20"/>
      <c r="H2548" s="21"/>
      <c r="I2548" s="22"/>
    </row>
    <row r="2549" spans="1:9" ht="26" customHeight="1">
      <c r="A2549" s="2" t="s">
        <v>199</v>
      </c>
      <c r="B2549" s="13" t="s">
        <v>205</v>
      </c>
      <c r="C2549" s="13" t="s">
        <v>97</v>
      </c>
      <c r="D2549" s="13">
        <v>4</v>
      </c>
      <c r="E2549" s="2" t="s">
        <v>101</v>
      </c>
      <c r="F2549" s="7">
        <v>437</v>
      </c>
      <c r="G2549" s="3"/>
      <c r="H2549" s="4"/>
      <c r="I2549" s="5"/>
    </row>
    <row r="2550" spans="1:9" ht="26" customHeight="1">
      <c r="A2550" s="17" t="s">
        <v>199</v>
      </c>
      <c r="B2550" s="18" t="s">
        <v>205</v>
      </c>
      <c r="C2550" s="18" t="s">
        <v>97</v>
      </c>
      <c r="D2550" s="18">
        <v>5</v>
      </c>
      <c r="E2550" s="17" t="s">
        <v>102</v>
      </c>
      <c r="F2550" s="19">
        <v>437</v>
      </c>
      <c r="G2550" s="20"/>
      <c r="H2550" s="21"/>
      <c r="I2550" s="22"/>
    </row>
    <row r="2551" spans="1:9" ht="26" customHeight="1">
      <c r="A2551" s="2" t="s">
        <v>199</v>
      </c>
      <c r="B2551" s="13" t="s">
        <v>205</v>
      </c>
      <c r="C2551" s="13" t="s">
        <v>97</v>
      </c>
      <c r="D2551" s="13">
        <v>6</v>
      </c>
      <c r="E2551" s="2" t="s">
        <v>103</v>
      </c>
      <c r="F2551" s="7">
        <v>439</v>
      </c>
      <c r="G2551" s="3"/>
      <c r="H2551" s="4"/>
      <c r="I2551" s="5"/>
    </row>
    <row r="2552" spans="1:9" ht="26" customHeight="1">
      <c r="A2552" s="17" t="s">
        <v>199</v>
      </c>
      <c r="B2552" s="18" t="s">
        <v>205</v>
      </c>
      <c r="C2552" s="18" t="s">
        <v>97</v>
      </c>
      <c r="D2552" s="18">
        <v>7</v>
      </c>
      <c r="E2552" s="17" t="s">
        <v>104</v>
      </c>
      <c r="F2552" s="19">
        <v>439</v>
      </c>
      <c r="G2552" s="20"/>
      <c r="H2552" s="21"/>
      <c r="I2552" s="22"/>
    </row>
    <row r="2553" spans="1:9" ht="26" customHeight="1">
      <c r="A2553" s="2" t="s">
        <v>199</v>
      </c>
      <c r="B2553" s="13" t="s">
        <v>205</v>
      </c>
      <c r="C2553" s="13" t="s">
        <v>97</v>
      </c>
      <c r="D2553" s="13">
        <v>8</v>
      </c>
      <c r="E2553" s="2" t="s">
        <v>105</v>
      </c>
      <c r="F2553" s="7">
        <v>439</v>
      </c>
      <c r="G2553" s="3"/>
      <c r="H2553" s="4"/>
      <c r="I2553" s="5"/>
    </row>
    <row r="2554" spans="1:9" ht="26" customHeight="1">
      <c r="A2554" s="17" t="s">
        <v>199</v>
      </c>
      <c r="B2554" s="18" t="s">
        <v>205</v>
      </c>
      <c r="C2554" s="18" t="s">
        <v>97</v>
      </c>
      <c r="D2554" s="18">
        <v>9</v>
      </c>
      <c r="E2554" s="17" t="s">
        <v>106</v>
      </c>
      <c r="F2554" s="19">
        <v>439</v>
      </c>
      <c r="G2554" s="20"/>
      <c r="H2554" s="21"/>
      <c r="I2554" s="22"/>
    </row>
    <row r="2555" spans="1:9" ht="26" customHeight="1">
      <c r="A2555" s="2" t="s">
        <v>199</v>
      </c>
      <c r="B2555" s="13" t="s">
        <v>205</v>
      </c>
      <c r="C2555" s="13" t="s">
        <v>97</v>
      </c>
      <c r="D2555" s="13">
        <v>10</v>
      </c>
      <c r="E2555" s="2" t="s">
        <v>107</v>
      </c>
      <c r="F2555" s="7">
        <v>439</v>
      </c>
      <c r="G2555" s="3"/>
      <c r="H2555" s="4"/>
      <c r="I2555" s="5"/>
    </row>
    <row r="2556" spans="1:9" ht="26" customHeight="1">
      <c r="A2556" s="17" t="s">
        <v>199</v>
      </c>
      <c r="B2556" s="18" t="s">
        <v>205</v>
      </c>
      <c r="C2556" s="18" t="s">
        <v>97</v>
      </c>
      <c r="D2556" s="18">
        <v>11</v>
      </c>
      <c r="E2556" s="17" t="s">
        <v>108</v>
      </c>
      <c r="F2556" s="19">
        <v>439</v>
      </c>
      <c r="G2556" s="20"/>
      <c r="H2556" s="21"/>
      <c r="I2556" s="22"/>
    </row>
    <row r="2557" spans="1:9" ht="26" customHeight="1">
      <c r="A2557" s="2" t="s">
        <v>199</v>
      </c>
      <c r="B2557" s="13" t="s">
        <v>205</v>
      </c>
      <c r="C2557" s="13" t="s">
        <v>97</v>
      </c>
      <c r="D2557" s="13">
        <v>12</v>
      </c>
      <c r="E2557" s="2" t="s">
        <v>109</v>
      </c>
      <c r="F2557" s="7">
        <v>445</v>
      </c>
      <c r="G2557" s="3"/>
      <c r="H2557" s="4"/>
      <c r="I2557" s="5"/>
    </row>
    <row r="2558" spans="1:9" ht="26" customHeight="1">
      <c r="A2558" s="17" t="s">
        <v>199</v>
      </c>
      <c r="B2558" s="18" t="s">
        <v>205</v>
      </c>
      <c r="C2558" s="18" t="s">
        <v>97</v>
      </c>
      <c r="D2558" s="18">
        <v>13</v>
      </c>
      <c r="E2558" s="17" t="s">
        <v>110</v>
      </c>
      <c r="F2558" s="19">
        <v>445</v>
      </c>
      <c r="G2558" s="20"/>
      <c r="H2558" s="21"/>
      <c r="I2558" s="22"/>
    </row>
    <row r="2559" spans="1:9" ht="26" customHeight="1">
      <c r="A2559" s="2" t="s">
        <v>199</v>
      </c>
      <c r="B2559" s="13" t="s">
        <v>205</v>
      </c>
      <c r="C2559" s="13" t="s">
        <v>97</v>
      </c>
      <c r="D2559" s="13">
        <v>14</v>
      </c>
      <c r="E2559" s="2" t="s">
        <v>111</v>
      </c>
      <c r="F2559" s="7">
        <v>446</v>
      </c>
      <c r="G2559" s="3"/>
      <c r="H2559" s="4"/>
      <c r="I2559" s="5"/>
    </row>
    <row r="2560" spans="1:9" ht="26" customHeight="1">
      <c r="A2560" s="17" t="s">
        <v>199</v>
      </c>
      <c r="B2560" s="18" t="s">
        <v>205</v>
      </c>
      <c r="C2560" s="18" t="s">
        <v>97</v>
      </c>
      <c r="D2560" s="18">
        <v>15</v>
      </c>
      <c r="E2560" s="17" t="s">
        <v>112</v>
      </c>
      <c r="F2560" s="19">
        <v>446</v>
      </c>
      <c r="G2560" s="20"/>
      <c r="H2560" s="21"/>
      <c r="I2560" s="22"/>
    </row>
    <row r="2561" spans="1:9" ht="26" customHeight="1">
      <c r="A2561" s="2" t="s">
        <v>199</v>
      </c>
      <c r="B2561" s="13" t="s">
        <v>205</v>
      </c>
      <c r="C2561" s="13" t="s">
        <v>97</v>
      </c>
      <c r="D2561" s="13">
        <v>16</v>
      </c>
      <c r="E2561" s="2" t="s">
        <v>113</v>
      </c>
      <c r="F2561" s="7">
        <v>446</v>
      </c>
      <c r="G2561" s="3"/>
      <c r="H2561" s="4"/>
      <c r="I2561" s="5"/>
    </row>
    <row r="2562" spans="1:9" ht="26" customHeight="1">
      <c r="A2562" s="17" t="s">
        <v>199</v>
      </c>
      <c r="B2562" s="18" t="s">
        <v>205</v>
      </c>
      <c r="C2562" s="18" t="s">
        <v>97</v>
      </c>
      <c r="D2562" s="18">
        <v>17</v>
      </c>
      <c r="E2562" s="17" t="s">
        <v>114</v>
      </c>
      <c r="F2562" s="19">
        <v>453</v>
      </c>
      <c r="G2562" s="20"/>
      <c r="H2562" s="21"/>
      <c r="I2562" s="22"/>
    </row>
    <row r="2563" spans="1:9" ht="26" customHeight="1">
      <c r="A2563" s="2" t="s">
        <v>199</v>
      </c>
      <c r="B2563" s="13" t="s">
        <v>205</v>
      </c>
      <c r="C2563" s="13" t="s">
        <v>97</v>
      </c>
      <c r="D2563" s="13">
        <v>18</v>
      </c>
      <c r="E2563" s="2" t="s">
        <v>115</v>
      </c>
      <c r="F2563" s="7">
        <v>453</v>
      </c>
      <c r="G2563" s="3"/>
      <c r="H2563" s="4"/>
      <c r="I2563" s="5"/>
    </row>
    <row r="2564" spans="1:9" ht="26" customHeight="1">
      <c r="A2564" s="17" t="s">
        <v>199</v>
      </c>
      <c r="B2564" s="18" t="s">
        <v>205</v>
      </c>
      <c r="C2564" s="18" t="s">
        <v>97</v>
      </c>
      <c r="D2564" s="18">
        <v>19</v>
      </c>
      <c r="E2564" s="17" t="s">
        <v>116</v>
      </c>
      <c r="F2564" s="19">
        <v>453</v>
      </c>
      <c r="G2564" s="20"/>
      <c r="H2564" s="21"/>
      <c r="I2564" s="22"/>
    </row>
    <row r="2565" spans="1:9" ht="26" customHeight="1">
      <c r="A2565" s="2" t="s">
        <v>199</v>
      </c>
      <c r="B2565" s="13" t="s">
        <v>205</v>
      </c>
      <c r="C2565" s="13" t="s">
        <v>97</v>
      </c>
      <c r="D2565" s="13">
        <v>20</v>
      </c>
      <c r="E2565" s="2" t="s">
        <v>117</v>
      </c>
      <c r="F2565" s="7">
        <v>456</v>
      </c>
      <c r="G2565" s="3"/>
      <c r="H2565" s="4"/>
      <c r="I2565" s="5"/>
    </row>
    <row r="2566" spans="1:9" ht="26" customHeight="1">
      <c r="A2566" s="17" t="s">
        <v>199</v>
      </c>
      <c r="B2566" s="18" t="s">
        <v>205</v>
      </c>
      <c r="C2566" s="18" t="s">
        <v>97</v>
      </c>
      <c r="D2566" s="18">
        <v>21</v>
      </c>
      <c r="E2566" s="17" t="s">
        <v>118</v>
      </c>
      <c r="F2566" s="19">
        <v>459</v>
      </c>
      <c r="G2566" s="20"/>
      <c r="H2566" s="21"/>
      <c r="I2566" s="22"/>
    </row>
    <row r="2567" spans="1:9" ht="26" customHeight="1">
      <c r="A2567" s="2" t="s">
        <v>199</v>
      </c>
      <c r="B2567" s="13" t="s">
        <v>205</v>
      </c>
      <c r="C2567" s="13" t="s">
        <v>97</v>
      </c>
      <c r="D2567" s="13">
        <v>22</v>
      </c>
      <c r="E2567" s="2" t="s">
        <v>119</v>
      </c>
      <c r="F2567" s="7">
        <v>459</v>
      </c>
      <c r="G2567" s="3"/>
      <c r="H2567" s="4"/>
      <c r="I2567" s="5"/>
    </row>
    <row r="2568" spans="1:9" ht="26" customHeight="1">
      <c r="A2568" s="17" t="s">
        <v>199</v>
      </c>
      <c r="B2568" s="18" t="s">
        <v>205</v>
      </c>
      <c r="C2568" s="18" t="s">
        <v>97</v>
      </c>
      <c r="D2568" s="18">
        <v>23</v>
      </c>
      <c r="E2568" s="17" t="s">
        <v>120</v>
      </c>
      <c r="F2568" s="19">
        <v>465</v>
      </c>
      <c r="G2568" s="20"/>
      <c r="H2568" s="21"/>
      <c r="I2568" s="22"/>
    </row>
    <row r="2569" spans="1:9" ht="26" customHeight="1">
      <c r="A2569" s="2" t="s">
        <v>199</v>
      </c>
      <c r="B2569" s="13" t="s">
        <v>205</v>
      </c>
      <c r="C2569" s="13" t="s">
        <v>97</v>
      </c>
      <c r="D2569" s="13">
        <v>24</v>
      </c>
      <c r="E2569" s="2" t="s">
        <v>121</v>
      </c>
      <c r="F2569" s="7">
        <v>465</v>
      </c>
      <c r="G2569" s="3"/>
      <c r="H2569" s="4"/>
      <c r="I2569" s="5"/>
    </row>
    <row r="2570" spans="1:9" ht="26" customHeight="1">
      <c r="A2570" s="17" t="s">
        <v>199</v>
      </c>
      <c r="B2570" s="18" t="s">
        <v>205</v>
      </c>
      <c r="C2570" s="18" t="s">
        <v>97</v>
      </c>
      <c r="D2570" s="18">
        <v>25</v>
      </c>
      <c r="E2570" s="17" t="s">
        <v>122</v>
      </c>
      <c r="F2570" s="19">
        <v>465</v>
      </c>
      <c r="G2570" s="20"/>
      <c r="H2570" s="21"/>
      <c r="I2570" s="22"/>
    </row>
    <row r="2571" spans="1:9" ht="26" customHeight="1">
      <c r="A2571" s="2" t="s">
        <v>199</v>
      </c>
      <c r="B2571" s="13" t="s">
        <v>205</v>
      </c>
      <c r="C2571" s="13" t="s">
        <v>97</v>
      </c>
      <c r="D2571" s="13">
        <v>26</v>
      </c>
      <c r="E2571" s="2" t="s">
        <v>123</v>
      </c>
      <c r="F2571" s="7">
        <v>472</v>
      </c>
      <c r="G2571" s="3"/>
      <c r="H2571" s="4"/>
      <c r="I2571" s="5"/>
    </row>
    <row r="2572" spans="1:9" ht="26" customHeight="1">
      <c r="A2572" s="17" t="s">
        <v>199</v>
      </c>
      <c r="B2572" s="18" t="s">
        <v>205</v>
      </c>
      <c r="C2572" s="18" t="s">
        <v>97</v>
      </c>
      <c r="D2572" s="18">
        <v>27</v>
      </c>
      <c r="E2572" s="17" t="s">
        <v>124</v>
      </c>
      <c r="F2572" s="19">
        <v>500</v>
      </c>
      <c r="G2572" s="20"/>
      <c r="H2572" s="21"/>
      <c r="I2572" s="22"/>
    </row>
    <row r="2573" spans="1:9" ht="26" customHeight="1">
      <c r="A2573" s="2" t="s">
        <v>199</v>
      </c>
      <c r="B2573" s="13" t="s">
        <v>205</v>
      </c>
      <c r="C2573" s="13" t="s">
        <v>97</v>
      </c>
      <c r="D2573" s="13">
        <v>28</v>
      </c>
      <c r="E2573" s="2" t="s">
        <v>125</v>
      </c>
      <c r="F2573" s="7">
        <v>550</v>
      </c>
      <c r="G2573" s="3"/>
      <c r="H2573" s="4"/>
      <c r="I2573" s="5"/>
    </row>
    <row r="2574" spans="1:9" ht="26" customHeight="1">
      <c r="A2574" s="17" t="s">
        <v>199</v>
      </c>
      <c r="B2574" s="18" t="s">
        <v>205</v>
      </c>
      <c r="C2574" s="18" t="s">
        <v>97</v>
      </c>
      <c r="D2574" s="18">
        <v>29</v>
      </c>
      <c r="E2574" s="17" t="s">
        <v>126</v>
      </c>
      <c r="F2574" s="19">
        <v>571</v>
      </c>
      <c r="G2574" s="20"/>
      <c r="H2574" s="21"/>
      <c r="I2574" s="22"/>
    </row>
    <row r="2575" spans="1:9" ht="26" customHeight="1">
      <c r="A2575" s="2" t="s">
        <v>199</v>
      </c>
      <c r="B2575" s="13" t="s">
        <v>205</v>
      </c>
      <c r="C2575" s="13" t="s">
        <v>97</v>
      </c>
      <c r="D2575" s="13">
        <v>30</v>
      </c>
      <c r="E2575" s="2" t="s">
        <v>127</v>
      </c>
      <c r="F2575" s="7">
        <v>571</v>
      </c>
      <c r="G2575" s="3"/>
      <c r="H2575" s="4"/>
      <c r="I2575" s="5"/>
    </row>
    <row r="2576" spans="1:9" ht="26" customHeight="1">
      <c r="A2576" s="17" t="s">
        <v>199</v>
      </c>
      <c r="B2576" s="18" t="s">
        <v>205</v>
      </c>
      <c r="C2576" s="18" t="s">
        <v>128</v>
      </c>
      <c r="D2576" s="18">
        <v>31</v>
      </c>
      <c r="E2576" s="17" t="s">
        <v>129</v>
      </c>
      <c r="F2576" s="19">
        <v>333</v>
      </c>
      <c r="G2576" s="20"/>
      <c r="H2576" s="21"/>
      <c r="I2576" s="22"/>
    </row>
    <row r="2577" spans="1:9" ht="26" customHeight="1">
      <c r="A2577" s="2" t="s">
        <v>199</v>
      </c>
      <c r="B2577" s="13" t="s">
        <v>205</v>
      </c>
      <c r="C2577" s="13" t="s">
        <v>128</v>
      </c>
      <c r="D2577" s="13">
        <v>32</v>
      </c>
      <c r="E2577" s="2" t="s">
        <v>130</v>
      </c>
      <c r="F2577" s="7">
        <v>338</v>
      </c>
      <c r="G2577" s="3"/>
      <c r="H2577" s="4"/>
      <c r="I2577" s="5"/>
    </row>
    <row r="2578" spans="1:9" ht="26" customHeight="1">
      <c r="A2578" s="17" t="s">
        <v>199</v>
      </c>
      <c r="B2578" s="18" t="s">
        <v>205</v>
      </c>
      <c r="C2578" s="18" t="s">
        <v>128</v>
      </c>
      <c r="D2578" s="18">
        <v>33</v>
      </c>
      <c r="E2578" s="17" t="s">
        <v>131</v>
      </c>
      <c r="F2578" s="19">
        <v>338</v>
      </c>
      <c r="G2578" s="20"/>
      <c r="H2578" s="21"/>
      <c r="I2578" s="22"/>
    </row>
    <row r="2579" spans="1:9" ht="26" customHeight="1">
      <c r="A2579" s="2" t="s">
        <v>199</v>
      </c>
      <c r="B2579" s="13" t="s">
        <v>205</v>
      </c>
      <c r="C2579" s="13" t="s">
        <v>128</v>
      </c>
      <c r="D2579" s="13">
        <v>34</v>
      </c>
      <c r="E2579" s="2" t="s">
        <v>132</v>
      </c>
      <c r="F2579" s="7">
        <v>340</v>
      </c>
      <c r="G2579" s="3"/>
      <c r="H2579" s="4"/>
      <c r="I2579" s="5"/>
    </row>
    <row r="2580" spans="1:9" ht="26" customHeight="1">
      <c r="A2580" s="17" t="s">
        <v>199</v>
      </c>
      <c r="B2580" s="18" t="s">
        <v>205</v>
      </c>
      <c r="C2580" s="18" t="s">
        <v>128</v>
      </c>
      <c r="D2580" s="18">
        <v>35</v>
      </c>
      <c r="E2580" s="17" t="s">
        <v>133</v>
      </c>
      <c r="F2580" s="19">
        <v>401</v>
      </c>
      <c r="G2580" s="20"/>
      <c r="H2580" s="21"/>
      <c r="I2580" s="22"/>
    </row>
    <row r="2581" spans="1:9" ht="26" customHeight="1">
      <c r="A2581" s="2" t="s">
        <v>199</v>
      </c>
      <c r="B2581" s="13" t="s">
        <v>205</v>
      </c>
      <c r="C2581" s="13" t="s">
        <v>128</v>
      </c>
      <c r="D2581" s="13">
        <v>36</v>
      </c>
      <c r="E2581" s="2" t="s">
        <v>134</v>
      </c>
      <c r="F2581" s="7">
        <v>414</v>
      </c>
      <c r="G2581" s="3"/>
      <c r="H2581" s="4"/>
      <c r="I2581" s="5"/>
    </row>
    <row r="2582" spans="1:9" ht="26" customHeight="1">
      <c r="A2582" s="17" t="s">
        <v>199</v>
      </c>
      <c r="B2582" s="18" t="s">
        <v>205</v>
      </c>
      <c r="C2582" s="18" t="s">
        <v>128</v>
      </c>
      <c r="D2582" s="18">
        <v>37</v>
      </c>
      <c r="E2582" s="17" t="s">
        <v>135</v>
      </c>
      <c r="F2582" s="19">
        <v>501</v>
      </c>
      <c r="G2582" s="20"/>
      <c r="H2582" s="21"/>
      <c r="I2582" s="22"/>
    </row>
    <row r="2583" spans="1:9" ht="26" customHeight="1">
      <c r="A2583" s="2" t="s">
        <v>199</v>
      </c>
      <c r="B2583" s="13" t="s">
        <v>205</v>
      </c>
      <c r="C2583" s="13" t="s">
        <v>128</v>
      </c>
      <c r="D2583" s="13">
        <v>38</v>
      </c>
      <c r="E2583" s="2" t="s">
        <v>136</v>
      </c>
      <c r="F2583" s="7">
        <v>528</v>
      </c>
      <c r="G2583" s="3"/>
      <c r="H2583" s="4"/>
      <c r="I2583" s="5"/>
    </row>
    <row r="2584" spans="1:9" ht="26" customHeight="1">
      <c r="A2584" s="17" t="s">
        <v>199</v>
      </c>
      <c r="B2584" s="18" t="s">
        <v>205</v>
      </c>
      <c r="C2584" s="18" t="s">
        <v>128</v>
      </c>
      <c r="D2584" s="18">
        <v>39</v>
      </c>
      <c r="E2584" s="17" t="s">
        <v>137</v>
      </c>
      <c r="F2584" s="19">
        <v>541</v>
      </c>
      <c r="G2584" s="20"/>
      <c r="H2584" s="21"/>
      <c r="I2584" s="22"/>
    </row>
    <row r="2585" spans="1:9" ht="26" customHeight="1">
      <c r="A2585" s="2" t="s">
        <v>199</v>
      </c>
      <c r="B2585" s="13" t="s">
        <v>205</v>
      </c>
      <c r="C2585" s="13" t="s">
        <v>128</v>
      </c>
      <c r="D2585" s="13">
        <v>40</v>
      </c>
      <c r="E2585" s="2" t="s">
        <v>138</v>
      </c>
      <c r="F2585" s="7">
        <v>555</v>
      </c>
      <c r="G2585" s="3"/>
      <c r="H2585" s="4"/>
      <c r="I2585" s="5"/>
    </row>
    <row r="2586" spans="1:9" ht="26" customHeight="1">
      <c r="A2586" s="17" t="s">
        <v>199</v>
      </c>
      <c r="B2586" s="18" t="s">
        <v>205</v>
      </c>
      <c r="C2586" s="18" t="s">
        <v>128</v>
      </c>
      <c r="D2586" s="18">
        <v>41</v>
      </c>
      <c r="E2586" s="17" t="s">
        <v>139</v>
      </c>
      <c r="F2586" s="19">
        <v>587</v>
      </c>
      <c r="G2586" s="20"/>
      <c r="H2586" s="21"/>
      <c r="I2586" s="22"/>
    </row>
    <row r="2587" spans="1:9" ht="26" customHeight="1">
      <c r="A2587" s="2" t="s">
        <v>199</v>
      </c>
      <c r="B2587" s="13" t="s">
        <v>205</v>
      </c>
      <c r="C2587" s="13" t="s">
        <v>128</v>
      </c>
      <c r="D2587" s="13">
        <v>42</v>
      </c>
      <c r="E2587" s="2" t="s">
        <v>140</v>
      </c>
      <c r="F2587" s="7">
        <v>641</v>
      </c>
      <c r="G2587" s="3"/>
      <c r="H2587" s="4"/>
      <c r="I2587" s="5"/>
    </row>
    <row r="2588" spans="1:9" ht="26" customHeight="1">
      <c r="A2588" s="17" t="s">
        <v>199</v>
      </c>
      <c r="B2588" s="18" t="s">
        <v>205</v>
      </c>
      <c r="C2588" s="18" t="s">
        <v>128</v>
      </c>
      <c r="D2588" s="18">
        <v>43</v>
      </c>
      <c r="E2588" s="17" t="s">
        <v>141</v>
      </c>
      <c r="F2588" s="19">
        <v>641</v>
      </c>
      <c r="G2588" s="20"/>
      <c r="H2588" s="21"/>
      <c r="I2588" s="22"/>
    </row>
    <row r="2589" spans="1:9" ht="26" customHeight="1">
      <c r="A2589" s="2" t="s">
        <v>199</v>
      </c>
      <c r="B2589" s="13" t="s">
        <v>205</v>
      </c>
      <c r="C2589" s="13" t="s">
        <v>128</v>
      </c>
      <c r="D2589" s="13">
        <v>44</v>
      </c>
      <c r="E2589" s="2" t="s">
        <v>142</v>
      </c>
      <c r="F2589" s="7">
        <v>648</v>
      </c>
      <c r="G2589" s="3"/>
      <c r="H2589" s="4"/>
      <c r="I2589" s="5"/>
    </row>
    <row r="2590" spans="1:9" ht="26" customHeight="1">
      <c r="A2590" s="17" t="s">
        <v>199</v>
      </c>
      <c r="B2590" s="18" t="s">
        <v>205</v>
      </c>
      <c r="C2590" s="18" t="s">
        <v>128</v>
      </c>
      <c r="D2590" s="18">
        <v>45</v>
      </c>
      <c r="E2590" s="17" t="s">
        <v>143</v>
      </c>
      <c r="F2590" s="19">
        <v>655</v>
      </c>
      <c r="G2590" s="20"/>
      <c r="H2590" s="21"/>
      <c r="I2590" s="22"/>
    </row>
    <row r="2591" spans="1:9" ht="26" customHeight="1">
      <c r="A2591" s="2" t="s">
        <v>199</v>
      </c>
      <c r="B2591" s="13" t="s">
        <v>205</v>
      </c>
      <c r="C2591" s="13" t="s">
        <v>128</v>
      </c>
      <c r="D2591" s="13">
        <v>46</v>
      </c>
      <c r="E2591" s="2" t="s">
        <v>144</v>
      </c>
      <c r="F2591" s="7">
        <v>655</v>
      </c>
      <c r="G2591" s="3"/>
      <c r="H2591" s="4"/>
      <c r="I2591" s="5"/>
    </row>
    <row r="2592" spans="1:9" ht="26" customHeight="1">
      <c r="A2592" s="17" t="s">
        <v>199</v>
      </c>
      <c r="B2592" s="18" t="s">
        <v>205</v>
      </c>
      <c r="C2592" s="18" t="s">
        <v>128</v>
      </c>
      <c r="D2592" s="18">
        <v>47</v>
      </c>
      <c r="E2592" s="17" t="s">
        <v>145</v>
      </c>
      <c r="F2592" s="19">
        <v>668</v>
      </c>
      <c r="G2592" s="20"/>
      <c r="H2592" s="21"/>
      <c r="I2592" s="22"/>
    </row>
    <row r="2593" spans="1:9" ht="26" customHeight="1">
      <c r="A2593" s="2" t="s">
        <v>199</v>
      </c>
      <c r="B2593" s="13" t="s">
        <v>205</v>
      </c>
      <c r="C2593" s="13" t="s">
        <v>128</v>
      </c>
      <c r="D2593" s="13">
        <v>48</v>
      </c>
      <c r="E2593" s="2" t="s">
        <v>146</v>
      </c>
      <c r="F2593" s="7">
        <v>635</v>
      </c>
      <c r="G2593" s="3"/>
      <c r="H2593" s="4"/>
      <c r="I2593" s="5"/>
    </row>
    <row r="2594" spans="1:9" ht="26" customHeight="1">
      <c r="A2594" s="17" t="s">
        <v>199</v>
      </c>
      <c r="B2594" s="18" t="s">
        <v>206</v>
      </c>
      <c r="C2594" s="18" t="s">
        <v>97</v>
      </c>
      <c r="D2594" s="18">
        <v>1</v>
      </c>
      <c r="E2594" s="17" t="s">
        <v>98</v>
      </c>
      <c r="F2594" s="19">
        <v>322</v>
      </c>
      <c r="G2594" s="20"/>
      <c r="H2594" s="21"/>
      <c r="I2594" s="22"/>
    </row>
    <row r="2595" spans="1:9" ht="26" customHeight="1">
      <c r="A2595" s="2" t="s">
        <v>199</v>
      </c>
      <c r="B2595" s="13" t="s">
        <v>206</v>
      </c>
      <c r="C2595" s="13" t="s">
        <v>97</v>
      </c>
      <c r="D2595" s="13">
        <v>2</v>
      </c>
      <c r="E2595" s="2" t="s">
        <v>99</v>
      </c>
      <c r="F2595" s="7">
        <v>321</v>
      </c>
      <c r="G2595" s="3"/>
      <c r="H2595" s="4"/>
      <c r="I2595" s="5"/>
    </row>
    <row r="2596" spans="1:9" ht="26" customHeight="1">
      <c r="A2596" s="17" t="s">
        <v>199</v>
      </c>
      <c r="B2596" s="18" t="s">
        <v>206</v>
      </c>
      <c r="C2596" s="18" t="s">
        <v>97</v>
      </c>
      <c r="D2596" s="18">
        <v>3</v>
      </c>
      <c r="E2596" s="17" t="s">
        <v>100</v>
      </c>
      <c r="F2596" s="19">
        <v>355</v>
      </c>
      <c r="G2596" s="20"/>
      <c r="H2596" s="21"/>
      <c r="I2596" s="22"/>
    </row>
    <row r="2597" spans="1:9" ht="26" customHeight="1">
      <c r="A2597" s="2" t="s">
        <v>199</v>
      </c>
      <c r="B2597" s="13" t="s">
        <v>206</v>
      </c>
      <c r="C2597" s="13" t="s">
        <v>97</v>
      </c>
      <c r="D2597" s="13">
        <v>4</v>
      </c>
      <c r="E2597" s="2" t="s">
        <v>101</v>
      </c>
      <c r="F2597" s="7">
        <v>360</v>
      </c>
      <c r="G2597" s="3"/>
      <c r="H2597" s="4"/>
      <c r="I2597" s="5"/>
    </row>
    <row r="2598" spans="1:9" ht="26" customHeight="1">
      <c r="A2598" s="17" t="s">
        <v>199</v>
      </c>
      <c r="B2598" s="18" t="s">
        <v>206</v>
      </c>
      <c r="C2598" s="18" t="s">
        <v>97</v>
      </c>
      <c r="D2598" s="18">
        <v>5</v>
      </c>
      <c r="E2598" s="17" t="s">
        <v>102</v>
      </c>
      <c r="F2598" s="19">
        <v>360</v>
      </c>
      <c r="G2598" s="20"/>
      <c r="H2598" s="21"/>
      <c r="I2598" s="22"/>
    </row>
    <row r="2599" spans="1:9" ht="26" customHeight="1">
      <c r="A2599" s="2" t="s">
        <v>199</v>
      </c>
      <c r="B2599" s="13" t="s">
        <v>206</v>
      </c>
      <c r="C2599" s="13" t="s">
        <v>97</v>
      </c>
      <c r="D2599" s="13">
        <v>6</v>
      </c>
      <c r="E2599" s="2" t="s">
        <v>103</v>
      </c>
      <c r="F2599" s="7">
        <v>362</v>
      </c>
      <c r="G2599" s="3"/>
      <c r="H2599" s="4"/>
      <c r="I2599" s="5"/>
    </row>
    <row r="2600" spans="1:9" ht="26" customHeight="1">
      <c r="A2600" s="17" t="s">
        <v>199</v>
      </c>
      <c r="B2600" s="18" t="s">
        <v>206</v>
      </c>
      <c r="C2600" s="18" t="s">
        <v>97</v>
      </c>
      <c r="D2600" s="18">
        <v>7</v>
      </c>
      <c r="E2600" s="17" t="s">
        <v>104</v>
      </c>
      <c r="F2600" s="19">
        <v>362</v>
      </c>
      <c r="G2600" s="20"/>
      <c r="H2600" s="21"/>
      <c r="I2600" s="22"/>
    </row>
    <row r="2601" spans="1:9" ht="26" customHeight="1">
      <c r="A2601" s="2" t="s">
        <v>199</v>
      </c>
      <c r="B2601" s="13" t="s">
        <v>206</v>
      </c>
      <c r="C2601" s="13" t="s">
        <v>97</v>
      </c>
      <c r="D2601" s="13">
        <v>8</v>
      </c>
      <c r="E2601" s="2" t="s">
        <v>105</v>
      </c>
      <c r="F2601" s="7">
        <v>362</v>
      </c>
      <c r="G2601" s="3"/>
      <c r="H2601" s="4"/>
      <c r="I2601" s="5"/>
    </row>
    <row r="2602" spans="1:9" ht="26" customHeight="1">
      <c r="A2602" s="17" t="s">
        <v>199</v>
      </c>
      <c r="B2602" s="18" t="s">
        <v>206</v>
      </c>
      <c r="C2602" s="18" t="s">
        <v>97</v>
      </c>
      <c r="D2602" s="18">
        <v>9</v>
      </c>
      <c r="E2602" s="17" t="s">
        <v>106</v>
      </c>
      <c r="F2602" s="19">
        <v>362</v>
      </c>
      <c r="G2602" s="20"/>
      <c r="H2602" s="21"/>
      <c r="I2602" s="22"/>
    </row>
    <row r="2603" spans="1:9" ht="26" customHeight="1">
      <c r="A2603" s="2" t="s">
        <v>199</v>
      </c>
      <c r="B2603" s="13" t="s">
        <v>206</v>
      </c>
      <c r="C2603" s="13" t="s">
        <v>97</v>
      </c>
      <c r="D2603" s="13">
        <v>10</v>
      </c>
      <c r="E2603" s="2" t="s">
        <v>107</v>
      </c>
      <c r="F2603" s="7">
        <v>362</v>
      </c>
      <c r="G2603" s="3"/>
      <c r="H2603" s="4"/>
      <c r="I2603" s="5"/>
    </row>
    <row r="2604" spans="1:9" ht="26" customHeight="1">
      <c r="A2604" s="17" t="s">
        <v>199</v>
      </c>
      <c r="B2604" s="18" t="s">
        <v>206</v>
      </c>
      <c r="C2604" s="18" t="s">
        <v>97</v>
      </c>
      <c r="D2604" s="18">
        <v>11</v>
      </c>
      <c r="E2604" s="17" t="s">
        <v>108</v>
      </c>
      <c r="F2604" s="19">
        <v>362</v>
      </c>
      <c r="G2604" s="20"/>
      <c r="H2604" s="21"/>
      <c r="I2604" s="22"/>
    </row>
    <row r="2605" spans="1:9" ht="26" customHeight="1">
      <c r="A2605" s="2" t="s">
        <v>199</v>
      </c>
      <c r="B2605" s="13" t="s">
        <v>206</v>
      </c>
      <c r="C2605" s="13" t="s">
        <v>97</v>
      </c>
      <c r="D2605" s="13">
        <v>12</v>
      </c>
      <c r="E2605" s="2" t="s">
        <v>109</v>
      </c>
      <c r="F2605" s="7">
        <v>367</v>
      </c>
      <c r="G2605" s="3"/>
      <c r="H2605" s="4"/>
      <c r="I2605" s="5"/>
    </row>
    <row r="2606" spans="1:9" ht="26" customHeight="1">
      <c r="A2606" s="17" t="s">
        <v>199</v>
      </c>
      <c r="B2606" s="18" t="s">
        <v>206</v>
      </c>
      <c r="C2606" s="18" t="s">
        <v>97</v>
      </c>
      <c r="D2606" s="18">
        <v>13</v>
      </c>
      <c r="E2606" s="17" t="s">
        <v>110</v>
      </c>
      <c r="F2606" s="19">
        <v>367</v>
      </c>
      <c r="G2606" s="20"/>
      <c r="H2606" s="21"/>
      <c r="I2606" s="22"/>
    </row>
    <row r="2607" spans="1:9" ht="26" customHeight="1">
      <c r="A2607" s="2" t="s">
        <v>199</v>
      </c>
      <c r="B2607" s="13" t="s">
        <v>206</v>
      </c>
      <c r="C2607" s="13" t="s">
        <v>97</v>
      </c>
      <c r="D2607" s="13">
        <v>14</v>
      </c>
      <c r="E2607" s="2" t="s">
        <v>111</v>
      </c>
      <c r="F2607" s="7">
        <v>368</v>
      </c>
      <c r="G2607" s="3"/>
      <c r="H2607" s="4"/>
      <c r="I2607" s="5"/>
    </row>
    <row r="2608" spans="1:9" ht="26" customHeight="1">
      <c r="A2608" s="17" t="s">
        <v>199</v>
      </c>
      <c r="B2608" s="18" t="s">
        <v>206</v>
      </c>
      <c r="C2608" s="18" t="s">
        <v>97</v>
      </c>
      <c r="D2608" s="18">
        <v>15</v>
      </c>
      <c r="E2608" s="17" t="s">
        <v>112</v>
      </c>
      <c r="F2608" s="19">
        <v>368</v>
      </c>
      <c r="G2608" s="20"/>
      <c r="H2608" s="21"/>
      <c r="I2608" s="22"/>
    </row>
    <row r="2609" spans="1:9" ht="26" customHeight="1">
      <c r="A2609" s="2" t="s">
        <v>199</v>
      </c>
      <c r="B2609" s="13" t="s">
        <v>206</v>
      </c>
      <c r="C2609" s="13" t="s">
        <v>97</v>
      </c>
      <c r="D2609" s="13">
        <v>16</v>
      </c>
      <c r="E2609" s="2" t="s">
        <v>113</v>
      </c>
      <c r="F2609" s="7">
        <v>368</v>
      </c>
      <c r="G2609" s="3"/>
      <c r="H2609" s="4"/>
      <c r="I2609" s="5"/>
    </row>
    <row r="2610" spans="1:9" ht="26" customHeight="1">
      <c r="A2610" s="17" t="s">
        <v>199</v>
      </c>
      <c r="B2610" s="18" t="s">
        <v>206</v>
      </c>
      <c r="C2610" s="18" t="s">
        <v>97</v>
      </c>
      <c r="D2610" s="18">
        <v>17</v>
      </c>
      <c r="E2610" s="17" t="s">
        <v>114</v>
      </c>
      <c r="F2610" s="19">
        <v>374</v>
      </c>
      <c r="G2610" s="20"/>
      <c r="H2610" s="21"/>
      <c r="I2610" s="22"/>
    </row>
    <row r="2611" spans="1:9" ht="26" customHeight="1">
      <c r="A2611" s="2" t="s">
        <v>199</v>
      </c>
      <c r="B2611" s="13" t="s">
        <v>206</v>
      </c>
      <c r="C2611" s="13" t="s">
        <v>97</v>
      </c>
      <c r="D2611" s="13">
        <v>18</v>
      </c>
      <c r="E2611" s="2" t="s">
        <v>115</v>
      </c>
      <c r="F2611" s="7">
        <v>374</v>
      </c>
      <c r="G2611" s="3"/>
      <c r="H2611" s="4"/>
      <c r="I2611" s="5"/>
    </row>
    <row r="2612" spans="1:9" ht="26" customHeight="1">
      <c r="A2612" s="17" t="s">
        <v>199</v>
      </c>
      <c r="B2612" s="18" t="s">
        <v>206</v>
      </c>
      <c r="C2612" s="18" t="s">
        <v>97</v>
      </c>
      <c r="D2612" s="18">
        <v>19</v>
      </c>
      <c r="E2612" s="17" t="s">
        <v>116</v>
      </c>
      <c r="F2612" s="19">
        <v>374</v>
      </c>
      <c r="G2612" s="20"/>
      <c r="H2612" s="21"/>
      <c r="I2612" s="22"/>
    </row>
    <row r="2613" spans="1:9" ht="26" customHeight="1">
      <c r="A2613" s="2" t="s">
        <v>199</v>
      </c>
      <c r="B2613" s="13" t="s">
        <v>206</v>
      </c>
      <c r="C2613" s="13" t="s">
        <v>97</v>
      </c>
      <c r="D2613" s="13">
        <v>20</v>
      </c>
      <c r="E2613" s="2" t="s">
        <v>117</v>
      </c>
      <c r="F2613" s="7">
        <v>377</v>
      </c>
      <c r="G2613" s="3"/>
      <c r="H2613" s="4"/>
      <c r="I2613" s="5"/>
    </row>
    <row r="2614" spans="1:9" ht="26" customHeight="1">
      <c r="A2614" s="17" t="s">
        <v>199</v>
      </c>
      <c r="B2614" s="18" t="s">
        <v>206</v>
      </c>
      <c r="C2614" s="18" t="s">
        <v>97</v>
      </c>
      <c r="D2614" s="18">
        <v>21</v>
      </c>
      <c r="E2614" s="17" t="s">
        <v>118</v>
      </c>
      <c r="F2614" s="19">
        <v>379</v>
      </c>
      <c r="G2614" s="20"/>
      <c r="H2614" s="21"/>
      <c r="I2614" s="22"/>
    </row>
    <row r="2615" spans="1:9" ht="26" customHeight="1">
      <c r="A2615" s="2" t="s">
        <v>199</v>
      </c>
      <c r="B2615" s="13" t="s">
        <v>206</v>
      </c>
      <c r="C2615" s="13" t="s">
        <v>97</v>
      </c>
      <c r="D2615" s="13">
        <v>22</v>
      </c>
      <c r="E2615" s="2" t="s">
        <v>119</v>
      </c>
      <c r="F2615" s="7">
        <v>379</v>
      </c>
      <c r="G2615" s="3"/>
      <c r="H2615" s="4"/>
      <c r="I2615" s="5"/>
    </row>
    <row r="2616" spans="1:9" ht="26" customHeight="1">
      <c r="A2616" s="17" t="s">
        <v>199</v>
      </c>
      <c r="B2616" s="18" t="s">
        <v>206</v>
      </c>
      <c r="C2616" s="18" t="s">
        <v>97</v>
      </c>
      <c r="D2616" s="18">
        <v>23</v>
      </c>
      <c r="E2616" s="17" t="s">
        <v>120</v>
      </c>
      <c r="F2616" s="19">
        <v>385</v>
      </c>
      <c r="G2616" s="20"/>
      <c r="H2616" s="21"/>
      <c r="I2616" s="22"/>
    </row>
    <row r="2617" spans="1:9" ht="26" customHeight="1">
      <c r="A2617" s="2" t="s">
        <v>199</v>
      </c>
      <c r="B2617" s="13" t="s">
        <v>206</v>
      </c>
      <c r="C2617" s="13" t="s">
        <v>97</v>
      </c>
      <c r="D2617" s="13">
        <v>24</v>
      </c>
      <c r="E2617" s="2" t="s">
        <v>121</v>
      </c>
      <c r="F2617" s="7">
        <v>385</v>
      </c>
      <c r="G2617" s="3"/>
      <c r="H2617" s="4"/>
      <c r="I2617" s="5"/>
    </row>
    <row r="2618" spans="1:9" ht="26" customHeight="1">
      <c r="A2618" s="17" t="s">
        <v>199</v>
      </c>
      <c r="B2618" s="18" t="s">
        <v>206</v>
      </c>
      <c r="C2618" s="18" t="s">
        <v>97</v>
      </c>
      <c r="D2618" s="18">
        <v>25</v>
      </c>
      <c r="E2618" s="17" t="s">
        <v>122</v>
      </c>
      <c r="F2618" s="19">
        <v>385</v>
      </c>
      <c r="G2618" s="20"/>
      <c r="H2618" s="21"/>
      <c r="I2618" s="22"/>
    </row>
    <row r="2619" spans="1:9" ht="26" customHeight="1">
      <c r="A2619" s="2" t="s">
        <v>199</v>
      </c>
      <c r="B2619" s="13" t="s">
        <v>206</v>
      </c>
      <c r="C2619" s="13" t="s">
        <v>97</v>
      </c>
      <c r="D2619" s="13">
        <v>26</v>
      </c>
      <c r="E2619" s="2" t="s">
        <v>123</v>
      </c>
      <c r="F2619" s="7">
        <v>391</v>
      </c>
      <c r="G2619" s="3"/>
      <c r="H2619" s="4"/>
      <c r="I2619" s="5"/>
    </row>
    <row r="2620" spans="1:9" ht="26" customHeight="1">
      <c r="A2620" s="17" t="s">
        <v>199</v>
      </c>
      <c r="B2620" s="18" t="s">
        <v>206</v>
      </c>
      <c r="C2620" s="18" t="s">
        <v>97</v>
      </c>
      <c r="D2620" s="18">
        <v>27</v>
      </c>
      <c r="E2620" s="17" t="s">
        <v>124</v>
      </c>
      <c r="F2620" s="19">
        <v>457</v>
      </c>
      <c r="G2620" s="20"/>
      <c r="H2620" s="21"/>
      <c r="I2620" s="22"/>
    </row>
    <row r="2621" spans="1:9" ht="26" customHeight="1">
      <c r="A2621" s="2" t="s">
        <v>199</v>
      </c>
      <c r="B2621" s="13" t="s">
        <v>206</v>
      </c>
      <c r="C2621" s="13" t="s">
        <v>97</v>
      </c>
      <c r="D2621" s="13">
        <v>28</v>
      </c>
      <c r="E2621" s="2" t="s">
        <v>125</v>
      </c>
      <c r="F2621" s="7">
        <v>457</v>
      </c>
      <c r="G2621" s="3"/>
      <c r="H2621" s="4"/>
      <c r="I2621" s="5"/>
    </row>
    <row r="2622" spans="1:9" ht="26" customHeight="1">
      <c r="A2622" s="17" t="s">
        <v>199</v>
      </c>
      <c r="B2622" s="18" t="s">
        <v>206</v>
      </c>
      <c r="C2622" s="18" t="s">
        <v>97</v>
      </c>
      <c r="D2622" s="18">
        <v>29</v>
      </c>
      <c r="E2622" s="17" t="s">
        <v>126</v>
      </c>
      <c r="F2622" s="19">
        <v>475</v>
      </c>
      <c r="G2622" s="20"/>
      <c r="H2622" s="21"/>
      <c r="I2622" s="22"/>
    </row>
    <row r="2623" spans="1:9" ht="26" customHeight="1">
      <c r="A2623" s="2" t="s">
        <v>199</v>
      </c>
      <c r="B2623" s="13" t="s">
        <v>206</v>
      </c>
      <c r="C2623" s="13" t="s">
        <v>97</v>
      </c>
      <c r="D2623" s="13">
        <v>30</v>
      </c>
      <c r="E2623" s="2" t="s">
        <v>127</v>
      </c>
      <c r="F2623" s="7">
        <v>475</v>
      </c>
      <c r="G2623" s="3"/>
      <c r="H2623" s="4"/>
      <c r="I2623" s="5"/>
    </row>
    <row r="2624" spans="1:9" ht="26" customHeight="1">
      <c r="A2624" s="17" t="s">
        <v>199</v>
      </c>
      <c r="B2624" s="18" t="s">
        <v>206</v>
      </c>
      <c r="C2624" s="18" t="s">
        <v>128</v>
      </c>
      <c r="D2624" s="18">
        <v>31</v>
      </c>
      <c r="E2624" s="17" t="s">
        <v>129</v>
      </c>
      <c r="F2624" s="19">
        <v>272</v>
      </c>
      <c r="G2624" s="20"/>
      <c r="H2624" s="21"/>
      <c r="I2624" s="22"/>
    </row>
    <row r="2625" spans="1:9" ht="26" customHeight="1">
      <c r="A2625" s="2" t="s">
        <v>199</v>
      </c>
      <c r="B2625" s="13" t="s">
        <v>206</v>
      </c>
      <c r="C2625" s="13" t="s">
        <v>128</v>
      </c>
      <c r="D2625" s="13">
        <v>32</v>
      </c>
      <c r="E2625" s="2" t="s">
        <v>130</v>
      </c>
      <c r="F2625" s="7">
        <v>275</v>
      </c>
      <c r="G2625" s="3"/>
      <c r="H2625" s="4"/>
      <c r="I2625" s="5"/>
    </row>
    <row r="2626" spans="1:9" ht="26" customHeight="1">
      <c r="A2626" s="17" t="s">
        <v>199</v>
      </c>
      <c r="B2626" s="18" t="s">
        <v>206</v>
      </c>
      <c r="C2626" s="18" t="s">
        <v>128</v>
      </c>
      <c r="D2626" s="18">
        <v>33</v>
      </c>
      <c r="E2626" s="17" t="s">
        <v>131</v>
      </c>
      <c r="F2626" s="19">
        <v>275</v>
      </c>
      <c r="G2626" s="20"/>
      <c r="H2626" s="21"/>
      <c r="I2626" s="22"/>
    </row>
    <row r="2627" spans="1:9" ht="26" customHeight="1">
      <c r="A2627" s="2" t="s">
        <v>199</v>
      </c>
      <c r="B2627" s="13" t="s">
        <v>206</v>
      </c>
      <c r="C2627" s="13" t="s">
        <v>128</v>
      </c>
      <c r="D2627" s="13">
        <v>34</v>
      </c>
      <c r="E2627" s="2" t="s">
        <v>132</v>
      </c>
      <c r="F2627" s="7">
        <v>278</v>
      </c>
      <c r="G2627" s="3"/>
      <c r="H2627" s="4"/>
      <c r="I2627" s="5"/>
    </row>
    <row r="2628" spans="1:9" ht="26" customHeight="1">
      <c r="A2628" s="17" t="s">
        <v>199</v>
      </c>
      <c r="B2628" s="18" t="s">
        <v>206</v>
      </c>
      <c r="C2628" s="18" t="s">
        <v>128</v>
      </c>
      <c r="D2628" s="18">
        <v>35</v>
      </c>
      <c r="E2628" s="17" t="s">
        <v>133</v>
      </c>
      <c r="F2628" s="19">
        <v>330</v>
      </c>
      <c r="G2628" s="20"/>
      <c r="H2628" s="21"/>
      <c r="I2628" s="22"/>
    </row>
    <row r="2629" spans="1:9" ht="26" customHeight="1">
      <c r="A2629" s="2" t="s">
        <v>199</v>
      </c>
      <c r="B2629" s="13" t="s">
        <v>206</v>
      </c>
      <c r="C2629" s="13" t="s">
        <v>128</v>
      </c>
      <c r="D2629" s="13">
        <v>36</v>
      </c>
      <c r="E2629" s="2" t="s">
        <v>134</v>
      </c>
      <c r="F2629" s="7">
        <v>341</v>
      </c>
      <c r="G2629" s="3"/>
      <c r="H2629" s="4"/>
      <c r="I2629" s="5"/>
    </row>
    <row r="2630" spans="1:9" ht="26" customHeight="1">
      <c r="A2630" s="17" t="s">
        <v>199</v>
      </c>
      <c r="B2630" s="18" t="s">
        <v>206</v>
      </c>
      <c r="C2630" s="18" t="s">
        <v>128</v>
      </c>
      <c r="D2630" s="18">
        <v>37</v>
      </c>
      <c r="E2630" s="17" t="s">
        <v>135</v>
      </c>
      <c r="F2630" s="19">
        <v>416</v>
      </c>
      <c r="G2630" s="20"/>
      <c r="H2630" s="21"/>
      <c r="I2630" s="22"/>
    </row>
    <row r="2631" spans="1:9" ht="26" customHeight="1">
      <c r="A2631" s="2" t="s">
        <v>199</v>
      </c>
      <c r="B2631" s="13" t="s">
        <v>206</v>
      </c>
      <c r="C2631" s="13" t="s">
        <v>128</v>
      </c>
      <c r="D2631" s="13">
        <v>38</v>
      </c>
      <c r="E2631" s="2" t="s">
        <v>136</v>
      </c>
      <c r="F2631" s="7">
        <v>439</v>
      </c>
      <c r="G2631" s="3"/>
      <c r="H2631" s="4"/>
      <c r="I2631" s="5"/>
    </row>
    <row r="2632" spans="1:9" ht="26" customHeight="1">
      <c r="A2632" s="17" t="s">
        <v>199</v>
      </c>
      <c r="B2632" s="18" t="s">
        <v>206</v>
      </c>
      <c r="C2632" s="18" t="s">
        <v>128</v>
      </c>
      <c r="D2632" s="18">
        <v>39</v>
      </c>
      <c r="E2632" s="17" t="s">
        <v>137</v>
      </c>
      <c r="F2632" s="19">
        <v>450</v>
      </c>
      <c r="G2632" s="20"/>
      <c r="H2632" s="21"/>
      <c r="I2632" s="22"/>
    </row>
    <row r="2633" spans="1:9" ht="26" customHeight="1">
      <c r="A2633" s="2" t="s">
        <v>199</v>
      </c>
      <c r="B2633" s="13" t="s">
        <v>206</v>
      </c>
      <c r="C2633" s="13" t="s">
        <v>128</v>
      </c>
      <c r="D2633" s="13">
        <v>40</v>
      </c>
      <c r="E2633" s="2" t="s">
        <v>138</v>
      </c>
      <c r="F2633" s="7">
        <v>462</v>
      </c>
      <c r="G2633" s="3"/>
      <c r="H2633" s="4"/>
      <c r="I2633" s="5"/>
    </row>
    <row r="2634" spans="1:9" ht="26" customHeight="1">
      <c r="A2634" s="17" t="s">
        <v>199</v>
      </c>
      <c r="B2634" s="18" t="s">
        <v>206</v>
      </c>
      <c r="C2634" s="18" t="s">
        <v>128</v>
      </c>
      <c r="D2634" s="18">
        <v>41</v>
      </c>
      <c r="E2634" s="17" t="s">
        <v>139</v>
      </c>
      <c r="F2634" s="19">
        <v>490</v>
      </c>
      <c r="G2634" s="20"/>
      <c r="H2634" s="21"/>
      <c r="I2634" s="22"/>
    </row>
    <row r="2635" spans="1:9" ht="26" customHeight="1">
      <c r="A2635" s="2" t="s">
        <v>199</v>
      </c>
      <c r="B2635" s="13" t="s">
        <v>206</v>
      </c>
      <c r="C2635" s="13" t="s">
        <v>128</v>
      </c>
      <c r="D2635" s="13">
        <v>42</v>
      </c>
      <c r="E2635" s="2" t="s">
        <v>140</v>
      </c>
      <c r="F2635" s="7">
        <v>536</v>
      </c>
      <c r="G2635" s="3"/>
      <c r="H2635" s="4"/>
      <c r="I2635" s="5"/>
    </row>
    <row r="2636" spans="1:9" ht="26" customHeight="1">
      <c r="A2636" s="17" t="s">
        <v>199</v>
      </c>
      <c r="B2636" s="18" t="s">
        <v>206</v>
      </c>
      <c r="C2636" s="18" t="s">
        <v>128</v>
      </c>
      <c r="D2636" s="18">
        <v>43</v>
      </c>
      <c r="E2636" s="17" t="s">
        <v>141</v>
      </c>
      <c r="F2636" s="19">
        <v>536</v>
      </c>
      <c r="G2636" s="20"/>
      <c r="H2636" s="21"/>
      <c r="I2636" s="22"/>
    </row>
    <row r="2637" spans="1:9" ht="26" customHeight="1">
      <c r="A2637" s="2" t="s">
        <v>199</v>
      </c>
      <c r="B2637" s="13" t="s">
        <v>206</v>
      </c>
      <c r="C2637" s="13" t="s">
        <v>128</v>
      </c>
      <c r="D2637" s="13">
        <v>44</v>
      </c>
      <c r="E2637" s="2" t="s">
        <v>142</v>
      </c>
      <c r="F2637" s="7">
        <v>542</v>
      </c>
      <c r="G2637" s="3"/>
      <c r="H2637" s="4"/>
      <c r="I2637" s="5"/>
    </row>
    <row r="2638" spans="1:9" ht="26" customHeight="1">
      <c r="A2638" s="17" t="s">
        <v>199</v>
      </c>
      <c r="B2638" s="18" t="s">
        <v>206</v>
      </c>
      <c r="C2638" s="18" t="s">
        <v>128</v>
      </c>
      <c r="D2638" s="18">
        <v>45</v>
      </c>
      <c r="E2638" s="17" t="s">
        <v>143</v>
      </c>
      <c r="F2638" s="19">
        <v>548</v>
      </c>
      <c r="G2638" s="20"/>
      <c r="H2638" s="21"/>
      <c r="I2638" s="22"/>
    </row>
    <row r="2639" spans="1:9" ht="26" customHeight="1">
      <c r="A2639" s="2" t="s">
        <v>199</v>
      </c>
      <c r="B2639" s="13" t="s">
        <v>206</v>
      </c>
      <c r="C2639" s="13" t="s">
        <v>128</v>
      </c>
      <c r="D2639" s="13">
        <v>46</v>
      </c>
      <c r="E2639" s="2" t="s">
        <v>144</v>
      </c>
      <c r="F2639" s="7">
        <v>548</v>
      </c>
      <c r="G2639" s="3"/>
      <c r="H2639" s="4"/>
      <c r="I2639" s="5"/>
    </row>
    <row r="2640" spans="1:9" ht="26" customHeight="1">
      <c r="A2640" s="17" t="s">
        <v>199</v>
      </c>
      <c r="B2640" s="18" t="s">
        <v>206</v>
      </c>
      <c r="C2640" s="18" t="s">
        <v>128</v>
      </c>
      <c r="D2640" s="18">
        <v>47</v>
      </c>
      <c r="E2640" s="17" t="s">
        <v>145</v>
      </c>
      <c r="F2640" s="19">
        <v>559</v>
      </c>
      <c r="G2640" s="20"/>
      <c r="H2640" s="21"/>
      <c r="I2640" s="22"/>
    </row>
    <row r="2641" spans="1:9" ht="26" customHeight="1">
      <c r="A2641" s="2" t="s">
        <v>199</v>
      </c>
      <c r="B2641" s="13" t="s">
        <v>206</v>
      </c>
      <c r="C2641" s="13" t="s">
        <v>128</v>
      </c>
      <c r="D2641" s="13">
        <v>48</v>
      </c>
      <c r="E2641" s="2" t="s">
        <v>146</v>
      </c>
      <c r="F2641" s="7">
        <v>565</v>
      </c>
      <c r="G2641" s="3"/>
      <c r="H2641" s="4"/>
      <c r="I2641" s="5"/>
    </row>
    <row r="2642" spans="1:9" ht="26" customHeight="1">
      <c r="A2642" s="17" t="s">
        <v>199</v>
      </c>
      <c r="B2642" s="18" t="s">
        <v>207</v>
      </c>
      <c r="C2642" s="18" t="s">
        <v>97</v>
      </c>
      <c r="D2642" s="18">
        <v>1</v>
      </c>
      <c r="E2642" s="17" t="s">
        <v>98</v>
      </c>
      <c r="F2642" s="19">
        <v>300</v>
      </c>
      <c r="G2642" s="20"/>
      <c r="H2642" s="21"/>
      <c r="I2642" s="22"/>
    </row>
    <row r="2643" spans="1:9" ht="26" customHeight="1">
      <c r="A2643" s="2" t="s">
        <v>199</v>
      </c>
      <c r="B2643" s="13" t="s">
        <v>207</v>
      </c>
      <c r="C2643" s="13" t="s">
        <v>97</v>
      </c>
      <c r="D2643" s="13">
        <v>2</v>
      </c>
      <c r="E2643" s="2" t="s">
        <v>99</v>
      </c>
      <c r="F2643" s="7">
        <v>300</v>
      </c>
      <c r="G2643" s="3"/>
      <c r="H2643" s="4"/>
      <c r="I2643" s="5"/>
    </row>
    <row r="2644" spans="1:9" ht="26" customHeight="1">
      <c r="A2644" s="17" t="s">
        <v>199</v>
      </c>
      <c r="B2644" s="18" t="s">
        <v>207</v>
      </c>
      <c r="C2644" s="18" t="s">
        <v>97</v>
      </c>
      <c r="D2644" s="18">
        <v>3</v>
      </c>
      <c r="E2644" s="17" t="s">
        <v>100</v>
      </c>
      <c r="F2644" s="19">
        <v>330</v>
      </c>
      <c r="G2644" s="20"/>
      <c r="H2644" s="21"/>
      <c r="I2644" s="22"/>
    </row>
    <row r="2645" spans="1:9" ht="26" customHeight="1">
      <c r="A2645" s="2" t="s">
        <v>199</v>
      </c>
      <c r="B2645" s="13" t="s">
        <v>207</v>
      </c>
      <c r="C2645" s="13" t="s">
        <v>97</v>
      </c>
      <c r="D2645" s="13">
        <v>4</v>
      </c>
      <c r="E2645" s="2" t="s">
        <v>101</v>
      </c>
      <c r="F2645" s="7">
        <v>335</v>
      </c>
      <c r="G2645" s="3"/>
      <c r="H2645" s="4"/>
      <c r="I2645" s="5"/>
    </row>
    <row r="2646" spans="1:9" ht="26" customHeight="1">
      <c r="A2646" s="17" t="s">
        <v>199</v>
      </c>
      <c r="B2646" s="18" t="s">
        <v>207</v>
      </c>
      <c r="C2646" s="18" t="s">
        <v>97</v>
      </c>
      <c r="D2646" s="18">
        <v>5</v>
      </c>
      <c r="E2646" s="17" t="s">
        <v>102</v>
      </c>
      <c r="F2646" s="19">
        <v>335</v>
      </c>
      <c r="G2646" s="20"/>
      <c r="H2646" s="21"/>
      <c r="I2646" s="22"/>
    </row>
    <row r="2647" spans="1:9" ht="26" customHeight="1">
      <c r="A2647" s="2" t="s">
        <v>199</v>
      </c>
      <c r="B2647" s="13" t="s">
        <v>207</v>
      </c>
      <c r="C2647" s="13" t="s">
        <v>97</v>
      </c>
      <c r="D2647" s="13">
        <v>6</v>
      </c>
      <c r="E2647" s="2" t="s">
        <v>103</v>
      </c>
      <c r="F2647" s="7">
        <v>337</v>
      </c>
      <c r="G2647" s="3"/>
      <c r="H2647" s="4"/>
      <c r="I2647" s="5"/>
    </row>
    <row r="2648" spans="1:9" ht="26" customHeight="1">
      <c r="A2648" s="17" t="s">
        <v>199</v>
      </c>
      <c r="B2648" s="18" t="s">
        <v>207</v>
      </c>
      <c r="C2648" s="18" t="s">
        <v>97</v>
      </c>
      <c r="D2648" s="18">
        <v>7</v>
      </c>
      <c r="E2648" s="17" t="s">
        <v>104</v>
      </c>
      <c r="F2648" s="19">
        <v>337</v>
      </c>
      <c r="G2648" s="20"/>
      <c r="H2648" s="21"/>
      <c r="I2648" s="22"/>
    </row>
    <row r="2649" spans="1:9" ht="26" customHeight="1">
      <c r="A2649" s="2" t="s">
        <v>199</v>
      </c>
      <c r="B2649" s="13" t="s">
        <v>207</v>
      </c>
      <c r="C2649" s="13" t="s">
        <v>97</v>
      </c>
      <c r="D2649" s="13">
        <v>8</v>
      </c>
      <c r="E2649" s="2" t="s">
        <v>105</v>
      </c>
      <c r="F2649" s="7">
        <v>337</v>
      </c>
      <c r="G2649" s="3"/>
      <c r="H2649" s="4"/>
      <c r="I2649" s="5"/>
    </row>
    <row r="2650" spans="1:9" ht="26" customHeight="1">
      <c r="A2650" s="17" t="s">
        <v>199</v>
      </c>
      <c r="B2650" s="18" t="s">
        <v>207</v>
      </c>
      <c r="C2650" s="18" t="s">
        <v>97</v>
      </c>
      <c r="D2650" s="18">
        <v>9</v>
      </c>
      <c r="E2650" s="17" t="s">
        <v>106</v>
      </c>
      <c r="F2650" s="19">
        <v>337</v>
      </c>
      <c r="G2650" s="20"/>
      <c r="H2650" s="21"/>
      <c r="I2650" s="22"/>
    </row>
    <row r="2651" spans="1:9" ht="26" customHeight="1">
      <c r="A2651" s="2" t="s">
        <v>199</v>
      </c>
      <c r="B2651" s="13" t="s">
        <v>207</v>
      </c>
      <c r="C2651" s="13" t="s">
        <v>97</v>
      </c>
      <c r="D2651" s="13">
        <v>10</v>
      </c>
      <c r="E2651" s="2" t="s">
        <v>107</v>
      </c>
      <c r="F2651" s="7">
        <v>337</v>
      </c>
      <c r="G2651" s="3"/>
      <c r="H2651" s="4"/>
      <c r="I2651" s="5"/>
    </row>
    <row r="2652" spans="1:9" ht="26" customHeight="1">
      <c r="A2652" s="17" t="s">
        <v>199</v>
      </c>
      <c r="B2652" s="18" t="s">
        <v>207</v>
      </c>
      <c r="C2652" s="18" t="s">
        <v>97</v>
      </c>
      <c r="D2652" s="18">
        <v>11</v>
      </c>
      <c r="E2652" s="17" t="s">
        <v>108</v>
      </c>
      <c r="F2652" s="19">
        <v>337</v>
      </c>
      <c r="G2652" s="20"/>
      <c r="H2652" s="21"/>
      <c r="I2652" s="22"/>
    </row>
    <row r="2653" spans="1:9" ht="26" customHeight="1">
      <c r="A2653" s="2" t="s">
        <v>199</v>
      </c>
      <c r="B2653" s="13" t="s">
        <v>207</v>
      </c>
      <c r="C2653" s="13" t="s">
        <v>97</v>
      </c>
      <c r="D2653" s="13">
        <v>12</v>
      </c>
      <c r="E2653" s="2" t="s">
        <v>109</v>
      </c>
      <c r="F2653" s="7">
        <v>341</v>
      </c>
      <c r="G2653" s="3"/>
      <c r="H2653" s="4"/>
      <c r="I2653" s="5"/>
    </row>
    <row r="2654" spans="1:9" ht="26" customHeight="1">
      <c r="A2654" s="17" t="s">
        <v>199</v>
      </c>
      <c r="B2654" s="18" t="s">
        <v>207</v>
      </c>
      <c r="C2654" s="18" t="s">
        <v>97</v>
      </c>
      <c r="D2654" s="18">
        <v>13</v>
      </c>
      <c r="E2654" s="17" t="s">
        <v>110</v>
      </c>
      <c r="F2654" s="19">
        <v>341</v>
      </c>
      <c r="G2654" s="20"/>
      <c r="H2654" s="21"/>
      <c r="I2654" s="22"/>
    </row>
    <row r="2655" spans="1:9" ht="26" customHeight="1">
      <c r="A2655" s="2" t="s">
        <v>199</v>
      </c>
      <c r="B2655" s="13" t="s">
        <v>207</v>
      </c>
      <c r="C2655" s="13" t="s">
        <v>97</v>
      </c>
      <c r="D2655" s="13">
        <v>14</v>
      </c>
      <c r="E2655" s="2" t="s">
        <v>111</v>
      </c>
      <c r="F2655" s="7">
        <v>342</v>
      </c>
      <c r="G2655" s="3"/>
      <c r="H2655" s="4"/>
      <c r="I2655" s="5"/>
    </row>
    <row r="2656" spans="1:9" ht="26" customHeight="1">
      <c r="A2656" s="17" t="s">
        <v>199</v>
      </c>
      <c r="B2656" s="18" t="s">
        <v>207</v>
      </c>
      <c r="C2656" s="18" t="s">
        <v>97</v>
      </c>
      <c r="D2656" s="18">
        <v>15</v>
      </c>
      <c r="E2656" s="17" t="s">
        <v>112</v>
      </c>
      <c r="F2656" s="19">
        <v>342</v>
      </c>
      <c r="G2656" s="20"/>
      <c r="H2656" s="21"/>
      <c r="I2656" s="22"/>
    </row>
    <row r="2657" spans="1:9" ht="26" customHeight="1">
      <c r="A2657" s="2" t="s">
        <v>199</v>
      </c>
      <c r="B2657" s="13" t="s">
        <v>207</v>
      </c>
      <c r="C2657" s="13" t="s">
        <v>97</v>
      </c>
      <c r="D2657" s="13">
        <v>16</v>
      </c>
      <c r="E2657" s="2" t="s">
        <v>113</v>
      </c>
      <c r="F2657" s="7">
        <v>342</v>
      </c>
      <c r="G2657" s="3"/>
      <c r="H2657" s="4"/>
      <c r="I2657" s="5"/>
    </row>
    <row r="2658" spans="1:9" ht="26" customHeight="1">
      <c r="A2658" s="17" t="s">
        <v>199</v>
      </c>
      <c r="B2658" s="18" t="s">
        <v>207</v>
      </c>
      <c r="C2658" s="18" t="s">
        <v>97</v>
      </c>
      <c r="D2658" s="18">
        <v>17</v>
      </c>
      <c r="E2658" s="17" t="s">
        <v>114</v>
      </c>
      <c r="F2658" s="19">
        <v>348</v>
      </c>
      <c r="G2658" s="20"/>
      <c r="H2658" s="21"/>
      <c r="I2658" s="22"/>
    </row>
    <row r="2659" spans="1:9" ht="26" customHeight="1">
      <c r="A2659" s="2" t="s">
        <v>199</v>
      </c>
      <c r="B2659" s="13" t="s">
        <v>207</v>
      </c>
      <c r="C2659" s="13" t="s">
        <v>97</v>
      </c>
      <c r="D2659" s="13">
        <v>18</v>
      </c>
      <c r="E2659" s="2" t="s">
        <v>115</v>
      </c>
      <c r="F2659" s="7">
        <v>348</v>
      </c>
      <c r="G2659" s="3"/>
      <c r="H2659" s="4"/>
      <c r="I2659" s="5"/>
    </row>
    <row r="2660" spans="1:9" ht="26" customHeight="1">
      <c r="A2660" s="17" t="s">
        <v>199</v>
      </c>
      <c r="B2660" s="18" t="s">
        <v>207</v>
      </c>
      <c r="C2660" s="18" t="s">
        <v>97</v>
      </c>
      <c r="D2660" s="18">
        <v>19</v>
      </c>
      <c r="E2660" s="17" t="s">
        <v>116</v>
      </c>
      <c r="F2660" s="19">
        <v>348</v>
      </c>
      <c r="G2660" s="20"/>
      <c r="H2660" s="21"/>
      <c r="I2660" s="22"/>
    </row>
    <row r="2661" spans="1:9" ht="26" customHeight="1">
      <c r="A2661" s="2" t="s">
        <v>199</v>
      </c>
      <c r="B2661" s="13" t="s">
        <v>207</v>
      </c>
      <c r="C2661" s="13" t="s">
        <v>97</v>
      </c>
      <c r="D2661" s="13">
        <v>20</v>
      </c>
      <c r="E2661" s="2" t="s">
        <v>117</v>
      </c>
      <c r="F2661" s="7">
        <v>350</v>
      </c>
      <c r="G2661" s="3"/>
      <c r="H2661" s="4"/>
      <c r="I2661" s="5"/>
    </row>
    <row r="2662" spans="1:9" ht="26" customHeight="1">
      <c r="A2662" s="17" t="s">
        <v>199</v>
      </c>
      <c r="B2662" s="18" t="s">
        <v>207</v>
      </c>
      <c r="C2662" s="18" t="s">
        <v>97</v>
      </c>
      <c r="D2662" s="18">
        <v>21</v>
      </c>
      <c r="E2662" s="17" t="s">
        <v>118</v>
      </c>
      <c r="F2662" s="19">
        <v>352</v>
      </c>
      <c r="G2662" s="20"/>
      <c r="H2662" s="21"/>
      <c r="I2662" s="22"/>
    </row>
    <row r="2663" spans="1:9" ht="26" customHeight="1">
      <c r="A2663" s="2" t="s">
        <v>199</v>
      </c>
      <c r="B2663" s="13" t="s">
        <v>207</v>
      </c>
      <c r="C2663" s="13" t="s">
        <v>97</v>
      </c>
      <c r="D2663" s="13">
        <v>22</v>
      </c>
      <c r="E2663" s="2" t="s">
        <v>119</v>
      </c>
      <c r="F2663" s="7">
        <v>352</v>
      </c>
      <c r="G2663" s="3"/>
      <c r="H2663" s="4"/>
      <c r="I2663" s="5"/>
    </row>
    <row r="2664" spans="1:9" ht="26" customHeight="1">
      <c r="A2664" s="17" t="s">
        <v>199</v>
      </c>
      <c r="B2664" s="18" t="s">
        <v>207</v>
      </c>
      <c r="C2664" s="18" t="s">
        <v>97</v>
      </c>
      <c r="D2664" s="18">
        <v>23</v>
      </c>
      <c r="E2664" s="17" t="s">
        <v>120</v>
      </c>
      <c r="F2664" s="19">
        <v>357</v>
      </c>
      <c r="G2664" s="20"/>
      <c r="H2664" s="21"/>
      <c r="I2664" s="22"/>
    </row>
    <row r="2665" spans="1:9" ht="26" customHeight="1">
      <c r="A2665" s="2" t="s">
        <v>199</v>
      </c>
      <c r="B2665" s="13" t="s">
        <v>207</v>
      </c>
      <c r="C2665" s="13" t="s">
        <v>97</v>
      </c>
      <c r="D2665" s="13">
        <v>24</v>
      </c>
      <c r="E2665" s="2" t="s">
        <v>121</v>
      </c>
      <c r="F2665" s="7">
        <v>357</v>
      </c>
      <c r="G2665" s="3"/>
      <c r="H2665" s="4"/>
      <c r="I2665" s="5"/>
    </row>
    <row r="2666" spans="1:9" ht="26" customHeight="1">
      <c r="A2666" s="17" t="s">
        <v>199</v>
      </c>
      <c r="B2666" s="18" t="s">
        <v>207</v>
      </c>
      <c r="C2666" s="18" t="s">
        <v>97</v>
      </c>
      <c r="D2666" s="18">
        <v>25</v>
      </c>
      <c r="E2666" s="17" t="s">
        <v>122</v>
      </c>
      <c r="F2666" s="19">
        <v>357</v>
      </c>
      <c r="G2666" s="20"/>
      <c r="H2666" s="21"/>
      <c r="I2666" s="22"/>
    </row>
    <row r="2667" spans="1:9" ht="26" customHeight="1">
      <c r="A2667" s="2" t="s">
        <v>199</v>
      </c>
      <c r="B2667" s="13" t="s">
        <v>207</v>
      </c>
      <c r="C2667" s="13" t="s">
        <v>97</v>
      </c>
      <c r="D2667" s="13">
        <v>26</v>
      </c>
      <c r="E2667" s="2" t="s">
        <v>123</v>
      </c>
      <c r="F2667" s="7">
        <v>363</v>
      </c>
      <c r="G2667" s="3"/>
      <c r="H2667" s="4"/>
      <c r="I2667" s="5"/>
    </row>
    <row r="2668" spans="1:9" ht="26" customHeight="1">
      <c r="A2668" s="17" t="s">
        <v>199</v>
      </c>
      <c r="B2668" s="18" t="s">
        <v>207</v>
      </c>
      <c r="C2668" s="18" t="s">
        <v>97</v>
      </c>
      <c r="D2668" s="18">
        <v>27</v>
      </c>
      <c r="E2668" s="17" t="s">
        <v>124</v>
      </c>
      <c r="F2668" s="19">
        <v>423</v>
      </c>
      <c r="G2668" s="20"/>
      <c r="H2668" s="21"/>
      <c r="I2668" s="22"/>
    </row>
    <row r="2669" spans="1:9" ht="26" customHeight="1">
      <c r="A2669" s="2" t="s">
        <v>199</v>
      </c>
      <c r="B2669" s="13" t="s">
        <v>207</v>
      </c>
      <c r="C2669" s="13" t="s">
        <v>97</v>
      </c>
      <c r="D2669" s="13">
        <v>28</v>
      </c>
      <c r="E2669" s="2" t="s">
        <v>125</v>
      </c>
      <c r="F2669" s="7">
        <v>423</v>
      </c>
      <c r="G2669" s="3"/>
      <c r="H2669" s="4"/>
      <c r="I2669" s="5"/>
    </row>
    <row r="2670" spans="1:9" ht="26" customHeight="1">
      <c r="A2670" s="17" t="s">
        <v>199</v>
      </c>
      <c r="B2670" s="18" t="s">
        <v>207</v>
      </c>
      <c r="C2670" s="18" t="s">
        <v>97</v>
      </c>
      <c r="D2670" s="18">
        <v>29</v>
      </c>
      <c r="E2670" s="17" t="s">
        <v>126</v>
      </c>
      <c r="F2670" s="19">
        <v>440</v>
      </c>
      <c r="G2670" s="20"/>
      <c r="H2670" s="21"/>
      <c r="I2670" s="22"/>
    </row>
    <row r="2671" spans="1:9" ht="26" customHeight="1">
      <c r="A2671" s="2" t="s">
        <v>199</v>
      </c>
      <c r="B2671" s="13" t="s">
        <v>207</v>
      </c>
      <c r="C2671" s="13" t="s">
        <v>97</v>
      </c>
      <c r="D2671" s="13">
        <v>30</v>
      </c>
      <c r="E2671" s="2" t="s">
        <v>127</v>
      </c>
      <c r="F2671" s="7">
        <v>440</v>
      </c>
      <c r="G2671" s="3"/>
      <c r="H2671" s="4"/>
      <c r="I2671" s="5"/>
    </row>
    <row r="2672" spans="1:9" ht="26" customHeight="1">
      <c r="A2672" s="17" t="s">
        <v>199</v>
      </c>
      <c r="B2672" s="18" t="s">
        <v>207</v>
      </c>
      <c r="C2672" s="18" t="s">
        <v>128</v>
      </c>
      <c r="D2672" s="18">
        <v>31</v>
      </c>
      <c r="E2672" s="17" t="s">
        <v>129</v>
      </c>
      <c r="F2672" s="19">
        <v>254</v>
      </c>
      <c r="G2672" s="20"/>
      <c r="H2672" s="21"/>
      <c r="I2672" s="22"/>
    </row>
    <row r="2673" spans="1:9" ht="26" customHeight="1">
      <c r="A2673" s="2" t="s">
        <v>199</v>
      </c>
      <c r="B2673" s="13" t="s">
        <v>207</v>
      </c>
      <c r="C2673" s="13" t="s">
        <v>128</v>
      </c>
      <c r="D2673" s="13">
        <v>32</v>
      </c>
      <c r="E2673" s="2" t="s">
        <v>130</v>
      </c>
      <c r="F2673" s="7">
        <v>258</v>
      </c>
      <c r="G2673" s="3"/>
      <c r="H2673" s="4"/>
      <c r="I2673" s="5"/>
    </row>
    <row r="2674" spans="1:9" ht="26" customHeight="1">
      <c r="A2674" s="17" t="s">
        <v>199</v>
      </c>
      <c r="B2674" s="18" t="s">
        <v>207</v>
      </c>
      <c r="C2674" s="18" t="s">
        <v>128</v>
      </c>
      <c r="D2674" s="18">
        <v>33</v>
      </c>
      <c r="E2674" s="17" t="s">
        <v>131</v>
      </c>
      <c r="F2674" s="19">
        <v>258</v>
      </c>
      <c r="G2674" s="20"/>
      <c r="H2674" s="21"/>
      <c r="I2674" s="22"/>
    </row>
    <row r="2675" spans="1:9" ht="26" customHeight="1">
      <c r="A2675" s="2" t="s">
        <v>199</v>
      </c>
      <c r="B2675" s="13" t="s">
        <v>207</v>
      </c>
      <c r="C2675" s="13" t="s">
        <v>128</v>
      </c>
      <c r="D2675" s="13">
        <v>34</v>
      </c>
      <c r="E2675" s="2" t="s">
        <v>132</v>
      </c>
      <c r="F2675" s="7">
        <v>260</v>
      </c>
      <c r="G2675" s="3"/>
      <c r="H2675" s="4"/>
      <c r="I2675" s="5"/>
    </row>
    <row r="2676" spans="1:9" ht="26" customHeight="1">
      <c r="A2676" s="17" t="s">
        <v>199</v>
      </c>
      <c r="B2676" s="18" t="s">
        <v>207</v>
      </c>
      <c r="C2676" s="18" t="s">
        <v>128</v>
      </c>
      <c r="D2676" s="18">
        <v>35</v>
      </c>
      <c r="E2676" s="17" t="s">
        <v>133</v>
      </c>
      <c r="F2676" s="19">
        <v>307</v>
      </c>
      <c r="G2676" s="20"/>
      <c r="H2676" s="21"/>
      <c r="I2676" s="22"/>
    </row>
    <row r="2677" spans="1:9" ht="26" customHeight="1">
      <c r="A2677" s="2" t="s">
        <v>199</v>
      </c>
      <c r="B2677" s="13" t="s">
        <v>207</v>
      </c>
      <c r="C2677" s="13" t="s">
        <v>128</v>
      </c>
      <c r="D2677" s="13">
        <v>36</v>
      </c>
      <c r="E2677" s="2" t="s">
        <v>134</v>
      </c>
      <c r="F2677" s="7">
        <v>317</v>
      </c>
      <c r="G2677" s="3"/>
      <c r="H2677" s="4"/>
      <c r="I2677" s="5"/>
    </row>
    <row r="2678" spans="1:9" ht="26" customHeight="1">
      <c r="A2678" s="17" t="s">
        <v>199</v>
      </c>
      <c r="B2678" s="18" t="s">
        <v>207</v>
      </c>
      <c r="C2678" s="18" t="s">
        <v>128</v>
      </c>
      <c r="D2678" s="18">
        <v>37</v>
      </c>
      <c r="E2678" s="17" t="s">
        <v>135</v>
      </c>
      <c r="F2678" s="19">
        <v>385</v>
      </c>
      <c r="G2678" s="20"/>
      <c r="H2678" s="21"/>
      <c r="I2678" s="22"/>
    </row>
    <row r="2679" spans="1:9" ht="26" customHeight="1">
      <c r="A2679" s="2" t="s">
        <v>199</v>
      </c>
      <c r="B2679" s="13" t="s">
        <v>207</v>
      </c>
      <c r="C2679" s="13" t="s">
        <v>128</v>
      </c>
      <c r="D2679" s="13">
        <v>38</v>
      </c>
      <c r="E2679" s="2" t="s">
        <v>136</v>
      </c>
      <c r="F2679" s="7">
        <v>406</v>
      </c>
      <c r="G2679" s="3"/>
      <c r="H2679" s="4"/>
      <c r="I2679" s="5"/>
    </row>
    <row r="2680" spans="1:9" ht="26" customHeight="1">
      <c r="A2680" s="17" t="s">
        <v>199</v>
      </c>
      <c r="B2680" s="18" t="s">
        <v>207</v>
      </c>
      <c r="C2680" s="18" t="s">
        <v>128</v>
      </c>
      <c r="D2680" s="18">
        <v>39</v>
      </c>
      <c r="E2680" s="17" t="s">
        <v>137</v>
      </c>
      <c r="F2680" s="19">
        <v>416</v>
      </c>
      <c r="G2680" s="20"/>
      <c r="H2680" s="21"/>
      <c r="I2680" s="22"/>
    </row>
    <row r="2681" spans="1:9" ht="26" customHeight="1">
      <c r="A2681" s="2" t="s">
        <v>199</v>
      </c>
      <c r="B2681" s="13" t="s">
        <v>207</v>
      </c>
      <c r="C2681" s="13" t="s">
        <v>128</v>
      </c>
      <c r="D2681" s="13">
        <v>40</v>
      </c>
      <c r="E2681" s="2" t="s">
        <v>138</v>
      </c>
      <c r="F2681" s="7">
        <v>427</v>
      </c>
      <c r="G2681" s="3"/>
      <c r="H2681" s="4"/>
      <c r="I2681" s="5"/>
    </row>
    <row r="2682" spans="1:9" ht="26" customHeight="1">
      <c r="A2682" s="17" t="s">
        <v>199</v>
      </c>
      <c r="B2682" s="18" t="s">
        <v>207</v>
      </c>
      <c r="C2682" s="18" t="s">
        <v>128</v>
      </c>
      <c r="D2682" s="18">
        <v>41</v>
      </c>
      <c r="E2682" s="17" t="s">
        <v>139</v>
      </c>
      <c r="F2682" s="19">
        <v>453</v>
      </c>
      <c r="G2682" s="20"/>
      <c r="H2682" s="21"/>
      <c r="I2682" s="22"/>
    </row>
    <row r="2683" spans="1:9" ht="26" customHeight="1">
      <c r="A2683" s="2" t="s">
        <v>199</v>
      </c>
      <c r="B2683" s="13" t="s">
        <v>207</v>
      </c>
      <c r="C2683" s="13" t="s">
        <v>128</v>
      </c>
      <c r="D2683" s="13">
        <v>42</v>
      </c>
      <c r="E2683" s="2" t="s">
        <v>140</v>
      </c>
      <c r="F2683" s="7">
        <v>495</v>
      </c>
      <c r="G2683" s="3"/>
      <c r="H2683" s="4"/>
      <c r="I2683" s="5"/>
    </row>
    <row r="2684" spans="1:9" ht="26" customHeight="1">
      <c r="A2684" s="17" t="s">
        <v>199</v>
      </c>
      <c r="B2684" s="18" t="s">
        <v>207</v>
      </c>
      <c r="C2684" s="18" t="s">
        <v>128</v>
      </c>
      <c r="D2684" s="18">
        <v>43</v>
      </c>
      <c r="E2684" s="17" t="s">
        <v>141</v>
      </c>
      <c r="F2684" s="19">
        <v>495</v>
      </c>
      <c r="G2684" s="20"/>
      <c r="H2684" s="21"/>
      <c r="I2684" s="22"/>
    </row>
    <row r="2685" spans="1:9" ht="26" customHeight="1">
      <c r="A2685" s="2" t="s">
        <v>199</v>
      </c>
      <c r="B2685" s="13" t="s">
        <v>207</v>
      </c>
      <c r="C2685" s="13" t="s">
        <v>128</v>
      </c>
      <c r="D2685" s="13">
        <v>44</v>
      </c>
      <c r="E2685" s="2" t="s">
        <v>142</v>
      </c>
      <c r="F2685" s="7">
        <v>500</v>
      </c>
      <c r="G2685" s="3"/>
      <c r="H2685" s="4"/>
      <c r="I2685" s="5"/>
    </row>
    <row r="2686" spans="1:9" ht="26" customHeight="1">
      <c r="A2686" s="17" t="s">
        <v>199</v>
      </c>
      <c r="B2686" s="18" t="s">
        <v>207</v>
      </c>
      <c r="C2686" s="18" t="s">
        <v>128</v>
      </c>
      <c r="D2686" s="18">
        <v>45</v>
      </c>
      <c r="E2686" s="17" t="s">
        <v>143</v>
      </c>
      <c r="F2686" s="19">
        <v>506</v>
      </c>
      <c r="G2686" s="20"/>
      <c r="H2686" s="21"/>
      <c r="I2686" s="22"/>
    </row>
    <row r="2687" spans="1:9" ht="26" customHeight="1">
      <c r="A2687" s="2" t="s">
        <v>199</v>
      </c>
      <c r="B2687" s="13" t="s">
        <v>207</v>
      </c>
      <c r="C2687" s="13" t="s">
        <v>128</v>
      </c>
      <c r="D2687" s="13">
        <v>46</v>
      </c>
      <c r="E2687" s="2" t="s">
        <v>144</v>
      </c>
      <c r="F2687" s="7">
        <v>506</v>
      </c>
      <c r="G2687" s="3"/>
      <c r="H2687" s="4"/>
      <c r="I2687" s="5"/>
    </row>
    <row r="2688" spans="1:9" ht="26" customHeight="1">
      <c r="A2688" s="17" t="s">
        <v>199</v>
      </c>
      <c r="B2688" s="18" t="s">
        <v>207</v>
      </c>
      <c r="C2688" s="18" t="s">
        <v>128</v>
      </c>
      <c r="D2688" s="18">
        <v>47</v>
      </c>
      <c r="E2688" s="17" t="s">
        <v>145</v>
      </c>
      <c r="F2688" s="19">
        <v>516</v>
      </c>
      <c r="G2688" s="20"/>
      <c r="H2688" s="21"/>
      <c r="I2688" s="22"/>
    </row>
    <row r="2689" spans="1:9" ht="26" customHeight="1">
      <c r="A2689" s="2" t="s">
        <v>199</v>
      </c>
      <c r="B2689" s="13" t="s">
        <v>207</v>
      </c>
      <c r="C2689" s="13" t="s">
        <v>128</v>
      </c>
      <c r="D2689" s="13">
        <v>48</v>
      </c>
      <c r="E2689" s="2" t="s">
        <v>146</v>
      </c>
      <c r="F2689" s="7">
        <v>521</v>
      </c>
      <c r="G2689" s="3"/>
      <c r="H2689" s="4"/>
      <c r="I2689" s="5"/>
    </row>
    <row r="2690" spans="1:9" ht="26" customHeight="1">
      <c r="A2690" s="17" t="s">
        <v>199</v>
      </c>
      <c r="B2690" s="18" t="s">
        <v>208</v>
      </c>
      <c r="C2690" s="18" t="s">
        <v>97</v>
      </c>
      <c r="D2690" s="18">
        <v>1</v>
      </c>
      <c r="E2690" s="17" t="s">
        <v>98</v>
      </c>
      <c r="F2690" s="19">
        <v>297</v>
      </c>
      <c r="G2690" s="20"/>
      <c r="H2690" s="21"/>
      <c r="I2690" s="22"/>
    </row>
    <row r="2691" spans="1:9" ht="26" customHeight="1">
      <c r="A2691" s="2" t="s">
        <v>199</v>
      </c>
      <c r="B2691" s="13" t="s">
        <v>208</v>
      </c>
      <c r="C2691" s="13" t="s">
        <v>97</v>
      </c>
      <c r="D2691" s="13">
        <v>2</v>
      </c>
      <c r="E2691" s="2" t="s">
        <v>99</v>
      </c>
      <c r="F2691" s="7">
        <v>297</v>
      </c>
      <c r="G2691" s="3"/>
      <c r="H2691" s="4"/>
      <c r="I2691" s="5"/>
    </row>
    <row r="2692" spans="1:9" ht="26" customHeight="1">
      <c r="A2692" s="17" t="s">
        <v>199</v>
      </c>
      <c r="B2692" s="18" t="s">
        <v>208</v>
      </c>
      <c r="C2692" s="18" t="s">
        <v>97</v>
      </c>
      <c r="D2692" s="18">
        <v>3</v>
      </c>
      <c r="E2692" s="17" t="s">
        <v>100</v>
      </c>
      <c r="F2692" s="19">
        <v>327</v>
      </c>
      <c r="G2692" s="20"/>
      <c r="H2692" s="21"/>
      <c r="I2692" s="22"/>
    </row>
    <row r="2693" spans="1:9" ht="26" customHeight="1">
      <c r="A2693" s="2" t="s">
        <v>199</v>
      </c>
      <c r="B2693" s="13" t="s">
        <v>208</v>
      </c>
      <c r="C2693" s="13" t="s">
        <v>97</v>
      </c>
      <c r="D2693" s="13">
        <v>4</v>
      </c>
      <c r="E2693" s="2" t="s">
        <v>101</v>
      </c>
      <c r="F2693" s="7">
        <v>332</v>
      </c>
      <c r="G2693" s="3"/>
      <c r="H2693" s="4"/>
      <c r="I2693" s="5"/>
    </row>
    <row r="2694" spans="1:9" ht="26" customHeight="1">
      <c r="A2694" s="17" t="s">
        <v>199</v>
      </c>
      <c r="B2694" s="18" t="s">
        <v>208</v>
      </c>
      <c r="C2694" s="18" t="s">
        <v>97</v>
      </c>
      <c r="D2694" s="18">
        <v>5</v>
      </c>
      <c r="E2694" s="17" t="s">
        <v>102</v>
      </c>
      <c r="F2694" s="19">
        <v>332</v>
      </c>
      <c r="G2694" s="20"/>
      <c r="H2694" s="21"/>
      <c r="I2694" s="22"/>
    </row>
    <row r="2695" spans="1:9" ht="26" customHeight="1">
      <c r="A2695" s="2" t="s">
        <v>199</v>
      </c>
      <c r="B2695" s="13" t="s">
        <v>208</v>
      </c>
      <c r="C2695" s="13" t="s">
        <v>97</v>
      </c>
      <c r="D2695" s="13">
        <v>6</v>
      </c>
      <c r="E2695" s="2" t="s">
        <v>103</v>
      </c>
      <c r="F2695" s="7">
        <v>333</v>
      </c>
      <c r="G2695" s="3"/>
      <c r="H2695" s="4"/>
      <c r="I2695" s="5"/>
    </row>
    <row r="2696" spans="1:9" ht="26" customHeight="1">
      <c r="A2696" s="17" t="s">
        <v>199</v>
      </c>
      <c r="B2696" s="18" t="s">
        <v>208</v>
      </c>
      <c r="C2696" s="18" t="s">
        <v>97</v>
      </c>
      <c r="D2696" s="18">
        <v>7</v>
      </c>
      <c r="E2696" s="17" t="s">
        <v>104</v>
      </c>
      <c r="F2696" s="19">
        <v>333</v>
      </c>
      <c r="G2696" s="20"/>
      <c r="H2696" s="21"/>
      <c r="I2696" s="22"/>
    </row>
    <row r="2697" spans="1:9" ht="26" customHeight="1">
      <c r="A2697" s="2" t="s">
        <v>199</v>
      </c>
      <c r="B2697" s="13" t="s">
        <v>208</v>
      </c>
      <c r="C2697" s="13" t="s">
        <v>97</v>
      </c>
      <c r="D2697" s="13">
        <v>8</v>
      </c>
      <c r="E2697" s="2" t="s">
        <v>105</v>
      </c>
      <c r="F2697" s="7">
        <v>333</v>
      </c>
      <c r="G2697" s="3"/>
      <c r="H2697" s="4"/>
      <c r="I2697" s="5"/>
    </row>
    <row r="2698" spans="1:9" ht="26" customHeight="1">
      <c r="A2698" s="17" t="s">
        <v>199</v>
      </c>
      <c r="B2698" s="18" t="s">
        <v>208</v>
      </c>
      <c r="C2698" s="18" t="s">
        <v>97</v>
      </c>
      <c r="D2698" s="18">
        <v>9</v>
      </c>
      <c r="E2698" s="17" t="s">
        <v>106</v>
      </c>
      <c r="F2698" s="19">
        <v>333</v>
      </c>
      <c r="G2698" s="20"/>
      <c r="H2698" s="21"/>
      <c r="I2698" s="22"/>
    </row>
    <row r="2699" spans="1:9" ht="26" customHeight="1">
      <c r="A2699" s="2" t="s">
        <v>199</v>
      </c>
      <c r="B2699" s="13" t="s">
        <v>208</v>
      </c>
      <c r="C2699" s="13" t="s">
        <v>97</v>
      </c>
      <c r="D2699" s="13">
        <v>10</v>
      </c>
      <c r="E2699" s="2" t="s">
        <v>107</v>
      </c>
      <c r="F2699" s="7">
        <v>333</v>
      </c>
      <c r="G2699" s="3"/>
      <c r="H2699" s="4"/>
      <c r="I2699" s="5"/>
    </row>
    <row r="2700" spans="1:9" ht="26" customHeight="1">
      <c r="A2700" s="17" t="s">
        <v>199</v>
      </c>
      <c r="B2700" s="18" t="s">
        <v>208</v>
      </c>
      <c r="C2700" s="18" t="s">
        <v>97</v>
      </c>
      <c r="D2700" s="18">
        <v>11</v>
      </c>
      <c r="E2700" s="17" t="s">
        <v>108</v>
      </c>
      <c r="F2700" s="19">
        <v>333</v>
      </c>
      <c r="G2700" s="20"/>
      <c r="H2700" s="21"/>
      <c r="I2700" s="22"/>
    </row>
    <row r="2701" spans="1:9" ht="26" customHeight="1">
      <c r="A2701" s="2" t="s">
        <v>199</v>
      </c>
      <c r="B2701" s="13" t="s">
        <v>208</v>
      </c>
      <c r="C2701" s="13" t="s">
        <v>97</v>
      </c>
      <c r="D2701" s="13">
        <v>12</v>
      </c>
      <c r="E2701" s="2" t="s">
        <v>109</v>
      </c>
      <c r="F2701" s="7">
        <v>338</v>
      </c>
      <c r="G2701" s="3"/>
      <c r="H2701" s="4"/>
      <c r="I2701" s="5"/>
    </row>
    <row r="2702" spans="1:9" ht="26" customHeight="1">
      <c r="A2702" s="17" t="s">
        <v>199</v>
      </c>
      <c r="B2702" s="18" t="s">
        <v>208</v>
      </c>
      <c r="C2702" s="18" t="s">
        <v>97</v>
      </c>
      <c r="D2702" s="18">
        <v>13</v>
      </c>
      <c r="E2702" s="17" t="s">
        <v>110</v>
      </c>
      <c r="F2702" s="19">
        <v>338</v>
      </c>
      <c r="G2702" s="20"/>
      <c r="H2702" s="21"/>
      <c r="I2702" s="22"/>
    </row>
    <row r="2703" spans="1:9" ht="26" customHeight="1">
      <c r="A2703" s="2" t="s">
        <v>199</v>
      </c>
      <c r="B2703" s="13" t="s">
        <v>208</v>
      </c>
      <c r="C2703" s="13" t="s">
        <v>97</v>
      </c>
      <c r="D2703" s="13">
        <v>14</v>
      </c>
      <c r="E2703" s="2" t="s">
        <v>111</v>
      </c>
      <c r="F2703" s="7">
        <v>339</v>
      </c>
      <c r="G2703" s="3"/>
      <c r="H2703" s="4"/>
      <c r="I2703" s="5"/>
    </row>
    <row r="2704" spans="1:9" ht="26" customHeight="1">
      <c r="A2704" s="17" t="s">
        <v>199</v>
      </c>
      <c r="B2704" s="18" t="s">
        <v>208</v>
      </c>
      <c r="C2704" s="18" t="s">
        <v>97</v>
      </c>
      <c r="D2704" s="18">
        <v>15</v>
      </c>
      <c r="E2704" s="17" t="s">
        <v>112</v>
      </c>
      <c r="F2704" s="19">
        <v>339</v>
      </c>
      <c r="G2704" s="20"/>
      <c r="H2704" s="21"/>
      <c r="I2704" s="22"/>
    </row>
    <row r="2705" spans="1:9" ht="26" customHeight="1">
      <c r="A2705" s="2" t="s">
        <v>199</v>
      </c>
      <c r="B2705" s="13" t="s">
        <v>208</v>
      </c>
      <c r="C2705" s="13" t="s">
        <v>97</v>
      </c>
      <c r="D2705" s="13">
        <v>16</v>
      </c>
      <c r="E2705" s="2" t="s">
        <v>113</v>
      </c>
      <c r="F2705" s="7">
        <v>339</v>
      </c>
      <c r="G2705" s="3"/>
      <c r="H2705" s="4"/>
      <c r="I2705" s="5"/>
    </row>
    <row r="2706" spans="1:9" ht="26" customHeight="1">
      <c r="A2706" s="17" t="s">
        <v>199</v>
      </c>
      <c r="B2706" s="18" t="s">
        <v>208</v>
      </c>
      <c r="C2706" s="18" t="s">
        <v>97</v>
      </c>
      <c r="D2706" s="18">
        <v>17</v>
      </c>
      <c r="E2706" s="17" t="s">
        <v>114</v>
      </c>
      <c r="F2706" s="19">
        <v>344</v>
      </c>
      <c r="G2706" s="20"/>
      <c r="H2706" s="21"/>
      <c r="I2706" s="22"/>
    </row>
    <row r="2707" spans="1:9" ht="26" customHeight="1">
      <c r="A2707" s="2" t="s">
        <v>199</v>
      </c>
      <c r="B2707" s="13" t="s">
        <v>208</v>
      </c>
      <c r="C2707" s="13" t="s">
        <v>97</v>
      </c>
      <c r="D2707" s="13">
        <v>18</v>
      </c>
      <c r="E2707" s="2" t="s">
        <v>115</v>
      </c>
      <c r="F2707" s="7">
        <v>344</v>
      </c>
      <c r="G2707" s="3"/>
      <c r="H2707" s="4"/>
      <c r="I2707" s="5"/>
    </row>
    <row r="2708" spans="1:9" ht="26" customHeight="1">
      <c r="A2708" s="17" t="s">
        <v>199</v>
      </c>
      <c r="B2708" s="18" t="s">
        <v>208</v>
      </c>
      <c r="C2708" s="18" t="s">
        <v>97</v>
      </c>
      <c r="D2708" s="18">
        <v>19</v>
      </c>
      <c r="E2708" s="17" t="s">
        <v>116</v>
      </c>
      <c r="F2708" s="19">
        <v>344</v>
      </c>
      <c r="G2708" s="20"/>
      <c r="H2708" s="21"/>
      <c r="I2708" s="22"/>
    </row>
    <row r="2709" spans="1:9" ht="26" customHeight="1">
      <c r="A2709" s="2" t="s">
        <v>199</v>
      </c>
      <c r="B2709" s="13" t="s">
        <v>208</v>
      </c>
      <c r="C2709" s="13" t="s">
        <v>97</v>
      </c>
      <c r="D2709" s="13">
        <v>20</v>
      </c>
      <c r="E2709" s="2" t="s">
        <v>117</v>
      </c>
      <c r="F2709" s="7">
        <v>347</v>
      </c>
      <c r="G2709" s="3"/>
      <c r="H2709" s="4"/>
      <c r="I2709" s="5"/>
    </row>
    <row r="2710" spans="1:9" ht="26" customHeight="1">
      <c r="A2710" s="17" t="s">
        <v>199</v>
      </c>
      <c r="B2710" s="18" t="s">
        <v>208</v>
      </c>
      <c r="C2710" s="18" t="s">
        <v>97</v>
      </c>
      <c r="D2710" s="18">
        <v>21</v>
      </c>
      <c r="E2710" s="17" t="s">
        <v>118</v>
      </c>
      <c r="F2710" s="19">
        <v>349</v>
      </c>
      <c r="G2710" s="20"/>
      <c r="H2710" s="21"/>
      <c r="I2710" s="22"/>
    </row>
    <row r="2711" spans="1:9" ht="26" customHeight="1">
      <c r="A2711" s="2" t="s">
        <v>199</v>
      </c>
      <c r="B2711" s="13" t="s">
        <v>208</v>
      </c>
      <c r="C2711" s="13" t="s">
        <v>97</v>
      </c>
      <c r="D2711" s="13">
        <v>22</v>
      </c>
      <c r="E2711" s="2" t="s">
        <v>119</v>
      </c>
      <c r="F2711" s="7">
        <v>349</v>
      </c>
      <c r="G2711" s="3"/>
      <c r="H2711" s="4"/>
      <c r="I2711" s="5"/>
    </row>
    <row r="2712" spans="1:9" ht="26" customHeight="1">
      <c r="A2712" s="17" t="s">
        <v>199</v>
      </c>
      <c r="B2712" s="18" t="s">
        <v>208</v>
      </c>
      <c r="C2712" s="18" t="s">
        <v>97</v>
      </c>
      <c r="D2712" s="18">
        <v>23</v>
      </c>
      <c r="E2712" s="17" t="s">
        <v>120</v>
      </c>
      <c r="F2712" s="19">
        <v>354</v>
      </c>
      <c r="G2712" s="20"/>
      <c r="H2712" s="21"/>
      <c r="I2712" s="22"/>
    </row>
    <row r="2713" spans="1:9" ht="26" customHeight="1">
      <c r="A2713" s="2" t="s">
        <v>199</v>
      </c>
      <c r="B2713" s="13" t="s">
        <v>208</v>
      </c>
      <c r="C2713" s="13" t="s">
        <v>97</v>
      </c>
      <c r="D2713" s="13">
        <v>24</v>
      </c>
      <c r="E2713" s="2" t="s">
        <v>121</v>
      </c>
      <c r="F2713" s="7">
        <v>354</v>
      </c>
      <c r="G2713" s="3"/>
      <c r="H2713" s="4"/>
      <c r="I2713" s="5"/>
    </row>
    <row r="2714" spans="1:9" ht="26" customHeight="1">
      <c r="A2714" s="17" t="s">
        <v>199</v>
      </c>
      <c r="B2714" s="18" t="s">
        <v>208</v>
      </c>
      <c r="C2714" s="18" t="s">
        <v>97</v>
      </c>
      <c r="D2714" s="18">
        <v>25</v>
      </c>
      <c r="E2714" s="17" t="s">
        <v>122</v>
      </c>
      <c r="F2714" s="19">
        <v>354</v>
      </c>
      <c r="G2714" s="20"/>
      <c r="H2714" s="21"/>
      <c r="I2714" s="22"/>
    </row>
    <row r="2715" spans="1:9" ht="26" customHeight="1">
      <c r="A2715" s="2" t="s">
        <v>199</v>
      </c>
      <c r="B2715" s="13" t="s">
        <v>208</v>
      </c>
      <c r="C2715" s="13" t="s">
        <v>97</v>
      </c>
      <c r="D2715" s="13">
        <v>26</v>
      </c>
      <c r="E2715" s="2" t="s">
        <v>123</v>
      </c>
      <c r="F2715" s="7">
        <v>359</v>
      </c>
      <c r="G2715" s="3"/>
      <c r="H2715" s="4"/>
      <c r="I2715" s="5"/>
    </row>
    <row r="2716" spans="1:9" ht="26" customHeight="1">
      <c r="A2716" s="17" t="s">
        <v>199</v>
      </c>
      <c r="B2716" s="18" t="s">
        <v>208</v>
      </c>
      <c r="C2716" s="18" t="s">
        <v>97</v>
      </c>
      <c r="D2716" s="18">
        <v>27</v>
      </c>
      <c r="E2716" s="17" t="s">
        <v>124</v>
      </c>
      <c r="F2716" s="19">
        <v>419</v>
      </c>
      <c r="G2716" s="20"/>
      <c r="H2716" s="21"/>
      <c r="I2716" s="22"/>
    </row>
    <row r="2717" spans="1:9" ht="26" customHeight="1">
      <c r="A2717" s="2" t="s">
        <v>199</v>
      </c>
      <c r="B2717" s="13" t="s">
        <v>208</v>
      </c>
      <c r="C2717" s="13" t="s">
        <v>97</v>
      </c>
      <c r="D2717" s="13">
        <v>28</v>
      </c>
      <c r="E2717" s="2" t="s">
        <v>125</v>
      </c>
      <c r="F2717" s="7">
        <v>419</v>
      </c>
      <c r="G2717" s="3"/>
      <c r="H2717" s="4"/>
      <c r="I2717" s="5"/>
    </row>
    <row r="2718" spans="1:9" ht="26" customHeight="1">
      <c r="A2718" s="17" t="s">
        <v>199</v>
      </c>
      <c r="B2718" s="18" t="s">
        <v>208</v>
      </c>
      <c r="C2718" s="18" t="s">
        <v>97</v>
      </c>
      <c r="D2718" s="18">
        <v>29</v>
      </c>
      <c r="E2718" s="17" t="s">
        <v>126</v>
      </c>
      <c r="F2718" s="19">
        <v>435</v>
      </c>
      <c r="G2718" s="20"/>
      <c r="H2718" s="21"/>
      <c r="I2718" s="22"/>
    </row>
    <row r="2719" spans="1:9" ht="26" customHeight="1">
      <c r="A2719" s="2" t="s">
        <v>199</v>
      </c>
      <c r="B2719" s="13" t="s">
        <v>208</v>
      </c>
      <c r="C2719" s="13" t="s">
        <v>97</v>
      </c>
      <c r="D2719" s="13">
        <v>30</v>
      </c>
      <c r="E2719" s="2" t="s">
        <v>127</v>
      </c>
      <c r="F2719" s="7">
        <v>435</v>
      </c>
      <c r="G2719" s="3"/>
      <c r="H2719" s="4"/>
      <c r="I2719" s="5"/>
    </row>
    <row r="2720" spans="1:9" ht="26" customHeight="1">
      <c r="A2720" s="17" t="s">
        <v>199</v>
      </c>
      <c r="B2720" s="18" t="s">
        <v>208</v>
      </c>
      <c r="C2720" s="18" t="s">
        <v>128</v>
      </c>
      <c r="D2720" s="18">
        <v>31</v>
      </c>
      <c r="E2720" s="17" t="s">
        <v>129</v>
      </c>
      <c r="F2720" s="19">
        <v>252</v>
      </c>
      <c r="G2720" s="20"/>
      <c r="H2720" s="21"/>
      <c r="I2720" s="22"/>
    </row>
    <row r="2721" spans="1:9" ht="26" customHeight="1">
      <c r="A2721" s="2" t="s">
        <v>199</v>
      </c>
      <c r="B2721" s="13" t="s">
        <v>208</v>
      </c>
      <c r="C2721" s="13" t="s">
        <v>128</v>
      </c>
      <c r="D2721" s="13">
        <v>32</v>
      </c>
      <c r="E2721" s="2" t="s">
        <v>130</v>
      </c>
      <c r="F2721" s="7">
        <v>255</v>
      </c>
      <c r="G2721" s="3"/>
      <c r="H2721" s="4"/>
      <c r="I2721" s="5"/>
    </row>
    <row r="2722" spans="1:9" ht="26" customHeight="1">
      <c r="A2722" s="17" t="s">
        <v>199</v>
      </c>
      <c r="B2722" s="18" t="s">
        <v>208</v>
      </c>
      <c r="C2722" s="18" t="s">
        <v>128</v>
      </c>
      <c r="D2722" s="18">
        <v>33</v>
      </c>
      <c r="E2722" s="17" t="s">
        <v>131</v>
      </c>
      <c r="F2722" s="19">
        <v>255</v>
      </c>
      <c r="G2722" s="20"/>
      <c r="H2722" s="21"/>
      <c r="I2722" s="22"/>
    </row>
    <row r="2723" spans="1:9" ht="26" customHeight="1">
      <c r="A2723" s="2" t="s">
        <v>199</v>
      </c>
      <c r="B2723" s="13" t="s">
        <v>208</v>
      </c>
      <c r="C2723" s="13" t="s">
        <v>128</v>
      </c>
      <c r="D2723" s="13">
        <v>34</v>
      </c>
      <c r="E2723" s="2" t="s">
        <v>132</v>
      </c>
      <c r="F2723" s="7">
        <v>257</v>
      </c>
      <c r="G2723" s="3"/>
      <c r="H2723" s="4"/>
      <c r="I2723" s="5"/>
    </row>
    <row r="2724" spans="1:9" ht="26" customHeight="1">
      <c r="A2724" s="17" t="s">
        <v>199</v>
      </c>
      <c r="B2724" s="18" t="s">
        <v>208</v>
      </c>
      <c r="C2724" s="18" t="s">
        <v>128</v>
      </c>
      <c r="D2724" s="18">
        <v>35</v>
      </c>
      <c r="E2724" s="17" t="s">
        <v>133</v>
      </c>
      <c r="F2724" s="19">
        <v>304</v>
      </c>
      <c r="G2724" s="20"/>
      <c r="H2724" s="21"/>
      <c r="I2724" s="22"/>
    </row>
    <row r="2725" spans="1:9" ht="26" customHeight="1">
      <c r="A2725" s="2" t="s">
        <v>199</v>
      </c>
      <c r="B2725" s="13" t="s">
        <v>208</v>
      </c>
      <c r="C2725" s="13" t="s">
        <v>128</v>
      </c>
      <c r="D2725" s="13">
        <v>36</v>
      </c>
      <c r="E2725" s="2" t="s">
        <v>134</v>
      </c>
      <c r="F2725" s="7">
        <v>314</v>
      </c>
      <c r="G2725" s="3"/>
      <c r="H2725" s="4"/>
      <c r="I2725" s="5"/>
    </row>
    <row r="2726" spans="1:9" ht="26" customHeight="1">
      <c r="A2726" s="17" t="s">
        <v>199</v>
      </c>
      <c r="B2726" s="18" t="s">
        <v>208</v>
      </c>
      <c r="C2726" s="18" t="s">
        <v>128</v>
      </c>
      <c r="D2726" s="18">
        <v>37</v>
      </c>
      <c r="E2726" s="17" t="s">
        <v>135</v>
      </c>
      <c r="F2726" s="19">
        <v>382</v>
      </c>
      <c r="G2726" s="20"/>
      <c r="H2726" s="21"/>
      <c r="I2726" s="22"/>
    </row>
    <row r="2727" spans="1:9" ht="26" customHeight="1">
      <c r="A2727" s="2" t="s">
        <v>199</v>
      </c>
      <c r="B2727" s="13" t="s">
        <v>208</v>
      </c>
      <c r="C2727" s="13" t="s">
        <v>128</v>
      </c>
      <c r="D2727" s="13">
        <v>38</v>
      </c>
      <c r="E2727" s="2" t="s">
        <v>136</v>
      </c>
      <c r="F2727" s="7">
        <v>402</v>
      </c>
      <c r="G2727" s="3"/>
      <c r="H2727" s="4"/>
      <c r="I2727" s="5"/>
    </row>
    <row r="2728" spans="1:9" ht="26" customHeight="1">
      <c r="A2728" s="17" t="s">
        <v>199</v>
      </c>
      <c r="B2728" s="18" t="s">
        <v>208</v>
      </c>
      <c r="C2728" s="18" t="s">
        <v>128</v>
      </c>
      <c r="D2728" s="18">
        <v>39</v>
      </c>
      <c r="E2728" s="17" t="s">
        <v>137</v>
      </c>
      <c r="F2728" s="19">
        <v>412</v>
      </c>
      <c r="G2728" s="20"/>
      <c r="H2728" s="21"/>
      <c r="I2728" s="22"/>
    </row>
    <row r="2729" spans="1:9" ht="26" customHeight="1">
      <c r="A2729" s="2" t="s">
        <v>199</v>
      </c>
      <c r="B2729" s="13" t="s">
        <v>208</v>
      </c>
      <c r="C2729" s="13" t="s">
        <v>128</v>
      </c>
      <c r="D2729" s="13">
        <v>40</v>
      </c>
      <c r="E2729" s="2" t="s">
        <v>138</v>
      </c>
      <c r="F2729" s="7">
        <v>423</v>
      </c>
      <c r="G2729" s="3"/>
      <c r="H2729" s="4"/>
      <c r="I2729" s="5"/>
    </row>
    <row r="2730" spans="1:9" ht="26" customHeight="1">
      <c r="A2730" s="17" t="s">
        <v>199</v>
      </c>
      <c r="B2730" s="18" t="s">
        <v>208</v>
      </c>
      <c r="C2730" s="18" t="s">
        <v>128</v>
      </c>
      <c r="D2730" s="18">
        <v>41</v>
      </c>
      <c r="E2730" s="17" t="s">
        <v>139</v>
      </c>
      <c r="F2730" s="19">
        <v>448</v>
      </c>
      <c r="G2730" s="20"/>
      <c r="H2730" s="21"/>
      <c r="I2730" s="22"/>
    </row>
    <row r="2731" spans="1:9" ht="26" customHeight="1">
      <c r="A2731" s="2" t="s">
        <v>199</v>
      </c>
      <c r="B2731" s="13" t="s">
        <v>208</v>
      </c>
      <c r="C2731" s="13" t="s">
        <v>128</v>
      </c>
      <c r="D2731" s="13">
        <v>42</v>
      </c>
      <c r="E2731" s="2" t="s">
        <v>140</v>
      </c>
      <c r="F2731" s="7">
        <v>489</v>
      </c>
      <c r="G2731" s="3"/>
      <c r="H2731" s="4"/>
      <c r="I2731" s="5"/>
    </row>
    <row r="2732" spans="1:9" ht="26" customHeight="1">
      <c r="A2732" s="17" t="s">
        <v>199</v>
      </c>
      <c r="B2732" s="18" t="s">
        <v>208</v>
      </c>
      <c r="C2732" s="18" t="s">
        <v>128</v>
      </c>
      <c r="D2732" s="18">
        <v>43</v>
      </c>
      <c r="E2732" s="17" t="s">
        <v>141</v>
      </c>
      <c r="F2732" s="19">
        <v>489</v>
      </c>
      <c r="G2732" s="20"/>
      <c r="H2732" s="21"/>
      <c r="I2732" s="22"/>
    </row>
    <row r="2733" spans="1:9" ht="26" customHeight="1">
      <c r="A2733" s="2" t="s">
        <v>199</v>
      </c>
      <c r="B2733" s="13" t="s">
        <v>208</v>
      </c>
      <c r="C2733" s="13" t="s">
        <v>128</v>
      </c>
      <c r="D2733" s="13">
        <v>44</v>
      </c>
      <c r="E2733" s="2" t="s">
        <v>142</v>
      </c>
      <c r="F2733" s="7">
        <v>495</v>
      </c>
      <c r="G2733" s="3"/>
      <c r="H2733" s="4"/>
      <c r="I2733" s="5"/>
    </row>
    <row r="2734" spans="1:9" ht="26" customHeight="1">
      <c r="A2734" s="17" t="s">
        <v>199</v>
      </c>
      <c r="B2734" s="18" t="s">
        <v>208</v>
      </c>
      <c r="C2734" s="18" t="s">
        <v>128</v>
      </c>
      <c r="D2734" s="18">
        <v>45</v>
      </c>
      <c r="E2734" s="17" t="s">
        <v>143</v>
      </c>
      <c r="F2734" s="19">
        <v>500</v>
      </c>
      <c r="G2734" s="20"/>
      <c r="H2734" s="21"/>
      <c r="I2734" s="22"/>
    </row>
    <row r="2735" spans="1:9" ht="26" customHeight="1">
      <c r="A2735" s="2" t="s">
        <v>199</v>
      </c>
      <c r="B2735" s="13" t="s">
        <v>208</v>
      </c>
      <c r="C2735" s="13" t="s">
        <v>128</v>
      </c>
      <c r="D2735" s="13">
        <v>46</v>
      </c>
      <c r="E2735" s="2" t="s">
        <v>144</v>
      </c>
      <c r="F2735" s="7">
        <v>500</v>
      </c>
      <c r="G2735" s="3"/>
      <c r="H2735" s="4"/>
      <c r="I2735" s="5"/>
    </row>
    <row r="2736" spans="1:9" ht="26" customHeight="1">
      <c r="A2736" s="17" t="s">
        <v>199</v>
      </c>
      <c r="B2736" s="18" t="s">
        <v>208</v>
      </c>
      <c r="C2736" s="18" t="s">
        <v>128</v>
      </c>
      <c r="D2736" s="18">
        <v>47</v>
      </c>
      <c r="E2736" s="17" t="s">
        <v>145</v>
      </c>
      <c r="F2736" s="19">
        <v>510</v>
      </c>
      <c r="G2736" s="20"/>
      <c r="H2736" s="21"/>
      <c r="I2736" s="22"/>
    </row>
    <row r="2737" spans="1:9" ht="26" customHeight="1">
      <c r="A2737" s="2" t="s">
        <v>199</v>
      </c>
      <c r="B2737" s="13" t="s">
        <v>208</v>
      </c>
      <c r="C2737" s="13" t="s">
        <v>128</v>
      </c>
      <c r="D2737" s="13">
        <v>48</v>
      </c>
      <c r="E2737" s="2" t="s">
        <v>146</v>
      </c>
      <c r="F2737" s="7">
        <v>516</v>
      </c>
      <c r="G2737" s="3"/>
      <c r="H2737" s="4"/>
      <c r="I2737" s="5"/>
    </row>
    <row r="2738" spans="1:9" ht="26" customHeight="1">
      <c r="A2738" s="17" t="s">
        <v>199</v>
      </c>
      <c r="B2738" s="18" t="s">
        <v>209</v>
      </c>
      <c r="C2738" s="18" t="s">
        <v>97</v>
      </c>
      <c r="D2738" s="18">
        <v>1</v>
      </c>
      <c r="E2738" s="17" t="s">
        <v>98</v>
      </c>
      <c r="F2738" s="19">
        <v>290</v>
      </c>
      <c r="G2738" s="20"/>
      <c r="H2738" s="21"/>
      <c r="I2738" s="22"/>
    </row>
    <row r="2739" spans="1:9" ht="26" customHeight="1">
      <c r="A2739" s="2" t="s">
        <v>199</v>
      </c>
      <c r="B2739" s="13" t="s">
        <v>209</v>
      </c>
      <c r="C2739" s="13" t="s">
        <v>97</v>
      </c>
      <c r="D2739" s="13">
        <v>2</v>
      </c>
      <c r="E2739" s="2" t="s">
        <v>99</v>
      </c>
      <c r="F2739" s="7">
        <v>289</v>
      </c>
      <c r="G2739" s="3"/>
      <c r="H2739" s="4"/>
      <c r="I2739" s="5"/>
    </row>
    <row r="2740" spans="1:9" ht="26" customHeight="1">
      <c r="A2740" s="17" t="s">
        <v>199</v>
      </c>
      <c r="B2740" s="18" t="s">
        <v>209</v>
      </c>
      <c r="C2740" s="18" t="s">
        <v>97</v>
      </c>
      <c r="D2740" s="18">
        <v>3</v>
      </c>
      <c r="E2740" s="17" t="s">
        <v>100</v>
      </c>
      <c r="F2740" s="19">
        <v>319</v>
      </c>
      <c r="G2740" s="20"/>
      <c r="H2740" s="21"/>
      <c r="I2740" s="22"/>
    </row>
    <row r="2741" spans="1:9" ht="26" customHeight="1">
      <c r="A2741" s="2" t="s">
        <v>199</v>
      </c>
      <c r="B2741" s="13" t="s">
        <v>209</v>
      </c>
      <c r="C2741" s="13" t="s">
        <v>97</v>
      </c>
      <c r="D2741" s="13">
        <v>4</v>
      </c>
      <c r="E2741" s="2" t="s">
        <v>101</v>
      </c>
      <c r="F2741" s="7">
        <v>324</v>
      </c>
      <c r="G2741" s="3"/>
      <c r="H2741" s="4"/>
      <c r="I2741" s="5"/>
    </row>
    <row r="2742" spans="1:9" ht="26" customHeight="1">
      <c r="A2742" s="17" t="s">
        <v>199</v>
      </c>
      <c r="B2742" s="18" t="s">
        <v>209</v>
      </c>
      <c r="C2742" s="18" t="s">
        <v>97</v>
      </c>
      <c r="D2742" s="18">
        <v>5</v>
      </c>
      <c r="E2742" s="17" t="s">
        <v>102</v>
      </c>
      <c r="F2742" s="19">
        <v>324</v>
      </c>
      <c r="G2742" s="20"/>
      <c r="H2742" s="21"/>
      <c r="I2742" s="22"/>
    </row>
    <row r="2743" spans="1:9" ht="26" customHeight="1">
      <c r="A2743" s="2" t="s">
        <v>199</v>
      </c>
      <c r="B2743" s="13" t="s">
        <v>209</v>
      </c>
      <c r="C2743" s="13" t="s">
        <v>97</v>
      </c>
      <c r="D2743" s="13">
        <v>6</v>
      </c>
      <c r="E2743" s="2" t="s">
        <v>103</v>
      </c>
      <c r="F2743" s="7">
        <v>326</v>
      </c>
      <c r="G2743" s="3"/>
      <c r="H2743" s="4"/>
      <c r="I2743" s="5"/>
    </row>
    <row r="2744" spans="1:9" ht="26" customHeight="1">
      <c r="A2744" s="17" t="s">
        <v>199</v>
      </c>
      <c r="B2744" s="18" t="s">
        <v>209</v>
      </c>
      <c r="C2744" s="18" t="s">
        <v>97</v>
      </c>
      <c r="D2744" s="18">
        <v>7</v>
      </c>
      <c r="E2744" s="17" t="s">
        <v>104</v>
      </c>
      <c r="F2744" s="19">
        <v>326</v>
      </c>
      <c r="G2744" s="20"/>
      <c r="H2744" s="21"/>
      <c r="I2744" s="22"/>
    </row>
    <row r="2745" spans="1:9" ht="26" customHeight="1">
      <c r="A2745" s="2" t="s">
        <v>199</v>
      </c>
      <c r="B2745" s="13" t="s">
        <v>209</v>
      </c>
      <c r="C2745" s="13" t="s">
        <v>97</v>
      </c>
      <c r="D2745" s="13">
        <v>8</v>
      </c>
      <c r="E2745" s="2" t="s">
        <v>105</v>
      </c>
      <c r="F2745" s="7">
        <v>326</v>
      </c>
      <c r="G2745" s="3"/>
      <c r="H2745" s="4"/>
      <c r="I2745" s="5"/>
    </row>
    <row r="2746" spans="1:9" ht="26" customHeight="1">
      <c r="A2746" s="17" t="s">
        <v>199</v>
      </c>
      <c r="B2746" s="18" t="s">
        <v>209</v>
      </c>
      <c r="C2746" s="18" t="s">
        <v>97</v>
      </c>
      <c r="D2746" s="18">
        <v>9</v>
      </c>
      <c r="E2746" s="17" t="s">
        <v>106</v>
      </c>
      <c r="F2746" s="19">
        <v>326</v>
      </c>
      <c r="G2746" s="20"/>
      <c r="H2746" s="21"/>
      <c r="I2746" s="22"/>
    </row>
    <row r="2747" spans="1:9" ht="26" customHeight="1">
      <c r="A2747" s="2" t="s">
        <v>199</v>
      </c>
      <c r="B2747" s="13" t="s">
        <v>209</v>
      </c>
      <c r="C2747" s="13" t="s">
        <v>97</v>
      </c>
      <c r="D2747" s="13">
        <v>10</v>
      </c>
      <c r="E2747" s="2" t="s">
        <v>107</v>
      </c>
      <c r="F2747" s="7">
        <v>326</v>
      </c>
      <c r="G2747" s="3"/>
      <c r="H2747" s="4"/>
      <c r="I2747" s="5"/>
    </row>
    <row r="2748" spans="1:9" ht="26" customHeight="1">
      <c r="A2748" s="17" t="s">
        <v>199</v>
      </c>
      <c r="B2748" s="18" t="s">
        <v>209</v>
      </c>
      <c r="C2748" s="18" t="s">
        <v>97</v>
      </c>
      <c r="D2748" s="18">
        <v>11</v>
      </c>
      <c r="E2748" s="17" t="s">
        <v>108</v>
      </c>
      <c r="F2748" s="19">
        <v>326</v>
      </c>
      <c r="G2748" s="20"/>
      <c r="H2748" s="21"/>
      <c r="I2748" s="22"/>
    </row>
    <row r="2749" spans="1:9" ht="26" customHeight="1">
      <c r="A2749" s="2" t="s">
        <v>199</v>
      </c>
      <c r="B2749" s="13" t="s">
        <v>209</v>
      </c>
      <c r="C2749" s="13" t="s">
        <v>97</v>
      </c>
      <c r="D2749" s="13">
        <v>12</v>
      </c>
      <c r="E2749" s="2" t="s">
        <v>109</v>
      </c>
      <c r="F2749" s="7">
        <v>330</v>
      </c>
      <c r="G2749" s="3"/>
      <c r="H2749" s="4"/>
      <c r="I2749" s="5"/>
    </row>
    <row r="2750" spans="1:9" ht="26" customHeight="1">
      <c r="A2750" s="17" t="s">
        <v>199</v>
      </c>
      <c r="B2750" s="18" t="s">
        <v>209</v>
      </c>
      <c r="C2750" s="18" t="s">
        <v>97</v>
      </c>
      <c r="D2750" s="18">
        <v>13</v>
      </c>
      <c r="E2750" s="17" t="s">
        <v>110</v>
      </c>
      <c r="F2750" s="19">
        <v>330</v>
      </c>
      <c r="G2750" s="20"/>
      <c r="H2750" s="21"/>
      <c r="I2750" s="22"/>
    </row>
    <row r="2751" spans="1:9" ht="26" customHeight="1">
      <c r="A2751" s="2" t="s">
        <v>199</v>
      </c>
      <c r="B2751" s="13" t="s">
        <v>209</v>
      </c>
      <c r="C2751" s="13" t="s">
        <v>97</v>
      </c>
      <c r="D2751" s="13">
        <v>14</v>
      </c>
      <c r="E2751" s="2" t="s">
        <v>111</v>
      </c>
      <c r="F2751" s="7">
        <v>331</v>
      </c>
      <c r="G2751" s="3"/>
      <c r="H2751" s="4"/>
      <c r="I2751" s="5"/>
    </row>
    <row r="2752" spans="1:9" ht="26" customHeight="1">
      <c r="A2752" s="17" t="s">
        <v>199</v>
      </c>
      <c r="B2752" s="18" t="s">
        <v>209</v>
      </c>
      <c r="C2752" s="18" t="s">
        <v>97</v>
      </c>
      <c r="D2752" s="18">
        <v>15</v>
      </c>
      <c r="E2752" s="17" t="s">
        <v>112</v>
      </c>
      <c r="F2752" s="19">
        <v>331</v>
      </c>
      <c r="G2752" s="20"/>
      <c r="H2752" s="21"/>
      <c r="I2752" s="22"/>
    </row>
    <row r="2753" spans="1:9" ht="26" customHeight="1">
      <c r="A2753" s="2" t="s">
        <v>199</v>
      </c>
      <c r="B2753" s="13" t="s">
        <v>209</v>
      </c>
      <c r="C2753" s="13" t="s">
        <v>97</v>
      </c>
      <c r="D2753" s="13">
        <v>16</v>
      </c>
      <c r="E2753" s="2" t="s">
        <v>113</v>
      </c>
      <c r="F2753" s="7">
        <v>331</v>
      </c>
      <c r="G2753" s="3"/>
      <c r="H2753" s="4"/>
      <c r="I2753" s="5"/>
    </row>
    <row r="2754" spans="1:9" ht="26" customHeight="1">
      <c r="A2754" s="17" t="s">
        <v>199</v>
      </c>
      <c r="B2754" s="18" t="s">
        <v>209</v>
      </c>
      <c r="C2754" s="18" t="s">
        <v>97</v>
      </c>
      <c r="D2754" s="18">
        <v>17</v>
      </c>
      <c r="E2754" s="17" t="s">
        <v>114</v>
      </c>
      <c r="F2754" s="19">
        <v>337</v>
      </c>
      <c r="G2754" s="20"/>
      <c r="H2754" s="21"/>
      <c r="I2754" s="22"/>
    </row>
    <row r="2755" spans="1:9" ht="26" customHeight="1">
      <c r="A2755" s="2" t="s">
        <v>199</v>
      </c>
      <c r="B2755" s="13" t="s">
        <v>209</v>
      </c>
      <c r="C2755" s="13" t="s">
        <v>97</v>
      </c>
      <c r="D2755" s="13">
        <v>18</v>
      </c>
      <c r="E2755" s="2" t="s">
        <v>115</v>
      </c>
      <c r="F2755" s="7">
        <v>337</v>
      </c>
      <c r="G2755" s="3"/>
      <c r="H2755" s="4"/>
      <c r="I2755" s="5"/>
    </row>
    <row r="2756" spans="1:9" ht="26" customHeight="1">
      <c r="A2756" s="17" t="s">
        <v>199</v>
      </c>
      <c r="B2756" s="18" t="s">
        <v>209</v>
      </c>
      <c r="C2756" s="18" t="s">
        <v>97</v>
      </c>
      <c r="D2756" s="18">
        <v>19</v>
      </c>
      <c r="E2756" s="17" t="s">
        <v>116</v>
      </c>
      <c r="F2756" s="19">
        <v>337</v>
      </c>
      <c r="G2756" s="20"/>
      <c r="H2756" s="21"/>
      <c r="I2756" s="22"/>
    </row>
    <row r="2757" spans="1:9" ht="26" customHeight="1">
      <c r="A2757" s="2" t="s">
        <v>199</v>
      </c>
      <c r="B2757" s="13" t="s">
        <v>209</v>
      </c>
      <c r="C2757" s="13" t="s">
        <v>97</v>
      </c>
      <c r="D2757" s="13">
        <v>20</v>
      </c>
      <c r="E2757" s="2" t="s">
        <v>117</v>
      </c>
      <c r="F2757" s="7">
        <v>339</v>
      </c>
      <c r="G2757" s="3"/>
      <c r="H2757" s="4"/>
      <c r="I2757" s="5"/>
    </row>
    <row r="2758" spans="1:9" ht="26" customHeight="1">
      <c r="A2758" s="17" t="s">
        <v>199</v>
      </c>
      <c r="B2758" s="18" t="s">
        <v>209</v>
      </c>
      <c r="C2758" s="18" t="s">
        <v>97</v>
      </c>
      <c r="D2758" s="18">
        <v>21</v>
      </c>
      <c r="E2758" s="17" t="s">
        <v>118</v>
      </c>
      <c r="F2758" s="19">
        <v>341</v>
      </c>
      <c r="G2758" s="20"/>
      <c r="H2758" s="21"/>
      <c r="I2758" s="22"/>
    </row>
    <row r="2759" spans="1:9" ht="26" customHeight="1">
      <c r="A2759" s="2" t="s">
        <v>199</v>
      </c>
      <c r="B2759" s="13" t="s">
        <v>209</v>
      </c>
      <c r="C2759" s="13" t="s">
        <v>97</v>
      </c>
      <c r="D2759" s="13">
        <v>22</v>
      </c>
      <c r="E2759" s="2" t="s">
        <v>119</v>
      </c>
      <c r="F2759" s="7">
        <v>341</v>
      </c>
      <c r="G2759" s="3"/>
      <c r="H2759" s="4"/>
      <c r="I2759" s="5"/>
    </row>
    <row r="2760" spans="1:9" ht="26" customHeight="1">
      <c r="A2760" s="17" t="s">
        <v>199</v>
      </c>
      <c r="B2760" s="18" t="s">
        <v>209</v>
      </c>
      <c r="C2760" s="18" t="s">
        <v>97</v>
      </c>
      <c r="D2760" s="18">
        <v>23</v>
      </c>
      <c r="E2760" s="17" t="s">
        <v>120</v>
      </c>
      <c r="F2760" s="19">
        <v>346</v>
      </c>
      <c r="G2760" s="20"/>
      <c r="H2760" s="21"/>
      <c r="I2760" s="22"/>
    </row>
    <row r="2761" spans="1:9" ht="26" customHeight="1">
      <c r="A2761" s="2" t="s">
        <v>199</v>
      </c>
      <c r="B2761" s="13" t="s">
        <v>209</v>
      </c>
      <c r="C2761" s="13" t="s">
        <v>97</v>
      </c>
      <c r="D2761" s="13">
        <v>24</v>
      </c>
      <c r="E2761" s="2" t="s">
        <v>121</v>
      </c>
      <c r="F2761" s="7">
        <v>346</v>
      </c>
      <c r="G2761" s="3"/>
      <c r="H2761" s="4"/>
      <c r="I2761" s="5"/>
    </row>
    <row r="2762" spans="1:9" ht="26" customHeight="1">
      <c r="A2762" s="17" t="s">
        <v>199</v>
      </c>
      <c r="B2762" s="18" t="s">
        <v>209</v>
      </c>
      <c r="C2762" s="18" t="s">
        <v>97</v>
      </c>
      <c r="D2762" s="18">
        <v>25</v>
      </c>
      <c r="E2762" s="17" t="s">
        <v>122</v>
      </c>
      <c r="F2762" s="19">
        <v>346</v>
      </c>
      <c r="G2762" s="20"/>
      <c r="H2762" s="21"/>
      <c r="I2762" s="22"/>
    </row>
    <row r="2763" spans="1:9" ht="26" customHeight="1">
      <c r="A2763" s="2" t="s">
        <v>199</v>
      </c>
      <c r="B2763" s="13" t="s">
        <v>209</v>
      </c>
      <c r="C2763" s="13" t="s">
        <v>97</v>
      </c>
      <c r="D2763" s="13">
        <v>26</v>
      </c>
      <c r="E2763" s="2" t="s">
        <v>123</v>
      </c>
      <c r="F2763" s="7">
        <v>351</v>
      </c>
      <c r="G2763" s="3"/>
      <c r="H2763" s="4"/>
      <c r="I2763" s="5"/>
    </row>
    <row r="2764" spans="1:9" ht="26" customHeight="1">
      <c r="A2764" s="17" t="s">
        <v>199</v>
      </c>
      <c r="B2764" s="18" t="s">
        <v>209</v>
      </c>
      <c r="C2764" s="18" t="s">
        <v>97</v>
      </c>
      <c r="D2764" s="18">
        <v>27</v>
      </c>
      <c r="E2764" s="17" t="s">
        <v>124</v>
      </c>
      <c r="F2764" s="19">
        <v>411</v>
      </c>
      <c r="G2764" s="20"/>
      <c r="H2764" s="21"/>
      <c r="I2764" s="22"/>
    </row>
    <row r="2765" spans="1:9" ht="26" customHeight="1">
      <c r="A2765" s="2" t="s">
        <v>199</v>
      </c>
      <c r="B2765" s="13" t="s">
        <v>209</v>
      </c>
      <c r="C2765" s="13" t="s">
        <v>97</v>
      </c>
      <c r="D2765" s="13">
        <v>28</v>
      </c>
      <c r="E2765" s="2" t="s">
        <v>125</v>
      </c>
      <c r="F2765" s="7">
        <v>411</v>
      </c>
      <c r="G2765" s="3"/>
      <c r="H2765" s="4"/>
      <c r="I2765" s="5"/>
    </row>
    <row r="2766" spans="1:9" ht="26" customHeight="1">
      <c r="A2766" s="17" t="s">
        <v>199</v>
      </c>
      <c r="B2766" s="18" t="s">
        <v>209</v>
      </c>
      <c r="C2766" s="18" t="s">
        <v>97</v>
      </c>
      <c r="D2766" s="18">
        <v>29</v>
      </c>
      <c r="E2766" s="17" t="s">
        <v>126</v>
      </c>
      <c r="F2766" s="19">
        <v>427</v>
      </c>
      <c r="G2766" s="20"/>
      <c r="H2766" s="21"/>
      <c r="I2766" s="22"/>
    </row>
    <row r="2767" spans="1:9" ht="26" customHeight="1">
      <c r="A2767" s="2" t="s">
        <v>199</v>
      </c>
      <c r="B2767" s="13" t="s">
        <v>209</v>
      </c>
      <c r="C2767" s="13" t="s">
        <v>97</v>
      </c>
      <c r="D2767" s="13">
        <v>30</v>
      </c>
      <c r="E2767" s="2" t="s">
        <v>127</v>
      </c>
      <c r="F2767" s="7">
        <v>427</v>
      </c>
      <c r="G2767" s="3"/>
      <c r="H2767" s="4"/>
      <c r="I2767" s="5"/>
    </row>
    <row r="2768" spans="1:9" ht="26" customHeight="1">
      <c r="A2768" s="17" t="s">
        <v>199</v>
      </c>
      <c r="B2768" s="18" t="s">
        <v>209</v>
      </c>
      <c r="C2768" s="18" t="s">
        <v>128</v>
      </c>
      <c r="D2768" s="18">
        <v>31</v>
      </c>
      <c r="E2768" s="17" t="s">
        <v>129</v>
      </c>
      <c r="F2768" s="19">
        <v>245</v>
      </c>
      <c r="G2768" s="20"/>
      <c r="H2768" s="21"/>
      <c r="I2768" s="22"/>
    </row>
    <row r="2769" spans="1:9" ht="26" customHeight="1">
      <c r="A2769" s="2" t="s">
        <v>199</v>
      </c>
      <c r="B2769" s="13" t="s">
        <v>209</v>
      </c>
      <c r="C2769" s="13" t="s">
        <v>128</v>
      </c>
      <c r="D2769" s="13">
        <v>32</v>
      </c>
      <c r="E2769" s="2" t="s">
        <v>130</v>
      </c>
      <c r="F2769" s="7">
        <v>248</v>
      </c>
      <c r="G2769" s="3"/>
      <c r="H2769" s="4"/>
      <c r="I2769" s="5"/>
    </row>
    <row r="2770" spans="1:9" ht="26" customHeight="1">
      <c r="A2770" s="17" t="s">
        <v>199</v>
      </c>
      <c r="B2770" s="18" t="s">
        <v>209</v>
      </c>
      <c r="C2770" s="18" t="s">
        <v>128</v>
      </c>
      <c r="D2770" s="18">
        <v>33</v>
      </c>
      <c r="E2770" s="17" t="s">
        <v>131</v>
      </c>
      <c r="F2770" s="19">
        <v>248</v>
      </c>
      <c r="G2770" s="20"/>
      <c r="H2770" s="21"/>
      <c r="I2770" s="22"/>
    </row>
    <row r="2771" spans="1:9" ht="26" customHeight="1">
      <c r="A2771" s="2" t="s">
        <v>199</v>
      </c>
      <c r="B2771" s="13" t="s">
        <v>209</v>
      </c>
      <c r="C2771" s="13" t="s">
        <v>128</v>
      </c>
      <c r="D2771" s="13">
        <v>34</v>
      </c>
      <c r="E2771" s="2" t="s">
        <v>132</v>
      </c>
      <c r="F2771" s="7">
        <v>250</v>
      </c>
      <c r="G2771" s="3"/>
      <c r="H2771" s="4"/>
      <c r="I2771" s="5"/>
    </row>
    <row r="2772" spans="1:9" ht="26" customHeight="1">
      <c r="A2772" s="17" t="s">
        <v>199</v>
      </c>
      <c r="B2772" s="18" t="s">
        <v>209</v>
      </c>
      <c r="C2772" s="18" t="s">
        <v>128</v>
      </c>
      <c r="D2772" s="18">
        <v>35</v>
      </c>
      <c r="E2772" s="17" t="s">
        <v>133</v>
      </c>
      <c r="F2772" s="19">
        <v>297</v>
      </c>
      <c r="G2772" s="20"/>
      <c r="H2772" s="21"/>
      <c r="I2772" s="22"/>
    </row>
    <row r="2773" spans="1:9" ht="26" customHeight="1">
      <c r="A2773" s="2" t="s">
        <v>199</v>
      </c>
      <c r="B2773" s="13" t="s">
        <v>209</v>
      </c>
      <c r="C2773" s="13" t="s">
        <v>128</v>
      </c>
      <c r="D2773" s="13">
        <v>36</v>
      </c>
      <c r="E2773" s="2" t="s">
        <v>134</v>
      </c>
      <c r="F2773" s="7">
        <v>307</v>
      </c>
      <c r="G2773" s="3"/>
      <c r="H2773" s="4"/>
      <c r="I2773" s="5"/>
    </row>
    <row r="2774" spans="1:9" ht="26" customHeight="1">
      <c r="A2774" s="17" t="s">
        <v>199</v>
      </c>
      <c r="B2774" s="18" t="s">
        <v>209</v>
      </c>
      <c r="C2774" s="18" t="s">
        <v>128</v>
      </c>
      <c r="D2774" s="18">
        <v>37</v>
      </c>
      <c r="E2774" s="17" t="s">
        <v>135</v>
      </c>
      <c r="F2774" s="19">
        <v>374</v>
      </c>
      <c r="G2774" s="20"/>
      <c r="H2774" s="21"/>
      <c r="I2774" s="22"/>
    </row>
    <row r="2775" spans="1:9" ht="26" customHeight="1">
      <c r="A2775" s="2" t="s">
        <v>199</v>
      </c>
      <c r="B2775" s="13" t="s">
        <v>209</v>
      </c>
      <c r="C2775" s="13" t="s">
        <v>128</v>
      </c>
      <c r="D2775" s="13">
        <v>38</v>
      </c>
      <c r="E2775" s="2" t="s">
        <v>136</v>
      </c>
      <c r="F2775" s="7">
        <v>394</v>
      </c>
      <c r="G2775" s="3"/>
      <c r="H2775" s="4"/>
      <c r="I2775" s="5"/>
    </row>
    <row r="2776" spans="1:9" ht="26" customHeight="1">
      <c r="A2776" s="17" t="s">
        <v>199</v>
      </c>
      <c r="B2776" s="18" t="s">
        <v>209</v>
      </c>
      <c r="C2776" s="18" t="s">
        <v>128</v>
      </c>
      <c r="D2776" s="18">
        <v>39</v>
      </c>
      <c r="E2776" s="17" t="s">
        <v>137</v>
      </c>
      <c r="F2776" s="19">
        <v>404</v>
      </c>
      <c r="G2776" s="20"/>
      <c r="H2776" s="21"/>
      <c r="I2776" s="22"/>
    </row>
    <row r="2777" spans="1:9" ht="26" customHeight="1">
      <c r="A2777" s="2" t="s">
        <v>199</v>
      </c>
      <c r="B2777" s="13" t="s">
        <v>209</v>
      </c>
      <c r="C2777" s="13" t="s">
        <v>128</v>
      </c>
      <c r="D2777" s="13">
        <v>40</v>
      </c>
      <c r="E2777" s="2" t="s">
        <v>138</v>
      </c>
      <c r="F2777" s="7">
        <v>415</v>
      </c>
      <c r="G2777" s="3"/>
      <c r="H2777" s="4"/>
      <c r="I2777" s="5"/>
    </row>
    <row r="2778" spans="1:9" ht="26" customHeight="1">
      <c r="A2778" s="17" t="s">
        <v>199</v>
      </c>
      <c r="B2778" s="18" t="s">
        <v>209</v>
      </c>
      <c r="C2778" s="18" t="s">
        <v>128</v>
      </c>
      <c r="D2778" s="18">
        <v>41</v>
      </c>
      <c r="E2778" s="17" t="s">
        <v>139</v>
      </c>
      <c r="F2778" s="19">
        <v>440</v>
      </c>
      <c r="G2778" s="20"/>
      <c r="H2778" s="21"/>
      <c r="I2778" s="22"/>
    </row>
    <row r="2779" spans="1:9" ht="26" customHeight="1">
      <c r="A2779" s="2" t="s">
        <v>199</v>
      </c>
      <c r="B2779" s="13" t="s">
        <v>209</v>
      </c>
      <c r="C2779" s="13" t="s">
        <v>128</v>
      </c>
      <c r="D2779" s="13">
        <v>42</v>
      </c>
      <c r="E2779" s="2" t="s">
        <v>140</v>
      </c>
      <c r="F2779" s="7">
        <v>481</v>
      </c>
      <c r="G2779" s="3"/>
      <c r="H2779" s="4"/>
      <c r="I2779" s="5"/>
    </row>
    <row r="2780" spans="1:9" ht="26" customHeight="1">
      <c r="A2780" s="17" t="s">
        <v>199</v>
      </c>
      <c r="B2780" s="18" t="s">
        <v>209</v>
      </c>
      <c r="C2780" s="18" t="s">
        <v>128</v>
      </c>
      <c r="D2780" s="18">
        <v>43</v>
      </c>
      <c r="E2780" s="17" t="s">
        <v>141</v>
      </c>
      <c r="F2780" s="19">
        <v>481</v>
      </c>
      <c r="G2780" s="20"/>
      <c r="H2780" s="21"/>
      <c r="I2780" s="22"/>
    </row>
    <row r="2781" spans="1:9" ht="26" customHeight="1">
      <c r="A2781" s="2" t="s">
        <v>199</v>
      </c>
      <c r="B2781" s="13" t="s">
        <v>209</v>
      </c>
      <c r="C2781" s="13" t="s">
        <v>128</v>
      </c>
      <c r="D2781" s="13">
        <v>44</v>
      </c>
      <c r="E2781" s="2" t="s">
        <v>142</v>
      </c>
      <c r="F2781" s="7">
        <v>486</v>
      </c>
      <c r="G2781" s="3"/>
      <c r="H2781" s="4"/>
      <c r="I2781" s="5"/>
    </row>
    <row r="2782" spans="1:9" ht="26" customHeight="1">
      <c r="A2782" s="17" t="s">
        <v>199</v>
      </c>
      <c r="B2782" s="18" t="s">
        <v>209</v>
      </c>
      <c r="C2782" s="18" t="s">
        <v>128</v>
      </c>
      <c r="D2782" s="18">
        <v>45</v>
      </c>
      <c r="E2782" s="17" t="s">
        <v>143</v>
      </c>
      <c r="F2782" s="19">
        <v>491</v>
      </c>
      <c r="G2782" s="20"/>
      <c r="H2782" s="21"/>
      <c r="I2782" s="22"/>
    </row>
    <row r="2783" spans="1:9" ht="26" customHeight="1">
      <c r="A2783" s="2" t="s">
        <v>199</v>
      </c>
      <c r="B2783" s="13" t="s">
        <v>209</v>
      </c>
      <c r="C2783" s="13" t="s">
        <v>128</v>
      </c>
      <c r="D2783" s="13">
        <v>46</v>
      </c>
      <c r="E2783" s="2" t="s">
        <v>144</v>
      </c>
      <c r="F2783" s="7">
        <v>491</v>
      </c>
      <c r="G2783" s="3"/>
      <c r="H2783" s="4"/>
      <c r="I2783" s="5"/>
    </row>
    <row r="2784" spans="1:9" ht="26" customHeight="1">
      <c r="A2784" s="17" t="s">
        <v>199</v>
      </c>
      <c r="B2784" s="18" t="s">
        <v>209</v>
      </c>
      <c r="C2784" s="18" t="s">
        <v>128</v>
      </c>
      <c r="D2784" s="18">
        <v>47</v>
      </c>
      <c r="E2784" s="17" t="s">
        <v>145</v>
      </c>
      <c r="F2784" s="19">
        <v>501</v>
      </c>
      <c r="G2784" s="20"/>
      <c r="H2784" s="21"/>
      <c r="I2784" s="22"/>
    </row>
    <row r="2785" spans="1:9" ht="26" customHeight="1">
      <c r="A2785" s="2" t="s">
        <v>199</v>
      </c>
      <c r="B2785" s="13" t="s">
        <v>209</v>
      </c>
      <c r="C2785" s="13" t="s">
        <v>128</v>
      </c>
      <c r="D2785" s="13">
        <v>48</v>
      </c>
      <c r="E2785" s="2" t="s">
        <v>146</v>
      </c>
      <c r="F2785" s="7">
        <v>507</v>
      </c>
      <c r="G2785" s="3"/>
      <c r="H2785" s="4"/>
      <c r="I2785" s="5"/>
    </row>
    <row r="2786" spans="1:9" ht="26" customHeight="1">
      <c r="A2786" s="17" t="s">
        <v>199</v>
      </c>
      <c r="B2786" s="18" t="s">
        <v>210</v>
      </c>
      <c r="C2786" s="18" t="s">
        <v>97</v>
      </c>
      <c r="D2786" s="18">
        <v>1</v>
      </c>
      <c r="E2786" s="17" t="s">
        <v>98</v>
      </c>
      <c r="F2786" s="19">
        <v>310</v>
      </c>
      <c r="G2786" s="20"/>
      <c r="H2786" s="21"/>
      <c r="I2786" s="22"/>
    </row>
    <row r="2787" spans="1:9" ht="26" customHeight="1">
      <c r="A2787" s="2" t="s">
        <v>199</v>
      </c>
      <c r="B2787" s="13" t="s">
        <v>210</v>
      </c>
      <c r="C2787" s="13" t="s">
        <v>97</v>
      </c>
      <c r="D2787" s="13">
        <v>2</v>
      </c>
      <c r="E2787" s="2" t="s">
        <v>99</v>
      </c>
      <c r="F2787" s="7">
        <v>309</v>
      </c>
      <c r="G2787" s="3"/>
      <c r="H2787" s="4"/>
      <c r="I2787" s="5"/>
    </row>
    <row r="2788" spans="1:9" ht="26" customHeight="1">
      <c r="A2788" s="17" t="s">
        <v>199</v>
      </c>
      <c r="B2788" s="18" t="s">
        <v>210</v>
      </c>
      <c r="C2788" s="18" t="s">
        <v>97</v>
      </c>
      <c r="D2788" s="18">
        <v>3</v>
      </c>
      <c r="E2788" s="17" t="s">
        <v>100</v>
      </c>
      <c r="F2788" s="19">
        <v>341</v>
      </c>
      <c r="G2788" s="20"/>
      <c r="H2788" s="21"/>
      <c r="I2788" s="22"/>
    </row>
    <row r="2789" spans="1:9" ht="26" customHeight="1">
      <c r="A2789" s="2" t="s">
        <v>199</v>
      </c>
      <c r="B2789" s="13" t="s">
        <v>210</v>
      </c>
      <c r="C2789" s="13" t="s">
        <v>97</v>
      </c>
      <c r="D2789" s="13">
        <v>4</v>
      </c>
      <c r="E2789" s="2" t="s">
        <v>101</v>
      </c>
      <c r="F2789" s="7">
        <v>346</v>
      </c>
      <c r="G2789" s="3"/>
      <c r="H2789" s="4"/>
      <c r="I2789" s="5"/>
    </row>
    <row r="2790" spans="1:9" ht="26" customHeight="1">
      <c r="A2790" s="17" t="s">
        <v>199</v>
      </c>
      <c r="B2790" s="18" t="s">
        <v>210</v>
      </c>
      <c r="C2790" s="18" t="s">
        <v>97</v>
      </c>
      <c r="D2790" s="18">
        <v>5</v>
      </c>
      <c r="E2790" s="17" t="s">
        <v>102</v>
      </c>
      <c r="F2790" s="19">
        <v>341</v>
      </c>
      <c r="G2790" s="20"/>
      <c r="H2790" s="21"/>
      <c r="I2790" s="22"/>
    </row>
    <row r="2791" spans="1:9" ht="26" customHeight="1">
      <c r="A2791" s="2" t="s">
        <v>199</v>
      </c>
      <c r="B2791" s="13" t="s">
        <v>210</v>
      </c>
      <c r="C2791" s="13" t="s">
        <v>97</v>
      </c>
      <c r="D2791" s="13">
        <v>6</v>
      </c>
      <c r="E2791" s="2" t="s">
        <v>103</v>
      </c>
      <c r="F2791" s="7">
        <v>348</v>
      </c>
      <c r="G2791" s="3"/>
      <c r="H2791" s="4"/>
      <c r="I2791" s="5"/>
    </row>
    <row r="2792" spans="1:9" ht="26" customHeight="1">
      <c r="A2792" s="17" t="s">
        <v>199</v>
      </c>
      <c r="B2792" s="18" t="s">
        <v>210</v>
      </c>
      <c r="C2792" s="18" t="s">
        <v>97</v>
      </c>
      <c r="D2792" s="18">
        <v>7</v>
      </c>
      <c r="E2792" s="17" t="s">
        <v>104</v>
      </c>
      <c r="F2792" s="19">
        <v>348</v>
      </c>
      <c r="G2792" s="20"/>
      <c r="H2792" s="21"/>
      <c r="I2792" s="22"/>
    </row>
    <row r="2793" spans="1:9" ht="26" customHeight="1">
      <c r="A2793" s="2" t="s">
        <v>199</v>
      </c>
      <c r="B2793" s="13" t="s">
        <v>210</v>
      </c>
      <c r="C2793" s="13" t="s">
        <v>97</v>
      </c>
      <c r="D2793" s="13">
        <v>8</v>
      </c>
      <c r="E2793" s="2" t="s">
        <v>105</v>
      </c>
      <c r="F2793" s="7">
        <v>348</v>
      </c>
      <c r="G2793" s="3"/>
      <c r="H2793" s="4"/>
      <c r="I2793" s="5"/>
    </row>
    <row r="2794" spans="1:9" ht="26" customHeight="1">
      <c r="A2794" s="17" t="s">
        <v>199</v>
      </c>
      <c r="B2794" s="18" t="s">
        <v>210</v>
      </c>
      <c r="C2794" s="18" t="s">
        <v>97</v>
      </c>
      <c r="D2794" s="18">
        <v>9</v>
      </c>
      <c r="E2794" s="17" t="s">
        <v>106</v>
      </c>
      <c r="F2794" s="19">
        <v>348</v>
      </c>
      <c r="G2794" s="20"/>
      <c r="H2794" s="21"/>
      <c r="I2794" s="22"/>
    </row>
    <row r="2795" spans="1:9" ht="26" customHeight="1">
      <c r="A2795" s="2" t="s">
        <v>199</v>
      </c>
      <c r="B2795" s="13" t="s">
        <v>210</v>
      </c>
      <c r="C2795" s="13" t="s">
        <v>97</v>
      </c>
      <c r="D2795" s="13">
        <v>10</v>
      </c>
      <c r="E2795" s="2" t="s">
        <v>107</v>
      </c>
      <c r="F2795" s="7">
        <v>348</v>
      </c>
      <c r="G2795" s="3"/>
      <c r="H2795" s="4"/>
      <c r="I2795" s="5"/>
    </row>
    <row r="2796" spans="1:9" ht="26" customHeight="1">
      <c r="A2796" s="17" t="s">
        <v>199</v>
      </c>
      <c r="B2796" s="18" t="s">
        <v>210</v>
      </c>
      <c r="C2796" s="18" t="s">
        <v>97</v>
      </c>
      <c r="D2796" s="18">
        <v>11</v>
      </c>
      <c r="E2796" s="17" t="s">
        <v>108</v>
      </c>
      <c r="F2796" s="19">
        <v>348</v>
      </c>
      <c r="G2796" s="20"/>
      <c r="H2796" s="21"/>
      <c r="I2796" s="22"/>
    </row>
    <row r="2797" spans="1:9" ht="26" customHeight="1">
      <c r="A2797" s="2" t="s">
        <v>199</v>
      </c>
      <c r="B2797" s="13" t="s">
        <v>210</v>
      </c>
      <c r="C2797" s="13" t="s">
        <v>97</v>
      </c>
      <c r="D2797" s="13">
        <v>12</v>
      </c>
      <c r="E2797" s="2" t="s">
        <v>109</v>
      </c>
      <c r="F2797" s="7">
        <v>353</v>
      </c>
      <c r="G2797" s="3"/>
      <c r="H2797" s="4"/>
      <c r="I2797" s="5"/>
    </row>
    <row r="2798" spans="1:9" ht="26" customHeight="1">
      <c r="A2798" s="17" t="s">
        <v>199</v>
      </c>
      <c r="B2798" s="18" t="s">
        <v>210</v>
      </c>
      <c r="C2798" s="18" t="s">
        <v>97</v>
      </c>
      <c r="D2798" s="18">
        <v>13</v>
      </c>
      <c r="E2798" s="17" t="s">
        <v>110</v>
      </c>
      <c r="F2798" s="19">
        <v>353</v>
      </c>
      <c r="G2798" s="20"/>
      <c r="H2798" s="21"/>
      <c r="I2798" s="22"/>
    </row>
    <row r="2799" spans="1:9" ht="26" customHeight="1">
      <c r="A2799" s="2" t="s">
        <v>199</v>
      </c>
      <c r="B2799" s="13" t="s">
        <v>210</v>
      </c>
      <c r="C2799" s="13" t="s">
        <v>97</v>
      </c>
      <c r="D2799" s="13">
        <v>14</v>
      </c>
      <c r="E2799" s="2" t="s">
        <v>111</v>
      </c>
      <c r="F2799" s="7">
        <v>354</v>
      </c>
      <c r="G2799" s="3"/>
      <c r="H2799" s="4"/>
      <c r="I2799" s="5"/>
    </row>
    <row r="2800" spans="1:9" ht="26" customHeight="1">
      <c r="A2800" s="17" t="s">
        <v>199</v>
      </c>
      <c r="B2800" s="18" t="s">
        <v>210</v>
      </c>
      <c r="C2800" s="18" t="s">
        <v>97</v>
      </c>
      <c r="D2800" s="18">
        <v>15</v>
      </c>
      <c r="E2800" s="17" t="s">
        <v>112</v>
      </c>
      <c r="F2800" s="19">
        <v>354</v>
      </c>
      <c r="G2800" s="20"/>
      <c r="H2800" s="21"/>
      <c r="I2800" s="22"/>
    </row>
    <row r="2801" spans="1:9" ht="26" customHeight="1">
      <c r="A2801" s="2" t="s">
        <v>199</v>
      </c>
      <c r="B2801" s="13" t="s">
        <v>210</v>
      </c>
      <c r="C2801" s="13" t="s">
        <v>97</v>
      </c>
      <c r="D2801" s="13">
        <v>16</v>
      </c>
      <c r="E2801" s="2" t="s">
        <v>113</v>
      </c>
      <c r="F2801" s="7">
        <v>354</v>
      </c>
      <c r="G2801" s="3"/>
      <c r="H2801" s="4"/>
      <c r="I2801" s="5"/>
    </row>
    <row r="2802" spans="1:9" ht="26" customHeight="1">
      <c r="A2802" s="17" t="s">
        <v>199</v>
      </c>
      <c r="B2802" s="18" t="s">
        <v>210</v>
      </c>
      <c r="C2802" s="18" t="s">
        <v>97</v>
      </c>
      <c r="D2802" s="18">
        <v>17</v>
      </c>
      <c r="E2802" s="17" t="s">
        <v>114</v>
      </c>
      <c r="F2802" s="19">
        <v>359</v>
      </c>
      <c r="G2802" s="20"/>
      <c r="H2802" s="21"/>
      <c r="I2802" s="22"/>
    </row>
    <row r="2803" spans="1:9" ht="26" customHeight="1">
      <c r="A2803" s="2" t="s">
        <v>199</v>
      </c>
      <c r="B2803" s="13" t="s">
        <v>210</v>
      </c>
      <c r="C2803" s="13" t="s">
        <v>97</v>
      </c>
      <c r="D2803" s="13">
        <v>18</v>
      </c>
      <c r="E2803" s="2" t="s">
        <v>115</v>
      </c>
      <c r="F2803" s="7">
        <v>359</v>
      </c>
      <c r="G2803" s="3"/>
      <c r="H2803" s="4"/>
      <c r="I2803" s="5"/>
    </row>
    <row r="2804" spans="1:9" ht="26" customHeight="1">
      <c r="A2804" s="17" t="s">
        <v>199</v>
      </c>
      <c r="B2804" s="18" t="s">
        <v>210</v>
      </c>
      <c r="C2804" s="18" t="s">
        <v>97</v>
      </c>
      <c r="D2804" s="18">
        <v>19</v>
      </c>
      <c r="E2804" s="17" t="s">
        <v>116</v>
      </c>
      <c r="F2804" s="19">
        <v>359</v>
      </c>
      <c r="G2804" s="20"/>
      <c r="H2804" s="21"/>
      <c r="I2804" s="22"/>
    </row>
    <row r="2805" spans="1:9" ht="26" customHeight="1">
      <c r="A2805" s="2" t="s">
        <v>199</v>
      </c>
      <c r="B2805" s="13" t="s">
        <v>210</v>
      </c>
      <c r="C2805" s="13" t="s">
        <v>97</v>
      </c>
      <c r="D2805" s="13">
        <v>20</v>
      </c>
      <c r="E2805" s="2" t="s">
        <v>117</v>
      </c>
      <c r="F2805" s="7">
        <v>362</v>
      </c>
      <c r="G2805" s="3"/>
      <c r="H2805" s="4"/>
      <c r="I2805" s="5"/>
    </row>
    <row r="2806" spans="1:9" ht="26" customHeight="1">
      <c r="A2806" s="17" t="s">
        <v>199</v>
      </c>
      <c r="B2806" s="18" t="s">
        <v>210</v>
      </c>
      <c r="C2806" s="18" t="s">
        <v>97</v>
      </c>
      <c r="D2806" s="18">
        <v>21</v>
      </c>
      <c r="E2806" s="17" t="s">
        <v>118</v>
      </c>
      <c r="F2806" s="19">
        <v>364</v>
      </c>
      <c r="G2806" s="20"/>
      <c r="H2806" s="21"/>
      <c r="I2806" s="22"/>
    </row>
    <row r="2807" spans="1:9" ht="26" customHeight="1">
      <c r="A2807" s="2" t="s">
        <v>199</v>
      </c>
      <c r="B2807" s="13" t="s">
        <v>210</v>
      </c>
      <c r="C2807" s="13" t="s">
        <v>97</v>
      </c>
      <c r="D2807" s="13">
        <v>22</v>
      </c>
      <c r="E2807" s="2" t="s">
        <v>119</v>
      </c>
      <c r="F2807" s="7">
        <v>364</v>
      </c>
      <c r="G2807" s="3"/>
      <c r="H2807" s="4"/>
      <c r="I2807" s="5"/>
    </row>
    <row r="2808" spans="1:9" ht="26" customHeight="1">
      <c r="A2808" s="17" t="s">
        <v>199</v>
      </c>
      <c r="B2808" s="18" t="s">
        <v>210</v>
      </c>
      <c r="C2808" s="18" t="s">
        <v>97</v>
      </c>
      <c r="D2808" s="18">
        <v>23</v>
      </c>
      <c r="E2808" s="17" t="s">
        <v>120</v>
      </c>
      <c r="F2808" s="19">
        <v>369</v>
      </c>
      <c r="G2808" s="20"/>
      <c r="H2808" s="21"/>
      <c r="I2808" s="22"/>
    </row>
    <row r="2809" spans="1:9" ht="26" customHeight="1">
      <c r="A2809" s="2" t="s">
        <v>199</v>
      </c>
      <c r="B2809" s="13" t="s">
        <v>210</v>
      </c>
      <c r="C2809" s="13" t="s">
        <v>97</v>
      </c>
      <c r="D2809" s="13">
        <v>24</v>
      </c>
      <c r="E2809" s="2" t="s">
        <v>121</v>
      </c>
      <c r="F2809" s="7">
        <v>369</v>
      </c>
      <c r="G2809" s="3"/>
      <c r="H2809" s="4"/>
      <c r="I2809" s="5"/>
    </row>
    <row r="2810" spans="1:9" ht="26" customHeight="1">
      <c r="A2810" s="17" t="s">
        <v>199</v>
      </c>
      <c r="B2810" s="18" t="s">
        <v>210</v>
      </c>
      <c r="C2810" s="18" t="s">
        <v>97</v>
      </c>
      <c r="D2810" s="18">
        <v>25</v>
      </c>
      <c r="E2810" s="17" t="s">
        <v>122</v>
      </c>
      <c r="F2810" s="19">
        <v>369</v>
      </c>
      <c r="G2810" s="20"/>
      <c r="H2810" s="21"/>
      <c r="I2810" s="22"/>
    </row>
    <row r="2811" spans="1:9" ht="26" customHeight="1">
      <c r="A2811" s="2" t="s">
        <v>199</v>
      </c>
      <c r="B2811" s="13" t="s">
        <v>210</v>
      </c>
      <c r="C2811" s="13" t="s">
        <v>97</v>
      </c>
      <c r="D2811" s="13">
        <v>26</v>
      </c>
      <c r="E2811" s="2" t="s">
        <v>123</v>
      </c>
      <c r="F2811" s="7">
        <v>375</v>
      </c>
      <c r="G2811" s="3"/>
      <c r="H2811" s="4"/>
      <c r="I2811" s="5"/>
    </row>
    <row r="2812" spans="1:9" ht="26" customHeight="1">
      <c r="A2812" s="17" t="s">
        <v>199</v>
      </c>
      <c r="B2812" s="18" t="s">
        <v>210</v>
      </c>
      <c r="C2812" s="18" t="s">
        <v>97</v>
      </c>
      <c r="D2812" s="18">
        <v>27</v>
      </c>
      <c r="E2812" s="17" t="s">
        <v>124</v>
      </c>
      <c r="F2812" s="19">
        <v>438</v>
      </c>
      <c r="G2812" s="20"/>
      <c r="H2812" s="21"/>
      <c r="I2812" s="22"/>
    </row>
    <row r="2813" spans="1:9" ht="26" customHeight="1">
      <c r="A2813" s="2" t="s">
        <v>199</v>
      </c>
      <c r="B2813" s="13" t="s">
        <v>210</v>
      </c>
      <c r="C2813" s="13" t="s">
        <v>97</v>
      </c>
      <c r="D2813" s="13">
        <v>28</v>
      </c>
      <c r="E2813" s="2" t="s">
        <v>125</v>
      </c>
      <c r="F2813" s="7">
        <v>438</v>
      </c>
      <c r="G2813" s="3"/>
      <c r="H2813" s="4"/>
      <c r="I2813" s="5"/>
    </row>
    <row r="2814" spans="1:9" ht="26" customHeight="1">
      <c r="A2814" s="17" t="s">
        <v>199</v>
      </c>
      <c r="B2814" s="18" t="s">
        <v>210</v>
      </c>
      <c r="C2814" s="18" t="s">
        <v>97</v>
      </c>
      <c r="D2814" s="18">
        <v>29</v>
      </c>
      <c r="E2814" s="17" t="s">
        <v>126</v>
      </c>
      <c r="F2814" s="19">
        <v>455</v>
      </c>
      <c r="G2814" s="20"/>
      <c r="H2814" s="21"/>
      <c r="I2814" s="22"/>
    </row>
    <row r="2815" spans="1:9" ht="26" customHeight="1">
      <c r="A2815" s="2" t="s">
        <v>199</v>
      </c>
      <c r="B2815" s="13" t="s">
        <v>210</v>
      </c>
      <c r="C2815" s="13" t="s">
        <v>97</v>
      </c>
      <c r="D2815" s="13">
        <v>30</v>
      </c>
      <c r="E2815" s="2" t="s">
        <v>127</v>
      </c>
      <c r="F2815" s="7">
        <v>455</v>
      </c>
      <c r="G2815" s="3"/>
      <c r="H2815" s="4"/>
      <c r="I2815" s="5"/>
    </row>
    <row r="2816" spans="1:9" ht="26" customHeight="1">
      <c r="A2816" s="17" t="s">
        <v>199</v>
      </c>
      <c r="B2816" s="18" t="s">
        <v>210</v>
      </c>
      <c r="C2816" s="18" t="s">
        <v>128</v>
      </c>
      <c r="D2816" s="18">
        <v>31</v>
      </c>
      <c r="E2816" s="17" t="s">
        <v>129</v>
      </c>
      <c r="F2816" s="19">
        <v>263</v>
      </c>
      <c r="G2816" s="20"/>
      <c r="H2816" s="21"/>
      <c r="I2816" s="22"/>
    </row>
    <row r="2817" spans="1:9" ht="26" customHeight="1">
      <c r="A2817" s="2" t="s">
        <v>199</v>
      </c>
      <c r="B2817" s="13" t="s">
        <v>210</v>
      </c>
      <c r="C2817" s="13" t="s">
        <v>128</v>
      </c>
      <c r="D2817" s="13">
        <v>32</v>
      </c>
      <c r="E2817" s="2" t="s">
        <v>130</v>
      </c>
      <c r="F2817" s="7">
        <v>266</v>
      </c>
      <c r="G2817" s="3"/>
      <c r="H2817" s="4"/>
      <c r="I2817" s="5"/>
    </row>
    <row r="2818" spans="1:9" ht="26" customHeight="1">
      <c r="A2818" s="17" t="s">
        <v>199</v>
      </c>
      <c r="B2818" s="18" t="s">
        <v>210</v>
      </c>
      <c r="C2818" s="18" t="s">
        <v>128</v>
      </c>
      <c r="D2818" s="18">
        <v>33</v>
      </c>
      <c r="E2818" s="17" t="s">
        <v>131</v>
      </c>
      <c r="F2818" s="19">
        <v>266</v>
      </c>
      <c r="G2818" s="20"/>
      <c r="H2818" s="21"/>
      <c r="I2818" s="22"/>
    </row>
    <row r="2819" spans="1:9" ht="26" customHeight="1">
      <c r="A2819" s="2" t="s">
        <v>199</v>
      </c>
      <c r="B2819" s="13" t="s">
        <v>210</v>
      </c>
      <c r="C2819" s="13" t="s">
        <v>128</v>
      </c>
      <c r="D2819" s="13">
        <v>34</v>
      </c>
      <c r="E2819" s="2" t="s">
        <v>132</v>
      </c>
      <c r="F2819" s="7">
        <v>268</v>
      </c>
      <c r="G2819" s="3"/>
      <c r="H2819" s="4"/>
      <c r="I2819" s="5"/>
    </row>
    <row r="2820" spans="1:9" ht="26" customHeight="1">
      <c r="A2820" s="17" t="s">
        <v>199</v>
      </c>
      <c r="B2820" s="18" t="s">
        <v>210</v>
      </c>
      <c r="C2820" s="18" t="s">
        <v>128</v>
      </c>
      <c r="D2820" s="18">
        <v>35</v>
      </c>
      <c r="E2820" s="17" t="s">
        <v>133</v>
      </c>
      <c r="F2820" s="19">
        <v>317</v>
      </c>
      <c r="G2820" s="20"/>
      <c r="H2820" s="21"/>
      <c r="I2820" s="22"/>
    </row>
    <row r="2821" spans="1:9" ht="26" customHeight="1">
      <c r="A2821" s="2" t="s">
        <v>199</v>
      </c>
      <c r="B2821" s="13" t="s">
        <v>210</v>
      </c>
      <c r="C2821" s="13" t="s">
        <v>128</v>
      </c>
      <c r="D2821" s="13">
        <v>36</v>
      </c>
      <c r="E2821" s="2" t="s">
        <v>134</v>
      </c>
      <c r="F2821" s="7">
        <v>328</v>
      </c>
      <c r="G2821" s="3"/>
      <c r="H2821" s="4"/>
      <c r="I2821" s="5"/>
    </row>
    <row r="2822" spans="1:9" ht="26" customHeight="1">
      <c r="A2822" s="17" t="s">
        <v>199</v>
      </c>
      <c r="B2822" s="18" t="s">
        <v>210</v>
      </c>
      <c r="C2822" s="18" t="s">
        <v>128</v>
      </c>
      <c r="D2822" s="18">
        <v>37</v>
      </c>
      <c r="E2822" s="17" t="s">
        <v>135</v>
      </c>
      <c r="F2822" s="19">
        <v>399</v>
      </c>
      <c r="G2822" s="20"/>
      <c r="H2822" s="21"/>
      <c r="I2822" s="22"/>
    </row>
    <row r="2823" spans="1:9" ht="26" customHeight="1">
      <c r="A2823" s="2" t="s">
        <v>199</v>
      </c>
      <c r="B2823" s="13" t="s">
        <v>210</v>
      </c>
      <c r="C2823" s="13" t="s">
        <v>128</v>
      </c>
      <c r="D2823" s="13">
        <v>38</v>
      </c>
      <c r="E2823" s="2" t="s">
        <v>136</v>
      </c>
      <c r="F2823" s="7">
        <v>420</v>
      </c>
      <c r="G2823" s="3"/>
      <c r="H2823" s="4"/>
      <c r="I2823" s="5"/>
    </row>
    <row r="2824" spans="1:9" ht="26" customHeight="1">
      <c r="A2824" s="17" t="s">
        <v>199</v>
      </c>
      <c r="B2824" s="18" t="s">
        <v>210</v>
      </c>
      <c r="C2824" s="18" t="s">
        <v>128</v>
      </c>
      <c r="D2824" s="18">
        <v>39</v>
      </c>
      <c r="E2824" s="17" t="s">
        <v>137</v>
      </c>
      <c r="F2824" s="19">
        <v>431</v>
      </c>
      <c r="G2824" s="20"/>
      <c r="H2824" s="21"/>
      <c r="I2824" s="22"/>
    </row>
    <row r="2825" spans="1:9" ht="26" customHeight="1">
      <c r="A2825" s="2" t="s">
        <v>199</v>
      </c>
      <c r="B2825" s="13" t="s">
        <v>210</v>
      </c>
      <c r="C2825" s="13" t="s">
        <v>128</v>
      </c>
      <c r="D2825" s="13">
        <v>40</v>
      </c>
      <c r="E2825" s="2" t="s">
        <v>138</v>
      </c>
      <c r="F2825" s="7">
        <v>442</v>
      </c>
      <c r="G2825" s="3"/>
      <c r="H2825" s="4"/>
      <c r="I2825" s="5"/>
    </row>
    <row r="2826" spans="1:9" ht="26" customHeight="1">
      <c r="A2826" s="17" t="s">
        <v>199</v>
      </c>
      <c r="B2826" s="18" t="s">
        <v>210</v>
      </c>
      <c r="C2826" s="18" t="s">
        <v>128</v>
      </c>
      <c r="D2826" s="18">
        <v>41</v>
      </c>
      <c r="E2826" s="17" t="s">
        <v>139</v>
      </c>
      <c r="F2826" s="19">
        <v>468</v>
      </c>
      <c r="G2826" s="20"/>
      <c r="H2826" s="21"/>
      <c r="I2826" s="22"/>
    </row>
    <row r="2827" spans="1:9" ht="26" customHeight="1">
      <c r="A2827" s="2" t="s">
        <v>199</v>
      </c>
      <c r="B2827" s="13" t="s">
        <v>210</v>
      </c>
      <c r="C2827" s="13" t="s">
        <v>128</v>
      </c>
      <c r="D2827" s="13">
        <v>42</v>
      </c>
      <c r="E2827" s="2" t="s">
        <v>140</v>
      </c>
      <c r="F2827" s="7">
        <v>512</v>
      </c>
      <c r="G2827" s="3"/>
      <c r="H2827" s="4"/>
      <c r="I2827" s="5"/>
    </row>
    <row r="2828" spans="1:9" ht="26" customHeight="1">
      <c r="A2828" s="17" t="s">
        <v>199</v>
      </c>
      <c r="B2828" s="18" t="s">
        <v>210</v>
      </c>
      <c r="C2828" s="18" t="s">
        <v>128</v>
      </c>
      <c r="D2828" s="18">
        <v>43</v>
      </c>
      <c r="E2828" s="17" t="s">
        <v>141</v>
      </c>
      <c r="F2828" s="19">
        <v>512</v>
      </c>
      <c r="G2828" s="20"/>
      <c r="H2828" s="21"/>
      <c r="I2828" s="22"/>
    </row>
    <row r="2829" spans="1:9" ht="26" customHeight="1">
      <c r="A2829" s="2" t="s">
        <v>199</v>
      </c>
      <c r="B2829" s="13" t="s">
        <v>210</v>
      </c>
      <c r="C2829" s="13" t="s">
        <v>128</v>
      </c>
      <c r="D2829" s="13">
        <v>44</v>
      </c>
      <c r="E2829" s="2" t="s">
        <v>142</v>
      </c>
      <c r="F2829" s="7">
        <v>517</v>
      </c>
      <c r="G2829" s="3"/>
      <c r="H2829" s="4"/>
      <c r="I2829" s="5"/>
    </row>
    <row r="2830" spans="1:9" ht="26" customHeight="1">
      <c r="A2830" s="17" t="s">
        <v>199</v>
      </c>
      <c r="B2830" s="18" t="s">
        <v>210</v>
      </c>
      <c r="C2830" s="18" t="s">
        <v>128</v>
      </c>
      <c r="D2830" s="18">
        <v>45</v>
      </c>
      <c r="E2830" s="17" t="s">
        <v>143</v>
      </c>
      <c r="F2830" s="19">
        <v>523</v>
      </c>
      <c r="G2830" s="20"/>
      <c r="H2830" s="21"/>
      <c r="I2830" s="22"/>
    </row>
    <row r="2831" spans="1:9" ht="26" customHeight="1">
      <c r="A2831" s="2" t="s">
        <v>199</v>
      </c>
      <c r="B2831" s="13" t="s">
        <v>210</v>
      </c>
      <c r="C2831" s="13" t="s">
        <v>128</v>
      </c>
      <c r="D2831" s="13">
        <v>46</v>
      </c>
      <c r="E2831" s="2" t="s">
        <v>144</v>
      </c>
      <c r="F2831" s="7">
        <v>523</v>
      </c>
      <c r="G2831" s="3"/>
      <c r="H2831" s="4"/>
      <c r="I2831" s="5"/>
    </row>
    <row r="2832" spans="1:9" ht="26" customHeight="1">
      <c r="A2832" s="17" t="s">
        <v>199</v>
      </c>
      <c r="B2832" s="18" t="s">
        <v>210</v>
      </c>
      <c r="C2832" s="18" t="s">
        <v>128</v>
      </c>
      <c r="D2832" s="18">
        <v>47</v>
      </c>
      <c r="E2832" s="17" t="s">
        <v>145</v>
      </c>
      <c r="F2832" s="19">
        <v>533</v>
      </c>
      <c r="G2832" s="20"/>
      <c r="H2832" s="21"/>
      <c r="I2832" s="22"/>
    </row>
    <row r="2833" spans="1:9" ht="26" customHeight="1">
      <c r="A2833" s="2" t="s">
        <v>199</v>
      </c>
      <c r="B2833" s="13" t="s">
        <v>210</v>
      </c>
      <c r="C2833" s="13" t="s">
        <v>128</v>
      </c>
      <c r="D2833" s="13">
        <v>48</v>
      </c>
      <c r="E2833" s="2" t="s">
        <v>146</v>
      </c>
      <c r="F2833" s="7">
        <v>539</v>
      </c>
      <c r="G2833" s="3"/>
      <c r="H2833" s="4"/>
      <c r="I2833" s="5"/>
    </row>
    <row r="2834" spans="1:9" ht="26" customHeight="1">
      <c r="A2834" s="17" t="s">
        <v>199</v>
      </c>
      <c r="B2834" s="18" t="s">
        <v>211</v>
      </c>
      <c r="C2834" s="18" t="s">
        <v>97</v>
      </c>
      <c r="D2834" s="18">
        <v>1</v>
      </c>
      <c r="E2834" s="17" t="s">
        <v>98</v>
      </c>
      <c r="F2834" s="19">
        <v>355</v>
      </c>
      <c r="G2834" s="20"/>
      <c r="H2834" s="21"/>
      <c r="I2834" s="22"/>
    </row>
    <row r="2835" spans="1:9" ht="26" customHeight="1">
      <c r="A2835" s="2" t="s">
        <v>199</v>
      </c>
      <c r="B2835" s="13" t="s">
        <v>211</v>
      </c>
      <c r="C2835" s="13" t="s">
        <v>97</v>
      </c>
      <c r="D2835" s="13">
        <v>2</v>
      </c>
      <c r="E2835" s="2" t="s">
        <v>99</v>
      </c>
      <c r="F2835" s="7">
        <v>355</v>
      </c>
      <c r="G2835" s="3"/>
      <c r="H2835" s="4"/>
      <c r="I2835" s="5"/>
    </row>
    <row r="2836" spans="1:9" ht="26" customHeight="1">
      <c r="A2836" s="17" t="s">
        <v>199</v>
      </c>
      <c r="B2836" s="18" t="s">
        <v>211</v>
      </c>
      <c r="C2836" s="18" t="s">
        <v>97</v>
      </c>
      <c r="D2836" s="18">
        <v>3</v>
      </c>
      <c r="E2836" s="17" t="s">
        <v>100</v>
      </c>
      <c r="F2836" s="19">
        <v>372</v>
      </c>
      <c r="G2836" s="20"/>
      <c r="H2836" s="21"/>
      <c r="I2836" s="22"/>
    </row>
    <row r="2837" spans="1:9" ht="26" customHeight="1">
      <c r="A2837" s="2" t="s">
        <v>199</v>
      </c>
      <c r="B2837" s="13" t="s">
        <v>211</v>
      </c>
      <c r="C2837" s="13" t="s">
        <v>97</v>
      </c>
      <c r="D2837" s="13">
        <v>4</v>
      </c>
      <c r="E2837" s="2" t="s">
        <v>101</v>
      </c>
      <c r="F2837" s="7">
        <v>375</v>
      </c>
      <c r="G2837" s="3"/>
      <c r="H2837" s="4"/>
      <c r="I2837" s="5"/>
    </row>
    <row r="2838" spans="1:9" ht="26" customHeight="1">
      <c r="A2838" s="17" t="s">
        <v>199</v>
      </c>
      <c r="B2838" s="18" t="s">
        <v>211</v>
      </c>
      <c r="C2838" s="18" t="s">
        <v>97</v>
      </c>
      <c r="D2838" s="18">
        <v>5</v>
      </c>
      <c r="E2838" s="17" t="s">
        <v>102</v>
      </c>
      <c r="F2838" s="19">
        <v>375</v>
      </c>
      <c r="G2838" s="20"/>
      <c r="H2838" s="21"/>
      <c r="I2838" s="22"/>
    </row>
    <row r="2839" spans="1:9" ht="26" customHeight="1">
      <c r="A2839" s="2" t="s">
        <v>199</v>
      </c>
      <c r="B2839" s="13" t="s">
        <v>211</v>
      </c>
      <c r="C2839" s="13" t="s">
        <v>97</v>
      </c>
      <c r="D2839" s="13">
        <v>6</v>
      </c>
      <c r="E2839" s="2" t="s">
        <v>103</v>
      </c>
      <c r="F2839" s="7">
        <v>376</v>
      </c>
      <c r="G2839" s="3"/>
      <c r="H2839" s="4"/>
      <c r="I2839" s="5"/>
    </row>
    <row r="2840" spans="1:9" ht="26" customHeight="1">
      <c r="A2840" s="17" t="s">
        <v>199</v>
      </c>
      <c r="B2840" s="18" t="s">
        <v>211</v>
      </c>
      <c r="C2840" s="18" t="s">
        <v>97</v>
      </c>
      <c r="D2840" s="18">
        <v>7</v>
      </c>
      <c r="E2840" s="17" t="s">
        <v>104</v>
      </c>
      <c r="F2840" s="19">
        <v>376</v>
      </c>
      <c r="G2840" s="20"/>
      <c r="H2840" s="21"/>
      <c r="I2840" s="22"/>
    </row>
    <row r="2841" spans="1:9" ht="26" customHeight="1">
      <c r="A2841" s="2" t="s">
        <v>199</v>
      </c>
      <c r="B2841" s="13" t="s">
        <v>211</v>
      </c>
      <c r="C2841" s="13" t="s">
        <v>97</v>
      </c>
      <c r="D2841" s="13">
        <v>8</v>
      </c>
      <c r="E2841" s="2" t="s">
        <v>105</v>
      </c>
      <c r="F2841" s="7">
        <v>376</v>
      </c>
      <c r="G2841" s="3"/>
      <c r="H2841" s="4"/>
      <c r="I2841" s="5"/>
    </row>
    <row r="2842" spans="1:9" ht="26" customHeight="1">
      <c r="A2842" s="17" t="s">
        <v>199</v>
      </c>
      <c r="B2842" s="18" t="s">
        <v>211</v>
      </c>
      <c r="C2842" s="18" t="s">
        <v>97</v>
      </c>
      <c r="D2842" s="18">
        <v>9</v>
      </c>
      <c r="E2842" s="17" t="s">
        <v>106</v>
      </c>
      <c r="F2842" s="19">
        <v>376</v>
      </c>
      <c r="G2842" s="20"/>
      <c r="H2842" s="21"/>
      <c r="I2842" s="22"/>
    </row>
    <row r="2843" spans="1:9" ht="26" customHeight="1">
      <c r="A2843" s="2" t="s">
        <v>199</v>
      </c>
      <c r="B2843" s="13" t="s">
        <v>211</v>
      </c>
      <c r="C2843" s="13" t="s">
        <v>97</v>
      </c>
      <c r="D2843" s="13">
        <v>10</v>
      </c>
      <c r="E2843" s="2" t="s">
        <v>107</v>
      </c>
      <c r="F2843" s="7">
        <v>376</v>
      </c>
      <c r="G2843" s="3"/>
      <c r="H2843" s="4"/>
      <c r="I2843" s="5"/>
    </row>
    <row r="2844" spans="1:9" ht="26" customHeight="1">
      <c r="A2844" s="17" t="s">
        <v>199</v>
      </c>
      <c r="B2844" s="18" t="s">
        <v>211</v>
      </c>
      <c r="C2844" s="18" t="s">
        <v>97</v>
      </c>
      <c r="D2844" s="18">
        <v>11</v>
      </c>
      <c r="E2844" s="17" t="s">
        <v>108</v>
      </c>
      <c r="F2844" s="19">
        <v>376</v>
      </c>
      <c r="G2844" s="20"/>
      <c r="H2844" s="21"/>
      <c r="I2844" s="22"/>
    </row>
    <row r="2845" spans="1:9" ht="26" customHeight="1">
      <c r="A2845" s="2" t="s">
        <v>199</v>
      </c>
      <c r="B2845" s="13" t="s">
        <v>211</v>
      </c>
      <c r="C2845" s="13" t="s">
        <v>97</v>
      </c>
      <c r="D2845" s="13">
        <v>12</v>
      </c>
      <c r="E2845" s="2" t="s">
        <v>109</v>
      </c>
      <c r="F2845" s="7">
        <v>378</v>
      </c>
      <c r="G2845" s="3"/>
      <c r="H2845" s="4"/>
      <c r="I2845" s="5"/>
    </row>
    <row r="2846" spans="1:9" ht="26" customHeight="1">
      <c r="A2846" s="17" t="s">
        <v>199</v>
      </c>
      <c r="B2846" s="18" t="s">
        <v>211</v>
      </c>
      <c r="C2846" s="18" t="s">
        <v>97</v>
      </c>
      <c r="D2846" s="18">
        <v>13</v>
      </c>
      <c r="E2846" s="17" t="s">
        <v>110</v>
      </c>
      <c r="F2846" s="19">
        <v>378</v>
      </c>
      <c r="G2846" s="20"/>
      <c r="H2846" s="21"/>
      <c r="I2846" s="22"/>
    </row>
    <row r="2847" spans="1:9" ht="26" customHeight="1">
      <c r="A2847" s="2" t="s">
        <v>199</v>
      </c>
      <c r="B2847" s="13" t="s">
        <v>211</v>
      </c>
      <c r="C2847" s="13" t="s">
        <v>97</v>
      </c>
      <c r="D2847" s="13">
        <v>14</v>
      </c>
      <c r="E2847" s="2" t="s">
        <v>111</v>
      </c>
      <c r="F2847" s="7">
        <v>379</v>
      </c>
      <c r="G2847" s="3"/>
      <c r="H2847" s="4"/>
      <c r="I2847" s="5"/>
    </row>
    <row r="2848" spans="1:9" ht="26" customHeight="1">
      <c r="A2848" s="17" t="s">
        <v>199</v>
      </c>
      <c r="B2848" s="18" t="s">
        <v>211</v>
      </c>
      <c r="C2848" s="18" t="s">
        <v>97</v>
      </c>
      <c r="D2848" s="18">
        <v>15</v>
      </c>
      <c r="E2848" s="17" t="s">
        <v>112</v>
      </c>
      <c r="F2848" s="19">
        <v>379</v>
      </c>
      <c r="G2848" s="20"/>
      <c r="H2848" s="21"/>
      <c r="I2848" s="22"/>
    </row>
    <row r="2849" spans="1:9" ht="26" customHeight="1">
      <c r="A2849" s="2" t="s">
        <v>199</v>
      </c>
      <c r="B2849" s="13" t="s">
        <v>211</v>
      </c>
      <c r="C2849" s="13" t="s">
        <v>97</v>
      </c>
      <c r="D2849" s="13">
        <v>16</v>
      </c>
      <c r="E2849" s="2" t="s">
        <v>113</v>
      </c>
      <c r="F2849" s="7">
        <v>379</v>
      </c>
      <c r="G2849" s="3"/>
      <c r="H2849" s="4"/>
      <c r="I2849" s="5"/>
    </row>
    <row r="2850" spans="1:9" ht="26" customHeight="1">
      <c r="A2850" s="17" t="s">
        <v>199</v>
      </c>
      <c r="B2850" s="18" t="s">
        <v>211</v>
      </c>
      <c r="C2850" s="18" t="s">
        <v>97</v>
      </c>
      <c r="D2850" s="18">
        <v>17</v>
      </c>
      <c r="E2850" s="17" t="s">
        <v>114</v>
      </c>
      <c r="F2850" s="19">
        <v>382</v>
      </c>
      <c r="G2850" s="20"/>
      <c r="H2850" s="21"/>
      <c r="I2850" s="22"/>
    </row>
    <row r="2851" spans="1:9" ht="26" customHeight="1">
      <c r="A2851" s="2" t="s">
        <v>199</v>
      </c>
      <c r="B2851" s="13" t="s">
        <v>211</v>
      </c>
      <c r="C2851" s="13" t="s">
        <v>97</v>
      </c>
      <c r="D2851" s="13">
        <v>18</v>
      </c>
      <c r="E2851" s="2" t="s">
        <v>115</v>
      </c>
      <c r="F2851" s="7">
        <v>382</v>
      </c>
      <c r="G2851" s="3"/>
      <c r="H2851" s="4"/>
      <c r="I2851" s="5"/>
    </row>
    <row r="2852" spans="1:9" ht="26" customHeight="1">
      <c r="A2852" s="17" t="s">
        <v>199</v>
      </c>
      <c r="B2852" s="18" t="s">
        <v>211</v>
      </c>
      <c r="C2852" s="18" t="s">
        <v>97</v>
      </c>
      <c r="D2852" s="18">
        <v>19</v>
      </c>
      <c r="E2852" s="17" t="s">
        <v>116</v>
      </c>
      <c r="F2852" s="19">
        <v>382</v>
      </c>
      <c r="G2852" s="20"/>
      <c r="H2852" s="21"/>
      <c r="I2852" s="22"/>
    </row>
    <row r="2853" spans="1:9" ht="26" customHeight="1">
      <c r="A2853" s="2" t="s">
        <v>199</v>
      </c>
      <c r="B2853" s="13" t="s">
        <v>211</v>
      </c>
      <c r="C2853" s="13" t="s">
        <v>97</v>
      </c>
      <c r="D2853" s="13">
        <v>20</v>
      </c>
      <c r="E2853" s="2" t="s">
        <v>117</v>
      </c>
      <c r="F2853" s="7">
        <v>383</v>
      </c>
      <c r="G2853" s="3"/>
      <c r="H2853" s="4"/>
      <c r="I2853" s="5"/>
    </row>
    <row r="2854" spans="1:9" ht="26" customHeight="1">
      <c r="A2854" s="17" t="s">
        <v>199</v>
      </c>
      <c r="B2854" s="18" t="s">
        <v>211</v>
      </c>
      <c r="C2854" s="18" t="s">
        <v>97</v>
      </c>
      <c r="D2854" s="18">
        <v>21</v>
      </c>
      <c r="E2854" s="17" t="s">
        <v>118</v>
      </c>
      <c r="F2854" s="19">
        <v>384</v>
      </c>
      <c r="G2854" s="20"/>
      <c r="H2854" s="21"/>
      <c r="I2854" s="22"/>
    </row>
    <row r="2855" spans="1:9" ht="26" customHeight="1">
      <c r="A2855" s="2" t="s">
        <v>199</v>
      </c>
      <c r="B2855" s="13" t="s">
        <v>211</v>
      </c>
      <c r="C2855" s="13" t="s">
        <v>97</v>
      </c>
      <c r="D2855" s="13">
        <v>22</v>
      </c>
      <c r="E2855" s="2" t="s">
        <v>119</v>
      </c>
      <c r="F2855" s="7">
        <v>384</v>
      </c>
      <c r="G2855" s="3"/>
      <c r="H2855" s="4"/>
      <c r="I2855" s="5"/>
    </row>
    <row r="2856" spans="1:9" ht="26" customHeight="1">
      <c r="A2856" s="17" t="s">
        <v>199</v>
      </c>
      <c r="B2856" s="18" t="s">
        <v>211</v>
      </c>
      <c r="C2856" s="18" t="s">
        <v>97</v>
      </c>
      <c r="D2856" s="18">
        <v>23</v>
      </c>
      <c r="E2856" s="17" t="s">
        <v>120</v>
      </c>
      <c r="F2856" s="19">
        <v>387</v>
      </c>
      <c r="G2856" s="20"/>
      <c r="H2856" s="21"/>
      <c r="I2856" s="22"/>
    </row>
    <row r="2857" spans="1:9" ht="26" customHeight="1">
      <c r="A2857" s="2" t="s">
        <v>199</v>
      </c>
      <c r="B2857" s="13" t="s">
        <v>211</v>
      </c>
      <c r="C2857" s="13" t="s">
        <v>97</v>
      </c>
      <c r="D2857" s="13">
        <v>24</v>
      </c>
      <c r="E2857" s="2" t="s">
        <v>121</v>
      </c>
      <c r="F2857" s="7">
        <v>387</v>
      </c>
      <c r="G2857" s="3"/>
      <c r="H2857" s="4"/>
      <c r="I2857" s="5"/>
    </row>
    <row r="2858" spans="1:9" ht="26" customHeight="1">
      <c r="A2858" s="17" t="s">
        <v>199</v>
      </c>
      <c r="B2858" s="18" t="s">
        <v>211</v>
      </c>
      <c r="C2858" s="18" t="s">
        <v>97</v>
      </c>
      <c r="D2858" s="18">
        <v>25</v>
      </c>
      <c r="E2858" s="17" t="s">
        <v>122</v>
      </c>
      <c r="F2858" s="19">
        <v>387</v>
      </c>
      <c r="G2858" s="20"/>
      <c r="H2858" s="21"/>
      <c r="I2858" s="22"/>
    </row>
    <row r="2859" spans="1:9" ht="26" customHeight="1">
      <c r="A2859" s="2" t="s">
        <v>199</v>
      </c>
      <c r="B2859" s="13" t="s">
        <v>211</v>
      </c>
      <c r="C2859" s="13" t="s">
        <v>97</v>
      </c>
      <c r="D2859" s="13">
        <v>26</v>
      </c>
      <c r="E2859" s="2" t="s">
        <v>123</v>
      </c>
      <c r="F2859" s="7">
        <v>390</v>
      </c>
      <c r="G2859" s="3"/>
      <c r="H2859" s="4"/>
      <c r="I2859" s="5"/>
    </row>
    <row r="2860" spans="1:9" ht="26" customHeight="1">
      <c r="A2860" s="17" t="s">
        <v>199</v>
      </c>
      <c r="B2860" s="18" t="s">
        <v>211</v>
      </c>
      <c r="C2860" s="18" t="s">
        <v>97</v>
      </c>
      <c r="D2860" s="18">
        <v>27</v>
      </c>
      <c r="E2860" s="17" t="s">
        <v>124</v>
      </c>
      <c r="F2860" s="19">
        <v>403</v>
      </c>
      <c r="G2860" s="20"/>
      <c r="H2860" s="21"/>
      <c r="I2860" s="22"/>
    </row>
    <row r="2861" spans="1:9" ht="26" customHeight="1">
      <c r="A2861" s="2" t="s">
        <v>199</v>
      </c>
      <c r="B2861" s="13" t="s">
        <v>211</v>
      </c>
      <c r="C2861" s="13" t="s">
        <v>97</v>
      </c>
      <c r="D2861" s="13">
        <v>28</v>
      </c>
      <c r="E2861" s="2" t="s">
        <v>125</v>
      </c>
      <c r="F2861" s="7">
        <v>424</v>
      </c>
      <c r="G2861" s="3"/>
      <c r="H2861" s="4"/>
      <c r="I2861" s="5"/>
    </row>
    <row r="2862" spans="1:9" ht="26" customHeight="1">
      <c r="A2862" s="17" t="s">
        <v>199</v>
      </c>
      <c r="B2862" s="18" t="s">
        <v>211</v>
      </c>
      <c r="C2862" s="18" t="s">
        <v>97</v>
      </c>
      <c r="D2862" s="18">
        <v>29</v>
      </c>
      <c r="E2862" s="17" t="s">
        <v>126</v>
      </c>
      <c r="F2862" s="19">
        <v>434</v>
      </c>
      <c r="G2862" s="20"/>
      <c r="H2862" s="21"/>
      <c r="I2862" s="22"/>
    </row>
    <row r="2863" spans="1:9" ht="26" customHeight="1">
      <c r="A2863" s="2" t="s">
        <v>199</v>
      </c>
      <c r="B2863" s="13" t="s">
        <v>211</v>
      </c>
      <c r="C2863" s="13" t="s">
        <v>97</v>
      </c>
      <c r="D2863" s="13">
        <v>30</v>
      </c>
      <c r="E2863" s="2" t="s">
        <v>127</v>
      </c>
      <c r="F2863" s="7">
        <v>434</v>
      </c>
      <c r="G2863" s="3"/>
      <c r="H2863" s="4"/>
      <c r="I2863" s="5"/>
    </row>
    <row r="2864" spans="1:9" ht="26" customHeight="1">
      <c r="A2864" s="17" t="s">
        <v>199</v>
      </c>
      <c r="B2864" s="18" t="s">
        <v>211</v>
      </c>
      <c r="C2864" s="18" t="s">
        <v>128</v>
      </c>
      <c r="D2864" s="18">
        <v>31</v>
      </c>
      <c r="E2864" s="17" t="s">
        <v>129</v>
      </c>
      <c r="F2864" s="19">
        <v>139</v>
      </c>
      <c r="G2864" s="20"/>
      <c r="H2864" s="21"/>
      <c r="I2864" s="22"/>
    </row>
    <row r="2865" spans="1:9" ht="26" customHeight="1">
      <c r="A2865" s="2" t="s">
        <v>199</v>
      </c>
      <c r="B2865" s="13" t="s">
        <v>211</v>
      </c>
      <c r="C2865" s="13" t="s">
        <v>128</v>
      </c>
      <c r="D2865" s="13">
        <v>32</v>
      </c>
      <c r="E2865" s="2" t="s">
        <v>130</v>
      </c>
      <c r="F2865" s="7">
        <v>141</v>
      </c>
      <c r="G2865" s="3"/>
      <c r="H2865" s="4"/>
      <c r="I2865" s="5"/>
    </row>
    <row r="2866" spans="1:9" ht="26" customHeight="1">
      <c r="A2866" s="17" t="s">
        <v>199</v>
      </c>
      <c r="B2866" s="18" t="s">
        <v>211</v>
      </c>
      <c r="C2866" s="18" t="s">
        <v>128</v>
      </c>
      <c r="D2866" s="18">
        <v>33</v>
      </c>
      <c r="E2866" s="17" t="s">
        <v>131</v>
      </c>
      <c r="F2866" s="19">
        <v>141</v>
      </c>
      <c r="G2866" s="20"/>
      <c r="H2866" s="21"/>
      <c r="I2866" s="22"/>
    </row>
    <row r="2867" spans="1:9" ht="26" customHeight="1">
      <c r="A2867" s="2" t="s">
        <v>199</v>
      </c>
      <c r="B2867" s="13" t="s">
        <v>211</v>
      </c>
      <c r="C2867" s="13" t="s">
        <v>128</v>
      </c>
      <c r="D2867" s="13">
        <v>34</v>
      </c>
      <c r="E2867" s="2" t="s">
        <v>132</v>
      </c>
      <c r="F2867" s="7">
        <v>142</v>
      </c>
      <c r="G2867" s="3"/>
      <c r="H2867" s="4"/>
      <c r="I2867" s="5"/>
    </row>
    <row r="2868" spans="1:9" ht="26" customHeight="1">
      <c r="A2868" s="17" t="s">
        <v>199</v>
      </c>
      <c r="B2868" s="18" t="s">
        <v>211</v>
      </c>
      <c r="C2868" s="18" t="s">
        <v>128</v>
      </c>
      <c r="D2868" s="18">
        <v>35</v>
      </c>
      <c r="E2868" s="17" t="s">
        <v>133</v>
      </c>
      <c r="F2868" s="19">
        <v>169</v>
      </c>
      <c r="G2868" s="20"/>
      <c r="H2868" s="21"/>
      <c r="I2868" s="22"/>
    </row>
    <row r="2869" spans="1:9" ht="26" customHeight="1">
      <c r="A2869" s="2" t="s">
        <v>199</v>
      </c>
      <c r="B2869" s="13" t="s">
        <v>211</v>
      </c>
      <c r="C2869" s="13" t="s">
        <v>128</v>
      </c>
      <c r="D2869" s="13">
        <v>36</v>
      </c>
      <c r="E2869" s="2" t="s">
        <v>134</v>
      </c>
      <c r="F2869" s="7">
        <v>175</v>
      </c>
      <c r="G2869" s="3"/>
      <c r="H2869" s="4"/>
      <c r="I2869" s="5"/>
    </row>
    <row r="2870" spans="1:9" ht="26" customHeight="1">
      <c r="A2870" s="17" t="s">
        <v>199</v>
      </c>
      <c r="B2870" s="18" t="s">
        <v>211</v>
      </c>
      <c r="C2870" s="18" t="s">
        <v>128</v>
      </c>
      <c r="D2870" s="18">
        <v>37</v>
      </c>
      <c r="E2870" s="17" t="s">
        <v>135</v>
      </c>
      <c r="F2870" s="19">
        <v>213</v>
      </c>
      <c r="G2870" s="20"/>
      <c r="H2870" s="21"/>
      <c r="I2870" s="22"/>
    </row>
    <row r="2871" spans="1:9" ht="26" customHeight="1">
      <c r="A2871" s="2" t="s">
        <v>199</v>
      </c>
      <c r="B2871" s="13" t="s">
        <v>211</v>
      </c>
      <c r="C2871" s="13" t="s">
        <v>128</v>
      </c>
      <c r="D2871" s="13">
        <v>38</v>
      </c>
      <c r="E2871" s="2" t="s">
        <v>136</v>
      </c>
      <c r="F2871" s="7">
        <v>225</v>
      </c>
      <c r="G2871" s="3"/>
      <c r="H2871" s="4"/>
      <c r="I2871" s="5"/>
    </row>
    <row r="2872" spans="1:9" ht="26" customHeight="1">
      <c r="A2872" s="17" t="s">
        <v>199</v>
      </c>
      <c r="B2872" s="18" t="s">
        <v>211</v>
      </c>
      <c r="C2872" s="18" t="s">
        <v>128</v>
      </c>
      <c r="D2872" s="18">
        <v>39</v>
      </c>
      <c r="E2872" s="17" t="s">
        <v>137</v>
      </c>
      <c r="F2872" s="19">
        <v>231</v>
      </c>
      <c r="G2872" s="20"/>
      <c r="H2872" s="21"/>
      <c r="I2872" s="22"/>
    </row>
    <row r="2873" spans="1:9" ht="26" customHeight="1">
      <c r="A2873" s="2" t="s">
        <v>199</v>
      </c>
      <c r="B2873" s="13" t="s">
        <v>211</v>
      </c>
      <c r="C2873" s="13" t="s">
        <v>128</v>
      </c>
      <c r="D2873" s="13">
        <v>40</v>
      </c>
      <c r="E2873" s="2" t="s">
        <v>138</v>
      </c>
      <c r="F2873" s="7">
        <v>237</v>
      </c>
      <c r="G2873" s="3"/>
      <c r="H2873" s="4"/>
      <c r="I2873" s="5"/>
    </row>
    <row r="2874" spans="1:9" ht="26" customHeight="1">
      <c r="A2874" s="17" t="s">
        <v>199</v>
      </c>
      <c r="B2874" s="18" t="s">
        <v>211</v>
      </c>
      <c r="C2874" s="18" t="s">
        <v>128</v>
      </c>
      <c r="D2874" s="18">
        <v>41</v>
      </c>
      <c r="E2874" s="17" t="s">
        <v>139</v>
      </c>
      <c r="F2874" s="19">
        <v>251</v>
      </c>
      <c r="G2874" s="20"/>
      <c r="H2874" s="21"/>
      <c r="I2874" s="22"/>
    </row>
    <row r="2875" spans="1:9" ht="26" customHeight="1">
      <c r="A2875" s="2" t="s">
        <v>199</v>
      </c>
      <c r="B2875" s="13" t="s">
        <v>211</v>
      </c>
      <c r="C2875" s="13" t="s">
        <v>128</v>
      </c>
      <c r="D2875" s="13">
        <v>42</v>
      </c>
      <c r="E2875" s="2" t="s">
        <v>140</v>
      </c>
      <c r="F2875" s="7">
        <v>275</v>
      </c>
      <c r="G2875" s="3"/>
      <c r="H2875" s="4"/>
      <c r="I2875" s="5"/>
    </row>
    <row r="2876" spans="1:9" ht="26" customHeight="1">
      <c r="A2876" s="17" t="s">
        <v>199</v>
      </c>
      <c r="B2876" s="18" t="s">
        <v>211</v>
      </c>
      <c r="C2876" s="18" t="s">
        <v>128</v>
      </c>
      <c r="D2876" s="18">
        <v>43</v>
      </c>
      <c r="E2876" s="17" t="s">
        <v>141</v>
      </c>
      <c r="F2876" s="19">
        <v>275</v>
      </c>
      <c r="G2876" s="20"/>
      <c r="H2876" s="21"/>
      <c r="I2876" s="22"/>
    </row>
    <row r="2877" spans="1:9" ht="26" customHeight="1">
      <c r="A2877" s="2" t="s">
        <v>199</v>
      </c>
      <c r="B2877" s="13" t="s">
        <v>211</v>
      </c>
      <c r="C2877" s="13" t="s">
        <v>128</v>
      </c>
      <c r="D2877" s="13">
        <v>44</v>
      </c>
      <c r="E2877" s="2" t="s">
        <v>142</v>
      </c>
      <c r="F2877" s="7">
        <v>278</v>
      </c>
      <c r="G2877" s="3"/>
      <c r="H2877" s="4"/>
      <c r="I2877" s="5"/>
    </row>
    <row r="2878" spans="1:9" ht="26" customHeight="1">
      <c r="A2878" s="17" t="s">
        <v>199</v>
      </c>
      <c r="B2878" s="18" t="s">
        <v>211</v>
      </c>
      <c r="C2878" s="18" t="s">
        <v>128</v>
      </c>
      <c r="D2878" s="18">
        <v>45</v>
      </c>
      <c r="E2878" s="17" t="s">
        <v>143</v>
      </c>
      <c r="F2878" s="19">
        <v>281</v>
      </c>
      <c r="G2878" s="20"/>
      <c r="H2878" s="21"/>
      <c r="I2878" s="22"/>
    </row>
    <row r="2879" spans="1:9" ht="26" customHeight="1">
      <c r="A2879" s="2" t="s">
        <v>199</v>
      </c>
      <c r="B2879" s="13" t="s">
        <v>211</v>
      </c>
      <c r="C2879" s="13" t="s">
        <v>128</v>
      </c>
      <c r="D2879" s="13">
        <v>46</v>
      </c>
      <c r="E2879" s="2" t="s">
        <v>144</v>
      </c>
      <c r="F2879" s="7">
        <v>281</v>
      </c>
      <c r="G2879" s="3"/>
      <c r="H2879" s="4"/>
      <c r="I2879" s="5"/>
    </row>
    <row r="2880" spans="1:9" ht="26" customHeight="1">
      <c r="A2880" s="17" t="s">
        <v>199</v>
      </c>
      <c r="B2880" s="18" t="s">
        <v>211</v>
      </c>
      <c r="C2880" s="18" t="s">
        <v>128</v>
      </c>
      <c r="D2880" s="18">
        <v>47</v>
      </c>
      <c r="E2880" s="17" t="s">
        <v>145</v>
      </c>
      <c r="F2880" s="19">
        <v>286</v>
      </c>
      <c r="G2880" s="20"/>
      <c r="H2880" s="21"/>
      <c r="I2880" s="22"/>
    </row>
    <row r="2881" spans="1:9" ht="26" customHeight="1">
      <c r="A2881" s="2" t="s">
        <v>199</v>
      </c>
      <c r="B2881" s="13" t="s">
        <v>211</v>
      </c>
      <c r="C2881" s="13" t="s">
        <v>128</v>
      </c>
      <c r="D2881" s="13">
        <v>48</v>
      </c>
      <c r="E2881" s="2" t="s">
        <v>146</v>
      </c>
      <c r="F2881" s="7">
        <v>290</v>
      </c>
      <c r="G2881" s="3"/>
      <c r="H2881" s="4"/>
      <c r="I2881" s="5"/>
    </row>
    <row r="2882" spans="1:9" ht="26" customHeight="1">
      <c r="A2882" s="17" t="s">
        <v>199</v>
      </c>
      <c r="B2882" s="18" t="s">
        <v>212</v>
      </c>
      <c r="C2882" s="18" t="s">
        <v>97</v>
      </c>
      <c r="D2882" s="18">
        <v>1</v>
      </c>
      <c r="E2882" s="17" t="s">
        <v>98</v>
      </c>
      <c r="F2882" s="19">
        <v>453</v>
      </c>
      <c r="G2882" s="20"/>
      <c r="H2882" s="21"/>
      <c r="I2882" s="22"/>
    </row>
    <row r="2883" spans="1:9" ht="26" customHeight="1">
      <c r="A2883" s="2" t="s">
        <v>199</v>
      </c>
      <c r="B2883" s="13" t="s">
        <v>212</v>
      </c>
      <c r="C2883" s="13" t="s">
        <v>97</v>
      </c>
      <c r="D2883" s="13">
        <v>2</v>
      </c>
      <c r="E2883" s="2" t="s">
        <v>99</v>
      </c>
      <c r="F2883" s="7">
        <v>453</v>
      </c>
      <c r="G2883" s="3"/>
      <c r="H2883" s="4"/>
      <c r="I2883" s="5"/>
    </row>
    <row r="2884" spans="1:9" ht="26" customHeight="1">
      <c r="A2884" s="17" t="s">
        <v>199</v>
      </c>
      <c r="B2884" s="18" t="s">
        <v>212</v>
      </c>
      <c r="C2884" s="18" t="s">
        <v>97</v>
      </c>
      <c r="D2884" s="18">
        <v>3</v>
      </c>
      <c r="E2884" s="17" t="s">
        <v>100</v>
      </c>
      <c r="F2884" s="19">
        <v>453</v>
      </c>
      <c r="G2884" s="20"/>
      <c r="H2884" s="21"/>
      <c r="I2884" s="22"/>
    </row>
    <row r="2885" spans="1:9" ht="26" customHeight="1">
      <c r="A2885" s="2" t="s">
        <v>199</v>
      </c>
      <c r="B2885" s="13" t="s">
        <v>212</v>
      </c>
      <c r="C2885" s="13" t="s">
        <v>97</v>
      </c>
      <c r="D2885" s="13">
        <v>4</v>
      </c>
      <c r="E2885" s="2" t="s">
        <v>101</v>
      </c>
      <c r="F2885" s="7">
        <v>498</v>
      </c>
      <c r="G2885" s="3"/>
      <c r="H2885" s="4"/>
      <c r="I2885" s="5"/>
    </row>
    <row r="2886" spans="1:9" ht="26" customHeight="1">
      <c r="A2886" s="17" t="s">
        <v>199</v>
      </c>
      <c r="B2886" s="18" t="s">
        <v>212</v>
      </c>
      <c r="C2886" s="18" t="s">
        <v>97</v>
      </c>
      <c r="D2886" s="18">
        <v>5</v>
      </c>
      <c r="E2886" s="17" t="s">
        <v>102</v>
      </c>
      <c r="F2886" s="19">
        <v>498</v>
      </c>
      <c r="G2886" s="20"/>
      <c r="H2886" s="21"/>
      <c r="I2886" s="22"/>
    </row>
    <row r="2887" spans="1:9" ht="26" customHeight="1">
      <c r="A2887" s="2" t="s">
        <v>199</v>
      </c>
      <c r="B2887" s="13" t="s">
        <v>212</v>
      </c>
      <c r="C2887" s="13" t="s">
        <v>97</v>
      </c>
      <c r="D2887" s="13">
        <v>6</v>
      </c>
      <c r="E2887" s="2" t="s">
        <v>103</v>
      </c>
      <c r="F2887" s="7">
        <v>501</v>
      </c>
      <c r="G2887" s="3"/>
      <c r="H2887" s="4"/>
      <c r="I2887" s="5"/>
    </row>
    <row r="2888" spans="1:9" ht="26" customHeight="1">
      <c r="A2888" s="17" t="s">
        <v>199</v>
      </c>
      <c r="B2888" s="18" t="s">
        <v>212</v>
      </c>
      <c r="C2888" s="18" t="s">
        <v>97</v>
      </c>
      <c r="D2888" s="18">
        <v>7</v>
      </c>
      <c r="E2888" s="17" t="s">
        <v>104</v>
      </c>
      <c r="F2888" s="19">
        <v>501</v>
      </c>
      <c r="G2888" s="20"/>
      <c r="H2888" s="21"/>
      <c r="I2888" s="22"/>
    </row>
    <row r="2889" spans="1:9" ht="26" customHeight="1">
      <c r="A2889" s="2" t="s">
        <v>199</v>
      </c>
      <c r="B2889" s="13" t="s">
        <v>212</v>
      </c>
      <c r="C2889" s="13" t="s">
        <v>97</v>
      </c>
      <c r="D2889" s="13">
        <v>8</v>
      </c>
      <c r="E2889" s="2" t="s">
        <v>105</v>
      </c>
      <c r="F2889" s="7">
        <v>501</v>
      </c>
      <c r="G2889" s="3"/>
      <c r="H2889" s="4"/>
      <c r="I2889" s="5"/>
    </row>
    <row r="2890" spans="1:9" ht="26" customHeight="1">
      <c r="A2890" s="17" t="s">
        <v>199</v>
      </c>
      <c r="B2890" s="18" t="s">
        <v>212</v>
      </c>
      <c r="C2890" s="18" t="s">
        <v>97</v>
      </c>
      <c r="D2890" s="18">
        <v>9</v>
      </c>
      <c r="E2890" s="17" t="s">
        <v>106</v>
      </c>
      <c r="F2890" s="19">
        <v>501</v>
      </c>
      <c r="G2890" s="20"/>
      <c r="H2890" s="21"/>
      <c r="I2890" s="22"/>
    </row>
    <row r="2891" spans="1:9" ht="26" customHeight="1">
      <c r="A2891" s="2" t="s">
        <v>199</v>
      </c>
      <c r="B2891" s="13" t="s">
        <v>212</v>
      </c>
      <c r="C2891" s="13" t="s">
        <v>97</v>
      </c>
      <c r="D2891" s="13">
        <v>10</v>
      </c>
      <c r="E2891" s="2" t="s">
        <v>107</v>
      </c>
      <c r="F2891" s="7">
        <v>501</v>
      </c>
      <c r="G2891" s="3"/>
      <c r="H2891" s="4"/>
      <c r="I2891" s="5"/>
    </row>
    <row r="2892" spans="1:9" ht="26" customHeight="1">
      <c r="A2892" s="17" t="s">
        <v>199</v>
      </c>
      <c r="B2892" s="18" t="s">
        <v>212</v>
      </c>
      <c r="C2892" s="18" t="s">
        <v>97</v>
      </c>
      <c r="D2892" s="18">
        <v>11</v>
      </c>
      <c r="E2892" s="17" t="s">
        <v>108</v>
      </c>
      <c r="F2892" s="19">
        <v>501</v>
      </c>
      <c r="G2892" s="20"/>
      <c r="H2892" s="21"/>
      <c r="I2892" s="22"/>
    </row>
    <row r="2893" spans="1:9" ht="26" customHeight="1">
      <c r="A2893" s="2" t="s">
        <v>199</v>
      </c>
      <c r="B2893" s="13" t="s">
        <v>212</v>
      </c>
      <c r="C2893" s="13" t="s">
        <v>97</v>
      </c>
      <c r="D2893" s="13">
        <v>12</v>
      </c>
      <c r="E2893" s="2" t="s">
        <v>109</v>
      </c>
      <c r="F2893" s="7">
        <v>506</v>
      </c>
      <c r="G2893" s="3"/>
      <c r="H2893" s="4"/>
      <c r="I2893" s="5"/>
    </row>
    <row r="2894" spans="1:9" ht="26" customHeight="1">
      <c r="A2894" s="17" t="s">
        <v>199</v>
      </c>
      <c r="B2894" s="18" t="s">
        <v>212</v>
      </c>
      <c r="C2894" s="18" t="s">
        <v>97</v>
      </c>
      <c r="D2894" s="18">
        <v>13</v>
      </c>
      <c r="E2894" s="17" t="s">
        <v>110</v>
      </c>
      <c r="F2894" s="19">
        <v>506</v>
      </c>
      <c r="G2894" s="20"/>
      <c r="H2894" s="21"/>
      <c r="I2894" s="22"/>
    </row>
    <row r="2895" spans="1:9" ht="26" customHeight="1">
      <c r="A2895" s="2" t="s">
        <v>199</v>
      </c>
      <c r="B2895" s="13" t="s">
        <v>212</v>
      </c>
      <c r="C2895" s="13" t="s">
        <v>97</v>
      </c>
      <c r="D2895" s="13">
        <v>14</v>
      </c>
      <c r="E2895" s="2" t="s">
        <v>111</v>
      </c>
      <c r="F2895" s="7">
        <v>508</v>
      </c>
      <c r="G2895" s="3"/>
      <c r="H2895" s="4"/>
      <c r="I2895" s="5"/>
    </row>
    <row r="2896" spans="1:9" ht="26" customHeight="1">
      <c r="A2896" s="17" t="s">
        <v>199</v>
      </c>
      <c r="B2896" s="18" t="s">
        <v>212</v>
      </c>
      <c r="C2896" s="18" t="s">
        <v>97</v>
      </c>
      <c r="D2896" s="18">
        <v>15</v>
      </c>
      <c r="E2896" s="17" t="s">
        <v>112</v>
      </c>
      <c r="F2896" s="19">
        <v>508</v>
      </c>
      <c r="G2896" s="20"/>
      <c r="H2896" s="21"/>
      <c r="I2896" s="22"/>
    </row>
    <row r="2897" spans="1:9" ht="26" customHeight="1">
      <c r="A2897" s="2" t="s">
        <v>199</v>
      </c>
      <c r="B2897" s="13" t="s">
        <v>212</v>
      </c>
      <c r="C2897" s="13" t="s">
        <v>97</v>
      </c>
      <c r="D2897" s="13">
        <v>16</v>
      </c>
      <c r="E2897" s="2" t="s">
        <v>113</v>
      </c>
      <c r="F2897" s="7">
        <v>508</v>
      </c>
      <c r="G2897" s="3"/>
      <c r="H2897" s="4"/>
      <c r="I2897" s="5"/>
    </row>
    <row r="2898" spans="1:9" ht="26" customHeight="1">
      <c r="A2898" s="17" t="s">
        <v>199</v>
      </c>
      <c r="B2898" s="18" t="s">
        <v>212</v>
      </c>
      <c r="C2898" s="18" t="s">
        <v>97</v>
      </c>
      <c r="D2898" s="18">
        <v>17</v>
      </c>
      <c r="E2898" s="17" t="s">
        <v>114</v>
      </c>
      <c r="F2898" s="19">
        <v>515</v>
      </c>
      <c r="G2898" s="20"/>
      <c r="H2898" s="21"/>
      <c r="I2898" s="22"/>
    </row>
    <row r="2899" spans="1:9" ht="26" customHeight="1">
      <c r="A2899" s="2" t="s">
        <v>199</v>
      </c>
      <c r="B2899" s="13" t="s">
        <v>212</v>
      </c>
      <c r="C2899" s="13" t="s">
        <v>97</v>
      </c>
      <c r="D2899" s="13">
        <v>18</v>
      </c>
      <c r="E2899" s="2" t="s">
        <v>115</v>
      </c>
      <c r="F2899" s="7">
        <v>515</v>
      </c>
      <c r="G2899" s="3"/>
      <c r="H2899" s="4"/>
      <c r="I2899" s="5"/>
    </row>
    <row r="2900" spans="1:9" ht="26" customHeight="1">
      <c r="A2900" s="17" t="s">
        <v>199</v>
      </c>
      <c r="B2900" s="18" t="s">
        <v>212</v>
      </c>
      <c r="C2900" s="18" t="s">
        <v>97</v>
      </c>
      <c r="D2900" s="18">
        <v>19</v>
      </c>
      <c r="E2900" s="17" t="s">
        <v>116</v>
      </c>
      <c r="F2900" s="19">
        <v>515</v>
      </c>
      <c r="G2900" s="20"/>
      <c r="H2900" s="21"/>
      <c r="I2900" s="22"/>
    </row>
    <row r="2901" spans="1:9" ht="26" customHeight="1">
      <c r="A2901" s="2" t="s">
        <v>199</v>
      </c>
      <c r="B2901" s="13" t="s">
        <v>212</v>
      </c>
      <c r="C2901" s="13" t="s">
        <v>97</v>
      </c>
      <c r="D2901" s="13">
        <v>20</v>
      </c>
      <c r="E2901" s="2" t="s">
        <v>117</v>
      </c>
      <c r="F2901" s="7">
        <v>518</v>
      </c>
      <c r="G2901" s="3"/>
      <c r="H2901" s="4"/>
      <c r="I2901" s="5"/>
    </row>
    <row r="2902" spans="1:9" ht="26" customHeight="1">
      <c r="A2902" s="17" t="s">
        <v>199</v>
      </c>
      <c r="B2902" s="18" t="s">
        <v>212</v>
      </c>
      <c r="C2902" s="18" t="s">
        <v>97</v>
      </c>
      <c r="D2902" s="18">
        <v>21</v>
      </c>
      <c r="E2902" s="17" t="s">
        <v>118</v>
      </c>
      <c r="F2902" s="19">
        <v>520</v>
      </c>
      <c r="G2902" s="20"/>
      <c r="H2902" s="21"/>
      <c r="I2902" s="22"/>
    </row>
    <row r="2903" spans="1:9" ht="26" customHeight="1">
      <c r="A2903" s="2" t="s">
        <v>199</v>
      </c>
      <c r="B2903" s="13" t="s">
        <v>212</v>
      </c>
      <c r="C2903" s="13" t="s">
        <v>97</v>
      </c>
      <c r="D2903" s="13">
        <v>22</v>
      </c>
      <c r="E2903" s="2" t="s">
        <v>119</v>
      </c>
      <c r="F2903" s="7">
        <v>520</v>
      </c>
      <c r="G2903" s="3"/>
      <c r="H2903" s="4"/>
      <c r="I2903" s="5"/>
    </row>
    <row r="2904" spans="1:9" ht="26" customHeight="1">
      <c r="A2904" s="17" t="s">
        <v>199</v>
      </c>
      <c r="B2904" s="18" t="s">
        <v>212</v>
      </c>
      <c r="C2904" s="18" t="s">
        <v>97</v>
      </c>
      <c r="D2904" s="18">
        <v>23</v>
      </c>
      <c r="E2904" s="17" t="s">
        <v>120</v>
      </c>
      <c r="F2904" s="19">
        <v>527</v>
      </c>
      <c r="G2904" s="20"/>
      <c r="H2904" s="21"/>
      <c r="I2904" s="22"/>
    </row>
    <row r="2905" spans="1:9" ht="26" customHeight="1">
      <c r="A2905" s="2" t="s">
        <v>199</v>
      </c>
      <c r="B2905" s="13" t="s">
        <v>212</v>
      </c>
      <c r="C2905" s="13" t="s">
        <v>97</v>
      </c>
      <c r="D2905" s="13">
        <v>24</v>
      </c>
      <c r="E2905" s="2" t="s">
        <v>121</v>
      </c>
      <c r="F2905" s="7">
        <v>527</v>
      </c>
      <c r="G2905" s="3"/>
      <c r="H2905" s="4"/>
      <c r="I2905" s="5"/>
    </row>
    <row r="2906" spans="1:9" ht="26" customHeight="1">
      <c r="A2906" s="17" t="s">
        <v>199</v>
      </c>
      <c r="B2906" s="18" t="s">
        <v>212</v>
      </c>
      <c r="C2906" s="18" t="s">
        <v>97</v>
      </c>
      <c r="D2906" s="18">
        <v>25</v>
      </c>
      <c r="E2906" s="17" t="s">
        <v>122</v>
      </c>
      <c r="F2906" s="19">
        <v>527</v>
      </c>
      <c r="G2906" s="20"/>
      <c r="H2906" s="21"/>
      <c r="I2906" s="22"/>
    </row>
    <row r="2907" spans="1:9" ht="26" customHeight="1">
      <c r="A2907" s="2" t="s">
        <v>199</v>
      </c>
      <c r="B2907" s="13" t="s">
        <v>212</v>
      </c>
      <c r="C2907" s="13" t="s">
        <v>97</v>
      </c>
      <c r="D2907" s="13">
        <v>26</v>
      </c>
      <c r="E2907" s="2" t="s">
        <v>123</v>
      </c>
      <c r="F2907" s="7">
        <v>534</v>
      </c>
      <c r="G2907" s="3"/>
      <c r="H2907" s="4"/>
      <c r="I2907" s="5"/>
    </row>
    <row r="2908" spans="1:9" ht="26" customHeight="1">
      <c r="A2908" s="17" t="s">
        <v>199</v>
      </c>
      <c r="B2908" s="18" t="s">
        <v>212</v>
      </c>
      <c r="C2908" s="18" t="s">
        <v>97</v>
      </c>
      <c r="D2908" s="18">
        <v>27</v>
      </c>
      <c r="E2908" s="17" t="s">
        <v>124</v>
      </c>
      <c r="F2908" s="19">
        <v>562</v>
      </c>
      <c r="G2908" s="20"/>
      <c r="H2908" s="21"/>
      <c r="I2908" s="22"/>
    </row>
    <row r="2909" spans="1:9" ht="26" customHeight="1">
      <c r="A2909" s="2" t="s">
        <v>199</v>
      </c>
      <c r="B2909" s="13" t="s">
        <v>212</v>
      </c>
      <c r="C2909" s="13" t="s">
        <v>97</v>
      </c>
      <c r="D2909" s="13">
        <v>28</v>
      </c>
      <c r="E2909" s="2" t="s">
        <v>125</v>
      </c>
      <c r="F2909" s="7">
        <v>612</v>
      </c>
      <c r="G2909" s="3"/>
      <c r="H2909" s="4"/>
      <c r="I2909" s="5"/>
    </row>
    <row r="2910" spans="1:9" ht="26" customHeight="1">
      <c r="A2910" s="17" t="s">
        <v>199</v>
      </c>
      <c r="B2910" s="18" t="s">
        <v>212</v>
      </c>
      <c r="C2910" s="18" t="s">
        <v>97</v>
      </c>
      <c r="D2910" s="18">
        <v>29</v>
      </c>
      <c r="E2910" s="17" t="s">
        <v>126</v>
      </c>
      <c r="F2910" s="19">
        <v>633</v>
      </c>
      <c r="G2910" s="20"/>
      <c r="H2910" s="21"/>
      <c r="I2910" s="22"/>
    </row>
    <row r="2911" spans="1:9" ht="26" customHeight="1">
      <c r="A2911" s="2" t="s">
        <v>199</v>
      </c>
      <c r="B2911" s="13" t="s">
        <v>212</v>
      </c>
      <c r="C2911" s="13" t="s">
        <v>97</v>
      </c>
      <c r="D2911" s="13">
        <v>30</v>
      </c>
      <c r="E2911" s="2" t="s">
        <v>127</v>
      </c>
      <c r="F2911" s="7">
        <v>633</v>
      </c>
      <c r="G2911" s="3"/>
      <c r="H2911" s="4"/>
      <c r="I2911" s="5"/>
    </row>
    <row r="2912" spans="1:9" ht="26" customHeight="1">
      <c r="A2912" s="17" t="s">
        <v>199</v>
      </c>
      <c r="B2912" s="18" t="s">
        <v>212</v>
      </c>
      <c r="C2912" s="18" t="s">
        <v>128</v>
      </c>
      <c r="D2912" s="18">
        <v>31</v>
      </c>
      <c r="E2912" s="17" t="s">
        <v>129</v>
      </c>
      <c r="F2912" s="19">
        <v>405</v>
      </c>
      <c r="G2912" s="20"/>
      <c r="H2912" s="21"/>
      <c r="I2912" s="22"/>
    </row>
    <row r="2913" spans="1:9" ht="26" customHeight="1">
      <c r="A2913" s="2" t="s">
        <v>199</v>
      </c>
      <c r="B2913" s="13" t="s">
        <v>212</v>
      </c>
      <c r="C2913" s="13" t="s">
        <v>128</v>
      </c>
      <c r="D2913" s="13">
        <v>32</v>
      </c>
      <c r="E2913" s="2" t="s">
        <v>130</v>
      </c>
      <c r="F2913" s="7">
        <v>409</v>
      </c>
      <c r="G2913" s="3"/>
      <c r="H2913" s="4"/>
      <c r="I2913" s="5"/>
    </row>
    <row r="2914" spans="1:9" ht="26" customHeight="1">
      <c r="A2914" s="17" t="s">
        <v>199</v>
      </c>
      <c r="B2914" s="18" t="s">
        <v>212</v>
      </c>
      <c r="C2914" s="18" t="s">
        <v>128</v>
      </c>
      <c r="D2914" s="18">
        <v>33</v>
      </c>
      <c r="E2914" s="17" t="s">
        <v>131</v>
      </c>
      <c r="F2914" s="19">
        <v>409</v>
      </c>
      <c r="G2914" s="20"/>
      <c r="H2914" s="21"/>
      <c r="I2914" s="22"/>
    </row>
    <row r="2915" spans="1:9" ht="26" customHeight="1">
      <c r="A2915" s="2" t="s">
        <v>199</v>
      </c>
      <c r="B2915" s="13" t="s">
        <v>212</v>
      </c>
      <c r="C2915" s="13" t="s">
        <v>128</v>
      </c>
      <c r="D2915" s="13">
        <v>34</v>
      </c>
      <c r="E2915" s="2" t="s">
        <v>132</v>
      </c>
      <c r="F2915" s="7">
        <v>412</v>
      </c>
      <c r="G2915" s="3"/>
      <c r="H2915" s="4"/>
      <c r="I2915" s="5"/>
    </row>
    <row r="2916" spans="1:9" ht="26" customHeight="1">
      <c r="A2916" s="17" t="s">
        <v>199</v>
      </c>
      <c r="B2916" s="18" t="s">
        <v>212</v>
      </c>
      <c r="C2916" s="18" t="s">
        <v>128</v>
      </c>
      <c r="D2916" s="18">
        <v>35</v>
      </c>
      <c r="E2916" s="17" t="s">
        <v>133</v>
      </c>
      <c r="F2916" s="19">
        <v>473</v>
      </c>
      <c r="G2916" s="20"/>
      <c r="H2916" s="21"/>
      <c r="I2916" s="22"/>
    </row>
    <row r="2917" spans="1:9" ht="26" customHeight="1">
      <c r="A2917" s="2" t="s">
        <v>199</v>
      </c>
      <c r="B2917" s="13" t="s">
        <v>212</v>
      </c>
      <c r="C2917" s="13" t="s">
        <v>128</v>
      </c>
      <c r="D2917" s="13">
        <v>36</v>
      </c>
      <c r="E2917" s="2" t="s">
        <v>134</v>
      </c>
      <c r="F2917" s="7">
        <v>485</v>
      </c>
      <c r="G2917" s="3"/>
      <c r="H2917" s="4"/>
      <c r="I2917" s="5"/>
    </row>
    <row r="2918" spans="1:9" ht="26" customHeight="1">
      <c r="A2918" s="17" t="s">
        <v>199</v>
      </c>
      <c r="B2918" s="18" t="s">
        <v>212</v>
      </c>
      <c r="C2918" s="18" t="s">
        <v>128</v>
      </c>
      <c r="D2918" s="18">
        <v>37</v>
      </c>
      <c r="E2918" s="17" t="s">
        <v>135</v>
      </c>
      <c r="F2918" s="19">
        <v>573</v>
      </c>
      <c r="G2918" s="20"/>
      <c r="H2918" s="21"/>
      <c r="I2918" s="22"/>
    </row>
    <row r="2919" spans="1:9" ht="26" customHeight="1">
      <c r="A2919" s="2" t="s">
        <v>199</v>
      </c>
      <c r="B2919" s="13" t="s">
        <v>212</v>
      </c>
      <c r="C2919" s="13" t="s">
        <v>128</v>
      </c>
      <c r="D2919" s="13">
        <v>38</v>
      </c>
      <c r="E2919" s="2" t="s">
        <v>136</v>
      </c>
      <c r="F2919" s="7">
        <v>600</v>
      </c>
      <c r="G2919" s="3"/>
      <c r="H2919" s="4"/>
      <c r="I2919" s="5"/>
    </row>
    <row r="2920" spans="1:9" ht="26" customHeight="1">
      <c r="A2920" s="17" t="s">
        <v>199</v>
      </c>
      <c r="B2920" s="18" t="s">
        <v>212</v>
      </c>
      <c r="C2920" s="18" t="s">
        <v>128</v>
      </c>
      <c r="D2920" s="18">
        <v>39</v>
      </c>
      <c r="E2920" s="17" t="s">
        <v>137</v>
      </c>
      <c r="F2920" s="19">
        <v>613</v>
      </c>
      <c r="G2920" s="20"/>
      <c r="H2920" s="21"/>
      <c r="I2920" s="22"/>
    </row>
    <row r="2921" spans="1:9" ht="26" customHeight="1">
      <c r="A2921" s="2" t="s">
        <v>199</v>
      </c>
      <c r="B2921" s="13" t="s">
        <v>212</v>
      </c>
      <c r="C2921" s="13" t="s">
        <v>128</v>
      </c>
      <c r="D2921" s="13">
        <v>40</v>
      </c>
      <c r="E2921" s="2" t="s">
        <v>138</v>
      </c>
      <c r="F2921" s="7">
        <v>627</v>
      </c>
      <c r="G2921" s="3"/>
      <c r="H2921" s="4"/>
      <c r="I2921" s="5"/>
    </row>
    <row r="2922" spans="1:9" ht="26" customHeight="1">
      <c r="A2922" s="17" t="s">
        <v>199</v>
      </c>
      <c r="B2922" s="18" t="s">
        <v>212</v>
      </c>
      <c r="C2922" s="18" t="s">
        <v>128</v>
      </c>
      <c r="D2922" s="18">
        <v>41</v>
      </c>
      <c r="E2922" s="17" t="s">
        <v>139</v>
      </c>
      <c r="F2922" s="19">
        <v>660</v>
      </c>
      <c r="G2922" s="20"/>
      <c r="H2922" s="21"/>
      <c r="I2922" s="22"/>
    </row>
    <row r="2923" spans="1:9" ht="26" customHeight="1">
      <c r="A2923" s="2" t="s">
        <v>199</v>
      </c>
      <c r="B2923" s="13" t="s">
        <v>212</v>
      </c>
      <c r="C2923" s="13" t="s">
        <v>128</v>
      </c>
      <c r="D2923" s="13">
        <v>42</v>
      </c>
      <c r="E2923" s="2" t="s">
        <v>140</v>
      </c>
      <c r="F2923" s="7">
        <v>713</v>
      </c>
      <c r="G2923" s="3"/>
      <c r="H2923" s="4"/>
      <c r="I2923" s="5"/>
    </row>
    <row r="2924" spans="1:9" ht="26" customHeight="1">
      <c r="A2924" s="17" t="s">
        <v>199</v>
      </c>
      <c r="B2924" s="18" t="s">
        <v>212</v>
      </c>
      <c r="C2924" s="18" t="s">
        <v>128</v>
      </c>
      <c r="D2924" s="18">
        <v>43</v>
      </c>
      <c r="E2924" s="17" t="s">
        <v>141</v>
      </c>
      <c r="F2924" s="19">
        <v>713</v>
      </c>
      <c r="G2924" s="20"/>
      <c r="H2924" s="21"/>
      <c r="I2924" s="22"/>
    </row>
    <row r="2925" spans="1:9" ht="26" customHeight="1">
      <c r="A2925" s="2" t="s">
        <v>199</v>
      </c>
      <c r="B2925" s="13" t="s">
        <v>212</v>
      </c>
      <c r="C2925" s="13" t="s">
        <v>128</v>
      </c>
      <c r="D2925" s="13">
        <v>44</v>
      </c>
      <c r="E2925" s="2" t="s">
        <v>142</v>
      </c>
      <c r="F2925" s="7">
        <v>720</v>
      </c>
      <c r="G2925" s="3"/>
      <c r="H2925" s="4"/>
      <c r="I2925" s="5"/>
    </row>
    <row r="2926" spans="1:9" ht="26" customHeight="1">
      <c r="A2926" s="17" t="s">
        <v>199</v>
      </c>
      <c r="B2926" s="18" t="s">
        <v>212</v>
      </c>
      <c r="C2926" s="18" t="s">
        <v>128</v>
      </c>
      <c r="D2926" s="18">
        <v>45</v>
      </c>
      <c r="E2926" s="17" t="s">
        <v>143</v>
      </c>
      <c r="F2926" s="19">
        <v>728</v>
      </c>
      <c r="G2926" s="20"/>
      <c r="H2926" s="21"/>
      <c r="I2926" s="22"/>
    </row>
    <row r="2927" spans="1:9" ht="26" customHeight="1">
      <c r="A2927" s="2" t="s">
        <v>199</v>
      </c>
      <c r="B2927" s="13" t="s">
        <v>212</v>
      </c>
      <c r="C2927" s="13" t="s">
        <v>128</v>
      </c>
      <c r="D2927" s="13">
        <v>46</v>
      </c>
      <c r="E2927" s="2" t="s">
        <v>144</v>
      </c>
      <c r="F2927" s="7">
        <v>728</v>
      </c>
      <c r="G2927" s="3"/>
      <c r="H2927" s="4"/>
      <c r="I2927" s="5"/>
    </row>
    <row r="2928" spans="1:9" ht="26" customHeight="1">
      <c r="A2928" s="17" t="s">
        <v>199</v>
      </c>
      <c r="B2928" s="18" t="s">
        <v>212</v>
      </c>
      <c r="C2928" s="18" t="s">
        <v>128</v>
      </c>
      <c r="D2928" s="18">
        <v>47</v>
      </c>
      <c r="E2928" s="17" t="s">
        <v>145</v>
      </c>
      <c r="F2928" s="19">
        <v>740</v>
      </c>
      <c r="G2928" s="20"/>
      <c r="H2928" s="21"/>
      <c r="I2928" s="22"/>
    </row>
    <row r="2929" spans="1:9" ht="26" customHeight="1">
      <c r="A2929" s="2" t="s">
        <v>199</v>
      </c>
      <c r="B2929" s="13" t="s">
        <v>212</v>
      </c>
      <c r="C2929" s="13" t="s">
        <v>128</v>
      </c>
      <c r="D2929" s="13">
        <v>48</v>
      </c>
      <c r="E2929" s="2" t="s">
        <v>146</v>
      </c>
      <c r="F2929" s="7">
        <v>747</v>
      </c>
      <c r="G2929" s="3"/>
      <c r="H2929" s="4"/>
      <c r="I2929" s="5"/>
    </row>
    <row r="2930" spans="1:9" ht="26" customHeight="1">
      <c r="A2930" s="17" t="s">
        <v>199</v>
      </c>
      <c r="B2930" s="18" t="s">
        <v>213</v>
      </c>
      <c r="C2930" s="18" t="s">
        <v>97</v>
      </c>
      <c r="D2930" s="18">
        <v>1</v>
      </c>
      <c r="E2930" s="17" t="s">
        <v>98</v>
      </c>
      <c r="F2930" s="19">
        <v>371</v>
      </c>
      <c r="G2930" s="20"/>
      <c r="H2930" s="21"/>
      <c r="I2930" s="22"/>
    </row>
    <row r="2931" spans="1:9" ht="26" customHeight="1">
      <c r="A2931" s="2" t="s">
        <v>199</v>
      </c>
      <c r="B2931" s="13" t="s">
        <v>213</v>
      </c>
      <c r="C2931" s="13" t="s">
        <v>97</v>
      </c>
      <c r="D2931" s="13">
        <v>2</v>
      </c>
      <c r="E2931" s="2" t="s">
        <v>99</v>
      </c>
      <c r="F2931" s="7">
        <v>371</v>
      </c>
      <c r="G2931" s="3"/>
      <c r="H2931" s="4"/>
      <c r="I2931" s="5"/>
    </row>
    <row r="2932" spans="1:9" ht="26" customHeight="1">
      <c r="A2932" s="17" t="s">
        <v>199</v>
      </c>
      <c r="B2932" s="18" t="s">
        <v>213</v>
      </c>
      <c r="C2932" s="18" t="s">
        <v>97</v>
      </c>
      <c r="D2932" s="18">
        <v>3</v>
      </c>
      <c r="E2932" s="17" t="s">
        <v>100</v>
      </c>
      <c r="F2932" s="19">
        <v>371</v>
      </c>
      <c r="G2932" s="20"/>
      <c r="H2932" s="21"/>
      <c r="I2932" s="22"/>
    </row>
    <row r="2933" spans="1:9" ht="26" customHeight="1">
      <c r="A2933" s="2" t="s">
        <v>199</v>
      </c>
      <c r="B2933" s="13" t="s">
        <v>213</v>
      </c>
      <c r="C2933" s="13" t="s">
        <v>97</v>
      </c>
      <c r="D2933" s="13">
        <v>4</v>
      </c>
      <c r="E2933" s="2" t="s">
        <v>101</v>
      </c>
      <c r="F2933" s="7">
        <v>399</v>
      </c>
      <c r="G2933" s="3"/>
      <c r="H2933" s="4"/>
      <c r="I2933" s="5"/>
    </row>
    <row r="2934" spans="1:9" ht="26" customHeight="1">
      <c r="A2934" s="17" t="s">
        <v>199</v>
      </c>
      <c r="B2934" s="18" t="s">
        <v>213</v>
      </c>
      <c r="C2934" s="18" t="s">
        <v>97</v>
      </c>
      <c r="D2934" s="18">
        <v>5</v>
      </c>
      <c r="E2934" s="17" t="s">
        <v>102</v>
      </c>
      <c r="F2934" s="19">
        <v>399</v>
      </c>
      <c r="G2934" s="20"/>
      <c r="H2934" s="21"/>
      <c r="I2934" s="22"/>
    </row>
    <row r="2935" spans="1:9" ht="26" customHeight="1">
      <c r="A2935" s="2" t="s">
        <v>199</v>
      </c>
      <c r="B2935" s="13" t="s">
        <v>213</v>
      </c>
      <c r="C2935" s="13" t="s">
        <v>97</v>
      </c>
      <c r="D2935" s="13">
        <v>6</v>
      </c>
      <c r="E2935" s="2" t="s">
        <v>103</v>
      </c>
      <c r="F2935" s="7">
        <v>401</v>
      </c>
      <c r="G2935" s="3"/>
      <c r="H2935" s="4"/>
      <c r="I2935" s="5"/>
    </row>
    <row r="2936" spans="1:9" ht="26" customHeight="1">
      <c r="A2936" s="17" t="s">
        <v>199</v>
      </c>
      <c r="B2936" s="18" t="s">
        <v>213</v>
      </c>
      <c r="C2936" s="18" t="s">
        <v>97</v>
      </c>
      <c r="D2936" s="18">
        <v>7</v>
      </c>
      <c r="E2936" s="17" t="s">
        <v>104</v>
      </c>
      <c r="F2936" s="19">
        <v>401</v>
      </c>
      <c r="G2936" s="20"/>
      <c r="H2936" s="21"/>
      <c r="I2936" s="22"/>
    </row>
    <row r="2937" spans="1:9" ht="26" customHeight="1">
      <c r="A2937" s="2" t="s">
        <v>199</v>
      </c>
      <c r="B2937" s="13" t="s">
        <v>213</v>
      </c>
      <c r="C2937" s="13" t="s">
        <v>97</v>
      </c>
      <c r="D2937" s="13">
        <v>8</v>
      </c>
      <c r="E2937" s="2" t="s">
        <v>105</v>
      </c>
      <c r="F2937" s="7">
        <v>401</v>
      </c>
      <c r="G2937" s="3"/>
      <c r="H2937" s="4"/>
      <c r="I2937" s="5"/>
    </row>
    <row r="2938" spans="1:9" ht="26" customHeight="1">
      <c r="A2938" s="17" t="s">
        <v>199</v>
      </c>
      <c r="B2938" s="18" t="s">
        <v>213</v>
      </c>
      <c r="C2938" s="18" t="s">
        <v>97</v>
      </c>
      <c r="D2938" s="18">
        <v>9</v>
      </c>
      <c r="E2938" s="17" t="s">
        <v>106</v>
      </c>
      <c r="F2938" s="19">
        <v>401</v>
      </c>
      <c r="G2938" s="20"/>
      <c r="H2938" s="21"/>
      <c r="I2938" s="22"/>
    </row>
    <row r="2939" spans="1:9" ht="26" customHeight="1">
      <c r="A2939" s="2" t="s">
        <v>199</v>
      </c>
      <c r="B2939" s="13" t="s">
        <v>213</v>
      </c>
      <c r="C2939" s="13" t="s">
        <v>97</v>
      </c>
      <c r="D2939" s="13">
        <v>10</v>
      </c>
      <c r="E2939" s="2" t="s">
        <v>107</v>
      </c>
      <c r="F2939" s="7">
        <v>401</v>
      </c>
      <c r="G2939" s="3"/>
      <c r="H2939" s="4"/>
      <c r="I2939" s="5"/>
    </row>
    <row r="2940" spans="1:9" ht="26" customHeight="1">
      <c r="A2940" s="17" t="s">
        <v>199</v>
      </c>
      <c r="B2940" s="18" t="s">
        <v>213</v>
      </c>
      <c r="C2940" s="18" t="s">
        <v>97</v>
      </c>
      <c r="D2940" s="18">
        <v>11</v>
      </c>
      <c r="E2940" s="17" t="s">
        <v>108</v>
      </c>
      <c r="F2940" s="19">
        <v>401</v>
      </c>
      <c r="G2940" s="20"/>
      <c r="H2940" s="21"/>
      <c r="I2940" s="22"/>
    </row>
    <row r="2941" spans="1:9" ht="26" customHeight="1">
      <c r="A2941" s="2" t="s">
        <v>199</v>
      </c>
      <c r="B2941" s="13" t="s">
        <v>213</v>
      </c>
      <c r="C2941" s="13" t="s">
        <v>97</v>
      </c>
      <c r="D2941" s="13">
        <v>12</v>
      </c>
      <c r="E2941" s="2" t="s">
        <v>109</v>
      </c>
      <c r="F2941" s="7">
        <v>404</v>
      </c>
      <c r="G2941" s="3"/>
      <c r="H2941" s="4"/>
      <c r="I2941" s="5"/>
    </row>
    <row r="2942" spans="1:9" ht="26" customHeight="1">
      <c r="A2942" s="17" t="s">
        <v>199</v>
      </c>
      <c r="B2942" s="18" t="s">
        <v>213</v>
      </c>
      <c r="C2942" s="18" t="s">
        <v>97</v>
      </c>
      <c r="D2942" s="18">
        <v>13</v>
      </c>
      <c r="E2942" s="17" t="s">
        <v>110</v>
      </c>
      <c r="F2942" s="19">
        <v>404</v>
      </c>
      <c r="G2942" s="20"/>
      <c r="H2942" s="21"/>
      <c r="I2942" s="22"/>
    </row>
    <row r="2943" spans="1:9" ht="26" customHeight="1">
      <c r="A2943" s="2" t="s">
        <v>199</v>
      </c>
      <c r="B2943" s="13" t="s">
        <v>213</v>
      </c>
      <c r="C2943" s="13" t="s">
        <v>97</v>
      </c>
      <c r="D2943" s="13">
        <v>14</v>
      </c>
      <c r="E2943" s="2" t="s">
        <v>111</v>
      </c>
      <c r="F2943" s="7">
        <v>405</v>
      </c>
      <c r="G2943" s="3"/>
      <c r="H2943" s="4"/>
      <c r="I2943" s="5"/>
    </row>
    <row r="2944" spans="1:9" ht="26" customHeight="1">
      <c r="A2944" s="17" t="s">
        <v>199</v>
      </c>
      <c r="B2944" s="18" t="s">
        <v>213</v>
      </c>
      <c r="C2944" s="18" t="s">
        <v>97</v>
      </c>
      <c r="D2944" s="18">
        <v>15</v>
      </c>
      <c r="E2944" s="17" t="s">
        <v>112</v>
      </c>
      <c r="F2944" s="19">
        <v>405</v>
      </c>
      <c r="G2944" s="20"/>
      <c r="H2944" s="21"/>
      <c r="I2944" s="22"/>
    </row>
    <row r="2945" spans="1:9" ht="26" customHeight="1">
      <c r="A2945" s="2" t="s">
        <v>199</v>
      </c>
      <c r="B2945" s="13" t="s">
        <v>213</v>
      </c>
      <c r="C2945" s="13" t="s">
        <v>97</v>
      </c>
      <c r="D2945" s="13">
        <v>16</v>
      </c>
      <c r="E2945" s="2" t="s">
        <v>113</v>
      </c>
      <c r="F2945" s="7">
        <v>405</v>
      </c>
      <c r="G2945" s="3"/>
      <c r="H2945" s="4"/>
      <c r="I2945" s="5"/>
    </row>
    <row r="2946" spans="1:9" ht="26" customHeight="1">
      <c r="A2946" s="17" t="s">
        <v>199</v>
      </c>
      <c r="B2946" s="18" t="s">
        <v>213</v>
      </c>
      <c r="C2946" s="18" t="s">
        <v>97</v>
      </c>
      <c r="D2946" s="18">
        <v>17</v>
      </c>
      <c r="E2946" s="17" t="s">
        <v>114</v>
      </c>
      <c r="F2946" s="19">
        <v>410</v>
      </c>
      <c r="G2946" s="20"/>
      <c r="H2946" s="21"/>
      <c r="I2946" s="22"/>
    </row>
    <row r="2947" spans="1:9" ht="26" customHeight="1">
      <c r="A2947" s="2" t="s">
        <v>199</v>
      </c>
      <c r="B2947" s="13" t="s">
        <v>213</v>
      </c>
      <c r="C2947" s="13" t="s">
        <v>97</v>
      </c>
      <c r="D2947" s="13">
        <v>18</v>
      </c>
      <c r="E2947" s="2" t="s">
        <v>115</v>
      </c>
      <c r="F2947" s="7">
        <v>410</v>
      </c>
      <c r="G2947" s="3"/>
      <c r="H2947" s="4"/>
      <c r="I2947" s="5"/>
    </row>
    <row r="2948" spans="1:9" ht="26" customHeight="1">
      <c r="A2948" s="17" t="s">
        <v>199</v>
      </c>
      <c r="B2948" s="18" t="s">
        <v>213</v>
      </c>
      <c r="C2948" s="18" t="s">
        <v>97</v>
      </c>
      <c r="D2948" s="18">
        <v>19</v>
      </c>
      <c r="E2948" s="17" t="s">
        <v>116</v>
      </c>
      <c r="F2948" s="19">
        <v>410</v>
      </c>
      <c r="G2948" s="20"/>
      <c r="H2948" s="21"/>
      <c r="I2948" s="22"/>
    </row>
    <row r="2949" spans="1:9" ht="26" customHeight="1">
      <c r="A2949" s="2" t="s">
        <v>199</v>
      </c>
      <c r="B2949" s="13" t="s">
        <v>213</v>
      </c>
      <c r="C2949" s="13" t="s">
        <v>97</v>
      </c>
      <c r="D2949" s="13">
        <v>20</v>
      </c>
      <c r="E2949" s="2" t="s">
        <v>117</v>
      </c>
      <c r="F2949" s="7">
        <v>412</v>
      </c>
      <c r="G2949" s="3"/>
      <c r="H2949" s="4"/>
      <c r="I2949" s="5"/>
    </row>
    <row r="2950" spans="1:9" ht="26" customHeight="1">
      <c r="A2950" s="17" t="s">
        <v>199</v>
      </c>
      <c r="B2950" s="18" t="s">
        <v>213</v>
      </c>
      <c r="C2950" s="18" t="s">
        <v>97</v>
      </c>
      <c r="D2950" s="18">
        <v>21</v>
      </c>
      <c r="E2950" s="17" t="s">
        <v>118</v>
      </c>
      <c r="F2950" s="19">
        <v>413</v>
      </c>
      <c r="G2950" s="20"/>
      <c r="H2950" s="21"/>
      <c r="I2950" s="22"/>
    </row>
    <row r="2951" spans="1:9" ht="26" customHeight="1">
      <c r="A2951" s="2" t="s">
        <v>199</v>
      </c>
      <c r="B2951" s="13" t="s">
        <v>213</v>
      </c>
      <c r="C2951" s="13" t="s">
        <v>97</v>
      </c>
      <c r="D2951" s="13">
        <v>22</v>
      </c>
      <c r="E2951" s="2" t="s">
        <v>119</v>
      </c>
      <c r="F2951" s="7">
        <v>413</v>
      </c>
      <c r="G2951" s="3"/>
      <c r="H2951" s="4"/>
      <c r="I2951" s="5"/>
    </row>
    <row r="2952" spans="1:9" ht="26" customHeight="1">
      <c r="A2952" s="17" t="s">
        <v>199</v>
      </c>
      <c r="B2952" s="18" t="s">
        <v>213</v>
      </c>
      <c r="C2952" s="18" t="s">
        <v>97</v>
      </c>
      <c r="D2952" s="18">
        <v>23</v>
      </c>
      <c r="E2952" s="17" t="s">
        <v>120</v>
      </c>
      <c r="F2952" s="19">
        <v>417</v>
      </c>
      <c r="G2952" s="20"/>
      <c r="H2952" s="21"/>
      <c r="I2952" s="22"/>
    </row>
    <row r="2953" spans="1:9" ht="26" customHeight="1">
      <c r="A2953" s="2" t="s">
        <v>199</v>
      </c>
      <c r="B2953" s="13" t="s">
        <v>213</v>
      </c>
      <c r="C2953" s="13" t="s">
        <v>97</v>
      </c>
      <c r="D2953" s="13">
        <v>24</v>
      </c>
      <c r="E2953" s="2" t="s">
        <v>121</v>
      </c>
      <c r="F2953" s="7">
        <v>417</v>
      </c>
      <c r="G2953" s="3"/>
      <c r="H2953" s="4"/>
      <c r="I2953" s="5"/>
    </row>
    <row r="2954" spans="1:9" ht="26" customHeight="1">
      <c r="A2954" s="17" t="s">
        <v>199</v>
      </c>
      <c r="B2954" s="18" t="s">
        <v>213</v>
      </c>
      <c r="C2954" s="18" t="s">
        <v>97</v>
      </c>
      <c r="D2954" s="18">
        <v>25</v>
      </c>
      <c r="E2954" s="17" t="s">
        <v>122</v>
      </c>
      <c r="F2954" s="19">
        <v>417</v>
      </c>
      <c r="G2954" s="20"/>
      <c r="H2954" s="21"/>
      <c r="I2954" s="22"/>
    </row>
    <row r="2955" spans="1:9" ht="26" customHeight="1">
      <c r="A2955" s="2" t="s">
        <v>199</v>
      </c>
      <c r="B2955" s="13" t="s">
        <v>213</v>
      </c>
      <c r="C2955" s="13" t="s">
        <v>97</v>
      </c>
      <c r="D2955" s="13">
        <v>26</v>
      </c>
      <c r="E2955" s="2" t="s">
        <v>123</v>
      </c>
      <c r="F2955" s="7">
        <v>422</v>
      </c>
      <c r="G2955" s="3"/>
      <c r="H2955" s="4"/>
      <c r="I2955" s="5"/>
    </row>
    <row r="2956" spans="1:9" ht="26" customHeight="1">
      <c r="A2956" s="17" t="s">
        <v>199</v>
      </c>
      <c r="B2956" s="18" t="s">
        <v>213</v>
      </c>
      <c r="C2956" s="18" t="s">
        <v>97</v>
      </c>
      <c r="D2956" s="18">
        <v>27</v>
      </c>
      <c r="E2956" s="17" t="s">
        <v>124</v>
      </c>
      <c r="F2956" s="19">
        <v>439</v>
      </c>
      <c r="G2956" s="20"/>
      <c r="H2956" s="21"/>
      <c r="I2956" s="22"/>
    </row>
    <row r="2957" spans="1:9" ht="26" customHeight="1">
      <c r="A2957" s="2" t="s">
        <v>199</v>
      </c>
      <c r="B2957" s="13" t="s">
        <v>213</v>
      </c>
      <c r="C2957" s="13" t="s">
        <v>97</v>
      </c>
      <c r="D2957" s="13">
        <v>28</v>
      </c>
      <c r="E2957" s="2" t="s">
        <v>125</v>
      </c>
      <c r="F2957" s="7">
        <v>470</v>
      </c>
      <c r="G2957" s="3"/>
      <c r="H2957" s="4"/>
      <c r="I2957" s="5"/>
    </row>
    <row r="2958" spans="1:9" ht="26" customHeight="1">
      <c r="A2958" s="17" t="s">
        <v>199</v>
      </c>
      <c r="B2958" s="18" t="s">
        <v>213</v>
      </c>
      <c r="C2958" s="18" t="s">
        <v>97</v>
      </c>
      <c r="D2958" s="18">
        <v>29</v>
      </c>
      <c r="E2958" s="17" t="s">
        <v>126</v>
      </c>
      <c r="F2958" s="19">
        <v>484</v>
      </c>
      <c r="G2958" s="20"/>
      <c r="H2958" s="21"/>
      <c r="I2958" s="22"/>
    </row>
    <row r="2959" spans="1:9" ht="26" customHeight="1">
      <c r="A2959" s="2" t="s">
        <v>199</v>
      </c>
      <c r="B2959" s="13" t="s">
        <v>213</v>
      </c>
      <c r="C2959" s="13" t="s">
        <v>97</v>
      </c>
      <c r="D2959" s="13">
        <v>30</v>
      </c>
      <c r="E2959" s="2" t="s">
        <v>127</v>
      </c>
      <c r="F2959" s="7">
        <v>484</v>
      </c>
      <c r="G2959" s="3"/>
      <c r="H2959" s="4"/>
      <c r="I2959" s="5"/>
    </row>
    <row r="2960" spans="1:9" ht="26" customHeight="1">
      <c r="A2960" s="17" t="s">
        <v>199</v>
      </c>
      <c r="B2960" s="18" t="s">
        <v>213</v>
      </c>
      <c r="C2960" s="18" t="s">
        <v>128</v>
      </c>
      <c r="D2960" s="18">
        <v>31</v>
      </c>
      <c r="E2960" s="17" t="s">
        <v>129</v>
      </c>
      <c r="F2960" s="19">
        <v>204</v>
      </c>
      <c r="G2960" s="20"/>
      <c r="H2960" s="21"/>
      <c r="I2960" s="22"/>
    </row>
    <row r="2961" spans="1:9" ht="26" customHeight="1">
      <c r="A2961" s="2" t="s">
        <v>199</v>
      </c>
      <c r="B2961" s="13" t="s">
        <v>213</v>
      </c>
      <c r="C2961" s="13" t="s">
        <v>128</v>
      </c>
      <c r="D2961" s="13">
        <v>32</v>
      </c>
      <c r="E2961" s="2" t="s">
        <v>130</v>
      </c>
      <c r="F2961" s="7">
        <v>207</v>
      </c>
      <c r="G2961" s="3"/>
      <c r="H2961" s="4"/>
      <c r="I2961" s="5"/>
    </row>
    <row r="2962" spans="1:9" ht="26" customHeight="1">
      <c r="A2962" s="17" t="s">
        <v>199</v>
      </c>
      <c r="B2962" s="18" t="s">
        <v>213</v>
      </c>
      <c r="C2962" s="18" t="s">
        <v>128</v>
      </c>
      <c r="D2962" s="18">
        <v>33</v>
      </c>
      <c r="E2962" s="17" t="s">
        <v>131</v>
      </c>
      <c r="F2962" s="19">
        <v>207</v>
      </c>
      <c r="G2962" s="20"/>
      <c r="H2962" s="21"/>
      <c r="I2962" s="22"/>
    </row>
    <row r="2963" spans="1:9" ht="26" customHeight="1">
      <c r="A2963" s="2" t="s">
        <v>199</v>
      </c>
      <c r="B2963" s="13" t="s">
        <v>213</v>
      </c>
      <c r="C2963" s="13" t="s">
        <v>128</v>
      </c>
      <c r="D2963" s="13">
        <v>34</v>
      </c>
      <c r="E2963" s="2" t="s">
        <v>132</v>
      </c>
      <c r="F2963" s="7">
        <v>209</v>
      </c>
      <c r="G2963" s="3"/>
      <c r="H2963" s="4"/>
      <c r="I2963" s="5"/>
    </row>
    <row r="2964" spans="1:9" ht="26" customHeight="1">
      <c r="A2964" s="17" t="s">
        <v>199</v>
      </c>
      <c r="B2964" s="18" t="s">
        <v>213</v>
      </c>
      <c r="C2964" s="18" t="s">
        <v>128</v>
      </c>
      <c r="D2964" s="18">
        <v>35</v>
      </c>
      <c r="E2964" s="17" t="s">
        <v>133</v>
      </c>
      <c r="F2964" s="19">
        <v>247</v>
      </c>
      <c r="G2964" s="20"/>
      <c r="H2964" s="21"/>
      <c r="I2964" s="22"/>
    </row>
    <row r="2965" spans="1:9" ht="26" customHeight="1">
      <c r="A2965" s="2" t="s">
        <v>199</v>
      </c>
      <c r="B2965" s="13" t="s">
        <v>213</v>
      </c>
      <c r="C2965" s="13" t="s">
        <v>128</v>
      </c>
      <c r="D2965" s="13">
        <v>36</v>
      </c>
      <c r="E2965" s="2" t="s">
        <v>134</v>
      </c>
      <c r="F2965" s="7">
        <v>255</v>
      </c>
      <c r="G2965" s="3"/>
      <c r="H2965" s="4"/>
      <c r="I2965" s="5"/>
    </row>
    <row r="2966" spans="1:9" ht="26" customHeight="1">
      <c r="A2966" s="17" t="s">
        <v>199</v>
      </c>
      <c r="B2966" s="18" t="s">
        <v>213</v>
      </c>
      <c r="C2966" s="18" t="s">
        <v>128</v>
      </c>
      <c r="D2966" s="18">
        <v>37</v>
      </c>
      <c r="E2966" s="17" t="s">
        <v>135</v>
      </c>
      <c r="F2966" s="19">
        <v>310</v>
      </c>
      <c r="G2966" s="20"/>
      <c r="H2966" s="21"/>
      <c r="I2966" s="22"/>
    </row>
    <row r="2967" spans="1:9" ht="26" customHeight="1">
      <c r="A2967" s="2" t="s">
        <v>199</v>
      </c>
      <c r="B2967" s="13" t="s">
        <v>213</v>
      </c>
      <c r="C2967" s="13" t="s">
        <v>128</v>
      </c>
      <c r="D2967" s="13">
        <v>38</v>
      </c>
      <c r="E2967" s="2" t="s">
        <v>136</v>
      </c>
      <c r="F2967" s="7">
        <v>327</v>
      </c>
      <c r="G2967" s="3"/>
      <c r="H2967" s="4"/>
      <c r="I2967" s="5"/>
    </row>
    <row r="2968" spans="1:9" ht="26" customHeight="1">
      <c r="A2968" s="17" t="s">
        <v>199</v>
      </c>
      <c r="B2968" s="18" t="s">
        <v>213</v>
      </c>
      <c r="C2968" s="18" t="s">
        <v>128</v>
      </c>
      <c r="D2968" s="18">
        <v>39</v>
      </c>
      <c r="E2968" s="17" t="s">
        <v>137</v>
      </c>
      <c r="F2968" s="19">
        <v>335</v>
      </c>
      <c r="G2968" s="20"/>
      <c r="H2968" s="21"/>
      <c r="I2968" s="22"/>
    </row>
    <row r="2969" spans="1:9" ht="26" customHeight="1">
      <c r="A2969" s="2" t="s">
        <v>199</v>
      </c>
      <c r="B2969" s="13" t="s">
        <v>213</v>
      </c>
      <c r="C2969" s="13" t="s">
        <v>128</v>
      </c>
      <c r="D2969" s="13">
        <v>40</v>
      </c>
      <c r="E2969" s="2" t="s">
        <v>138</v>
      </c>
      <c r="F2969" s="7">
        <v>344</v>
      </c>
      <c r="G2969" s="3"/>
      <c r="H2969" s="4"/>
      <c r="I2969" s="5"/>
    </row>
    <row r="2970" spans="1:9" ht="26" customHeight="1">
      <c r="A2970" s="17" t="s">
        <v>199</v>
      </c>
      <c r="B2970" s="18" t="s">
        <v>213</v>
      </c>
      <c r="C2970" s="18" t="s">
        <v>128</v>
      </c>
      <c r="D2970" s="18">
        <v>41</v>
      </c>
      <c r="E2970" s="17" t="s">
        <v>139</v>
      </c>
      <c r="F2970" s="19">
        <v>364</v>
      </c>
      <c r="G2970" s="20"/>
      <c r="H2970" s="21"/>
      <c r="I2970" s="22"/>
    </row>
    <row r="2971" spans="1:9" ht="26" customHeight="1">
      <c r="A2971" s="2" t="s">
        <v>199</v>
      </c>
      <c r="B2971" s="13" t="s">
        <v>213</v>
      </c>
      <c r="C2971" s="13" t="s">
        <v>128</v>
      </c>
      <c r="D2971" s="13">
        <v>42</v>
      </c>
      <c r="E2971" s="2" t="s">
        <v>140</v>
      </c>
      <c r="F2971" s="7">
        <v>398</v>
      </c>
      <c r="G2971" s="3"/>
      <c r="H2971" s="4"/>
      <c r="I2971" s="5"/>
    </row>
    <row r="2972" spans="1:9" ht="26" customHeight="1">
      <c r="A2972" s="17" t="s">
        <v>199</v>
      </c>
      <c r="B2972" s="18" t="s">
        <v>213</v>
      </c>
      <c r="C2972" s="18" t="s">
        <v>128</v>
      </c>
      <c r="D2972" s="18">
        <v>43</v>
      </c>
      <c r="E2972" s="17" t="s">
        <v>141</v>
      </c>
      <c r="F2972" s="19">
        <v>398</v>
      </c>
      <c r="G2972" s="20"/>
      <c r="H2972" s="21"/>
      <c r="I2972" s="22"/>
    </row>
    <row r="2973" spans="1:9" ht="26" customHeight="1">
      <c r="A2973" s="2" t="s">
        <v>199</v>
      </c>
      <c r="B2973" s="13" t="s">
        <v>213</v>
      </c>
      <c r="C2973" s="13" t="s">
        <v>128</v>
      </c>
      <c r="D2973" s="13">
        <v>44</v>
      </c>
      <c r="E2973" s="2" t="s">
        <v>142</v>
      </c>
      <c r="F2973" s="7">
        <v>402</v>
      </c>
      <c r="G2973" s="3"/>
      <c r="H2973" s="4"/>
      <c r="I2973" s="5"/>
    </row>
    <row r="2974" spans="1:9" ht="26" customHeight="1">
      <c r="A2974" s="17" t="s">
        <v>199</v>
      </c>
      <c r="B2974" s="18" t="s">
        <v>213</v>
      </c>
      <c r="C2974" s="18" t="s">
        <v>128</v>
      </c>
      <c r="D2974" s="18">
        <v>45</v>
      </c>
      <c r="E2974" s="17" t="s">
        <v>143</v>
      </c>
      <c r="F2974" s="19">
        <v>407</v>
      </c>
      <c r="G2974" s="20"/>
      <c r="H2974" s="21"/>
      <c r="I2974" s="22"/>
    </row>
    <row r="2975" spans="1:9" ht="26" customHeight="1">
      <c r="A2975" s="2" t="s">
        <v>199</v>
      </c>
      <c r="B2975" s="13" t="s">
        <v>213</v>
      </c>
      <c r="C2975" s="13" t="s">
        <v>128</v>
      </c>
      <c r="D2975" s="13">
        <v>46</v>
      </c>
      <c r="E2975" s="2" t="s">
        <v>144</v>
      </c>
      <c r="F2975" s="7">
        <v>407</v>
      </c>
      <c r="G2975" s="3"/>
      <c r="H2975" s="4"/>
      <c r="I2975" s="5"/>
    </row>
    <row r="2976" spans="1:9" ht="26" customHeight="1">
      <c r="A2976" s="17" t="s">
        <v>199</v>
      </c>
      <c r="B2976" s="18" t="s">
        <v>213</v>
      </c>
      <c r="C2976" s="18" t="s">
        <v>128</v>
      </c>
      <c r="D2976" s="18">
        <v>47</v>
      </c>
      <c r="E2976" s="17" t="s">
        <v>145</v>
      </c>
      <c r="F2976" s="19">
        <v>415</v>
      </c>
      <c r="G2976" s="20"/>
      <c r="H2976" s="21"/>
      <c r="I2976" s="22"/>
    </row>
    <row r="2977" spans="1:9" ht="26" customHeight="1">
      <c r="A2977" s="2" t="s">
        <v>199</v>
      </c>
      <c r="B2977" s="13" t="s">
        <v>213</v>
      </c>
      <c r="C2977" s="13" t="s">
        <v>128</v>
      </c>
      <c r="D2977" s="13">
        <v>48</v>
      </c>
      <c r="E2977" s="2" t="s">
        <v>146</v>
      </c>
      <c r="F2977" s="7">
        <v>419</v>
      </c>
      <c r="G2977" s="3"/>
      <c r="H2977" s="4"/>
      <c r="I2977" s="5"/>
    </row>
    <row r="2978" spans="1:9" ht="26" customHeight="1">
      <c r="A2978" s="17" t="s">
        <v>156</v>
      </c>
      <c r="B2978" s="18" t="s">
        <v>157</v>
      </c>
      <c r="C2978" s="18" t="s">
        <v>214</v>
      </c>
      <c r="D2978" s="18">
        <v>9</v>
      </c>
      <c r="E2978" s="17" t="s">
        <v>215</v>
      </c>
      <c r="F2978" s="19">
        <v>837</v>
      </c>
      <c r="G2978" s="20">
        <f>F2978+(VLOOKUP(D2978,'(Semelles.Monument.€HT)'!C:G,3,FALSE()))</f>
        <v>1017</v>
      </c>
      <c r="H2978" s="21">
        <f>F2978+(VLOOKUP(D2978,'(Semelles.Monument.€HT)'!C:G,4,FALSE()))</f>
        <v>1069</v>
      </c>
      <c r="I2978" s="22">
        <f>F2978+(VLOOKUP(D2978,'(Semelles.Monument.€HT)'!C:G,5,FALSE()))</f>
        <v>1124</v>
      </c>
    </row>
    <row r="2979" spans="1:9" ht="26" customHeight="1">
      <c r="A2979" s="2" t="s">
        <v>156</v>
      </c>
      <c r="B2979" s="13" t="s">
        <v>158</v>
      </c>
      <c r="C2979" s="13" t="s">
        <v>214</v>
      </c>
      <c r="D2979" s="13">
        <v>26</v>
      </c>
      <c r="E2979" s="2" t="s">
        <v>216</v>
      </c>
      <c r="F2979" s="7">
        <v>937</v>
      </c>
      <c r="G2979" s="3">
        <f>F2979+(VLOOKUP(D2979,'(Semelles.Monument.€HT)'!C:G,3,FALSE()))</f>
        <v>1132</v>
      </c>
      <c r="H2979" s="4">
        <f>F2979+(VLOOKUP(D2979,'(Semelles.Monument.€HT)'!C:G,4,FALSE()))</f>
        <v>1188</v>
      </c>
      <c r="I2979" s="5">
        <f>F2979+(VLOOKUP(D2979,'(Semelles.Monument.€HT)'!C:G,5,FALSE()))</f>
        <v>1247</v>
      </c>
    </row>
    <row r="2980" spans="1:9" ht="26" customHeight="1">
      <c r="A2980" s="17" t="s">
        <v>156</v>
      </c>
      <c r="B2980" s="18" t="s">
        <v>159</v>
      </c>
      <c r="C2980" s="18" t="s">
        <v>214</v>
      </c>
      <c r="D2980" s="18">
        <v>9</v>
      </c>
      <c r="E2980" s="17" t="s">
        <v>215</v>
      </c>
      <c r="F2980" s="19">
        <v>890</v>
      </c>
      <c r="G2980" s="20">
        <f>F2980+(VLOOKUP(D2980,'(Semelles.Monument.€HT)'!C:G,3,FALSE()))</f>
        <v>1070</v>
      </c>
      <c r="H2980" s="21">
        <f>F2980+(VLOOKUP(D2980,'(Semelles.Monument.€HT)'!C:G,4,FALSE()))</f>
        <v>1122</v>
      </c>
      <c r="I2980" s="22">
        <f>F2980+(VLOOKUP(D2980,'(Semelles.Monument.€HT)'!C:G,5,FALSE()))</f>
        <v>1177</v>
      </c>
    </row>
    <row r="2981" spans="1:9" ht="26" customHeight="1">
      <c r="A2981" s="2" t="s">
        <v>156</v>
      </c>
      <c r="B2981" s="13" t="s">
        <v>163</v>
      </c>
      <c r="C2981" s="13" t="s">
        <v>214</v>
      </c>
      <c r="D2981" s="13">
        <v>29</v>
      </c>
      <c r="E2981" s="2" t="s">
        <v>216</v>
      </c>
      <c r="F2981" s="7">
        <v>1239</v>
      </c>
      <c r="G2981" s="3">
        <f>F2981+(VLOOKUP(D2981,'(Semelles.Monument.€HT)'!C:G,3,FALSE()))</f>
        <v>1479</v>
      </c>
      <c r="H2981" s="4">
        <f>F2981+(VLOOKUP(D2981,'(Semelles.Monument.€HT)'!C:G,4,FALSE()))</f>
        <v>1548</v>
      </c>
      <c r="I2981" s="5">
        <f>F2981+(VLOOKUP(D2981,'(Semelles.Monument.€HT)'!C:G,5,FALSE()))</f>
        <v>1621</v>
      </c>
    </row>
    <row r="2982" spans="1:9" ht="26" customHeight="1">
      <c r="A2982" s="17" t="s">
        <v>156</v>
      </c>
      <c r="B2982" s="18" t="s">
        <v>167</v>
      </c>
      <c r="C2982" s="18" t="s">
        <v>214</v>
      </c>
      <c r="D2982" s="18">
        <v>23</v>
      </c>
      <c r="E2982" s="17" t="s">
        <v>217</v>
      </c>
      <c r="F2982" s="19">
        <v>934</v>
      </c>
      <c r="G2982" s="20">
        <f>F2982+(VLOOKUP(D2982,'(Semelles.Monument.€HT)'!C:G,3,FALSE()))</f>
        <v>1126</v>
      </c>
      <c r="H2982" s="21">
        <f>F2982+(VLOOKUP(D2982,'(Semelles.Monument.€HT)'!C:G,4,FALSE()))</f>
        <v>1181</v>
      </c>
      <c r="I2982" s="22">
        <f>F2982+(VLOOKUP(D2982,'(Semelles.Monument.€HT)'!C:G,5,FALSE()))</f>
        <v>1239</v>
      </c>
    </row>
    <row r="2983" spans="1:9" ht="26" customHeight="1">
      <c r="A2983" s="2" t="s">
        <v>156</v>
      </c>
      <c r="B2983" s="13" t="s">
        <v>169</v>
      </c>
      <c r="C2983" s="13" t="s">
        <v>214</v>
      </c>
      <c r="D2983" s="13">
        <v>23</v>
      </c>
      <c r="E2983" s="2" t="s">
        <v>217</v>
      </c>
      <c r="F2983" s="7">
        <v>1053</v>
      </c>
      <c r="G2983" s="3">
        <f>F2983+(VLOOKUP(D2983,'(Semelles.Monument.€HT)'!C:G,3,FALSE()))</f>
        <v>1245</v>
      </c>
      <c r="H2983" s="4">
        <f>F2983+(VLOOKUP(D2983,'(Semelles.Monument.€HT)'!C:G,4,FALSE()))</f>
        <v>1300</v>
      </c>
      <c r="I2983" s="5">
        <f>F2983+(VLOOKUP(D2983,'(Semelles.Monument.€HT)'!C:G,5,FALSE()))</f>
        <v>1358</v>
      </c>
    </row>
    <row r="2984" spans="1:9" ht="26" customHeight="1">
      <c r="A2984" s="17" t="s">
        <v>156</v>
      </c>
      <c r="B2984" s="18" t="s">
        <v>171</v>
      </c>
      <c r="C2984" s="18" t="s">
        <v>214</v>
      </c>
      <c r="D2984" s="18">
        <v>23</v>
      </c>
      <c r="E2984" s="17" t="s">
        <v>217</v>
      </c>
      <c r="F2984" s="19">
        <v>972</v>
      </c>
      <c r="G2984" s="20">
        <f>F2984+(VLOOKUP(D2984,'(Semelles.Monument.€HT)'!C:G,3,FALSE()))</f>
        <v>1164</v>
      </c>
      <c r="H2984" s="21">
        <f>F2984+(VLOOKUP(D2984,'(Semelles.Monument.€HT)'!C:G,4,FALSE()))</f>
        <v>1219</v>
      </c>
      <c r="I2984" s="22">
        <f>F2984+(VLOOKUP(D2984,'(Semelles.Monument.€HT)'!C:G,5,FALSE()))</f>
        <v>1277</v>
      </c>
    </row>
    <row r="2985" spans="1:9" ht="26" customHeight="1">
      <c r="A2985" s="2" t="s">
        <v>156</v>
      </c>
      <c r="B2985" s="13" t="s">
        <v>173</v>
      </c>
      <c r="C2985" s="13" t="s">
        <v>214</v>
      </c>
      <c r="D2985" s="13">
        <v>27</v>
      </c>
      <c r="E2985" s="2" t="s">
        <v>218</v>
      </c>
      <c r="F2985" s="7">
        <v>1156</v>
      </c>
      <c r="G2985" s="3">
        <f>F2985+(VLOOKUP(D2985,'(Semelles.Monument.€HT)'!C:G,3,FALSE()))</f>
        <v>1364</v>
      </c>
      <c r="H2985" s="4">
        <f>F2985+(VLOOKUP(D2985,'(Semelles.Monument.€HT)'!C:G,4,FALSE()))</f>
        <v>1424</v>
      </c>
      <c r="I2985" s="5">
        <f>F2985+(VLOOKUP(D2985,'(Semelles.Monument.€HT)'!C:G,5,FALSE()))</f>
        <v>1523</v>
      </c>
    </row>
    <row r="2986" spans="1:9" ht="26" customHeight="1">
      <c r="A2986" s="17" t="s">
        <v>156</v>
      </c>
      <c r="B2986" s="18" t="s">
        <v>174</v>
      </c>
      <c r="C2986" s="18" t="s">
        <v>214</v>
      </c>
      <c r="D2986" s="18">
        <v>26</v>
      </c>
      <c r="E2986" s="17" t="s">
        <v>216</v>
      </c>
      <c r="F2986" s="19">
        <v>970</v>
      </c>
      <c r="G2986" s="20">
        <f>F2986+(VLOOKUP(D2986,'(Semelles.Monument.€HT)'!C:G,3,FALSE()))</f>
        <v>1165</v>
      </c>
      <c r="H2986" s="21">
        <f>F2986+(VLOOKUP(D2986,'(Semelles.Monument.€HT)'!C:G,4,FALSE()))</f>
        <v>1221</v>
      </c>
      <c r="I2986" s="22">
        <f>F2986+(VLOOKUP(D2986,'(Semelles.Monument.€HT)'!C:G,5,FALSE()))</f>
        <v>1280</v>
      </c>
    </row>
    <row r="2987" spans="1:9" ht="26" customHeight="1">
      <c r="A2987" s="2" t="s">
        <v>156</v>
      </c>
      <c r="B2987" s="13" t="s">
        <v>175</v>
      </c>
      <c r="C2987" s="13" t="s">
        <v>214</v>
      </c>
      <c r="D2987" s="13">
        <v>23</v>
      </c>
      <c r="E2987" s="2" t="s">
        <v>217</v>
      </c>
      <c r="F2987" s="7">
        <v>1228</v>
      </c>
      <c r="G2987" s="3">
        <f>F2987+(VLOOKUP(D2987,'(Semelles.Monument.€HT)'!C:G,3,FALSE()))</f>
        <v>1420</v>
      </c>
      <c r="H2987" s="4">
        <f>F2987+(VLOOKUP(D2987,'(Semelles.Monument.€HT)'!C:G,4,FALSE()))</f>
        <v>1475</v>
      </c>
      <c r="I2987" s="5">
        <f>F2987+(VLOOKUP(D2987,'(Semelles.Monument.€HT)'!C:G,5,FALSE()))</f>
        <v>1533</v>
      </c>
    </row>
    <row r="2988" spans="1:9" ht="26" customHeight="1">
      <c r="A2988" s="17" t="s">
        <v>156</v>
      </c>
      <c r="B2988" s="18" t="s">
        <v>176</v>
      </c>
      <c r="C2988" s="18" t="s">
        <v>214</v>
      </c>
      <c r="D2988" s="18">
        <v>9</v>
      </c>
      <c r="E2988" s="17" t="s">
        <v>215</v>
      </c>
      <c r="F2988" s="19">
        <v>1259</v>
      </c>
      <c r="G2988" s="20">
        <f>F2988+(VLOOKUP(D2988,'(Semelles.Monument.€HT)'!C:G,3,FALSE()))</f>
        <v>1439</v>
      </c>
      <c r="H2988" s="21">
        <f>F2988+(VLOOKUP(D2988,'(Semelles.Monument.€HT)'!C:G,4,FALSE()))</f>
        <v>1491</v>
      </c>
      <c r="I2988" s="22">
        <f>F2988+(VLOOKUP(D2988,'(Semelles.Monument.€HT)'!C:G,5,FALSE()))</f>
        <v>1546</v>
      </c>
    </row>
  </sheetData>
  <sheetProtection sheet="1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F145"/>
  <sheetViews>
    <sheetView zoomScale="55" zoomScaleNormal="55" workbookViewId="0">
      <pane ySplit="1" topLeftCell="A41" activePane="bottomLeft" state="frozen"/>
      <selection pane="bottomLeft" activeCell="K49" sqref="K49"/>
    </sheetView>
  </sheetViews>
  <sheetFormatPr baseColWidth="10" defaultRowHeight="14.25"/>
  <cols>
    <col min="1" max="1" width="26.73046875" customWidth="1"/>
    <col min="2" max="2" width="34.19921875" customWidth="1"/>
    <col min="3" max="4" width="10.19921875" customWidth="1"/>
    <col min="5" max="5" width="36.06640625" customWidth="1"/>
    <col min="6" max="6" width="17" customWidth="1"/>
  </cols>
  <sheetData>
    <row r="1" spans="1:6" s="8" customFormat="1" ht="73.150000000000006" customHeight="1">
      <c r="A1" s="8" t="s">
        <v>87</v>
      </c>
      <c r="B1" s="8" t="s">
        <v>88</v>
      </c>
      <c r="C1" s="8" t="s">
        <v>89</v>
      </c>
      <c r="D1" s="9" t="s">
        <v>219</v>
      </c>
      <c r="E1" s="27" t="s">
        <v>69</v>
      </c>
      <c r="F1" s="10" t="s">
        <v>220</v>
      </c>
    </row>
    <row r="2" spans="1:6" s="12" customFormat="1" ht="26" customHeight="1">
      <c r="A2" s="18" t="s">
        <v>221</v>
      </c>
      <c r="B2" s="18" t="s">
        <v>222</v>
      </c>
      <c r="C2" s="18" t="s">
        <v>97</v>
      </c>
      <c r="D2" s="18">
        <v>1</v>
      </c>
      <c r="E2" s="17" t="s">
        <v>98</v>
      </c>
      <c r="F2" s="19">
        <f>Tableau2[[#This Row],[130 x 230 x 5]]</f>
        <v>158</v>
      </c>
    </row>
    <row r="3" spans="1:6" s="12" customFormat="1" ht="26" customHeight="1">
      <c r="A3" s="13" t="s">
        <v>221</v>
      </c>
      <c r="B3" s="13" t="s">
        <v>222</v>
      </c>
      <c r="C3" s="13" t="s">
        <v>97</v>
      </c>
      <c r="D3" s="13">
        <v>2</v>
      </c>
      <c r="E3" s="2" t="s">
        <v>99</v>
      </c>
      <c r="F3" s="7">
        <f>Tableau2[[#This Row],[130 x 230 x 5]]</f>
        <v>158</v>
      </c>
    </row>
    <row r="4" spans="1:6" s="12" customFormat="1" ht="26" customHeight="1">
      <c r="A4" s="18" t="s">
        <v>221</v>
      </c>
      <c r="B4" s="18" t="s">
        <v>222</v>
      </c>
      <c r="C4" s="18" t="s">
        <v>97</v>
      </c>
      <c r="D4" s="18">
        <v>3</v>
      </c>
      <c r="E4" s="17" t="s">
        <v>100</v>
      </c>
      <c r="F4" s="19">
        <f>Tableau2[[#This Row],[130 x 230 x 5]]</f>
        <v>176</v>
      </c>
    </row>
    <row r="5" spans="1:6" s="12" customFormat="1" ht="26" customHeight="1">
      <c r="A5" s="13" t="s">
        <v>221</v>
      </c>
      <c r="B5" s="13" t="s">
        <v>222</v>
      </c>
      <c r="C5" s="13" t="s">
        <v>97</v>
      </c>
      <c r="D5" s="13">
        <v>4</v>
      </c>
      <c r="E5" s="2" t="s">
        <v>101</v>
      </c>
      <c r="F5" s="7">
        <f>Tableau2[[#This Row],[130 x 230 x 5]]</f>
        <v>179</v>
      </c>
    </row>
    <row r="6" spans="1:6" s="12" customFormat="1" ht="26" customHeight="1">
      <c r="A6" s="18" t="s">
        <v>221</v>
      </c>
      <c r="B6" s="18" t="s">
        <v>222</v>
      </c>
      <c r="C6" s="18" t="s">
        <v>97</v>
      </c>
      <c r="D6" s="18">
        <v>5</v>
      </c>
      <c r="E6" s="17" t="s">
        <v>102</v>
      </c>
      <c r="F6" s="19">
        <f>Tableau2[[#This Row],[130 x 230 x 5]]</f>
        <v>179</v>
      </c>
    </row>
    <row r="7" spans="1:6" s="12" customFormat="1" ht="26" customHeight="1">
      <c r="A7" s="13" t="s">
        <v>221</v>
      </c>
      <c r="B7" s="13" t="s">
        <v>222</v>
      </c>
      <c r="C7" s="13" t="s">
        <v>97</v>
      </c>
      <c r="D7" s="13">
        <v>6</v>
      </c>
      <c r="E7" s="2" t="s">
        <v>103</v>
      </c>
      <c r="F7" s="7">
        <f>Tableau2[[#This Row],[130 x 230 x 5]]</f>
        <v>180</v>
      </c>
    </row>
    <row r="8" spans="1:6" s="12" customFormat="1" ht="26" customHeight="1">
      <c r="A8" s="18" t="s">
        <v>221</v>
      </c>
      <c r="B8" s="18" t="s">
        <v>222</v>
      </c>
      <c r="C8" s="18" t="s">
        <v>97</v>
      </c>
      <c r="D8" s="18">
        <v>7</v>
      </c>
      <c r="E8" s="17" t="s">
        <v>104</v>
      </c>
      <c r="F8" s="19">
        <f>Tableau2[[#This Row],[130 x 230 x 5]]</f>
        <v>180</v>
      </c>
    </row>
    <row r="9" spans="1:6" s="12" customFormat="1" ht="26" customHeight="1">
      <c r="A9" s="13" t="s">
        <v>221</v>
      </c>
      <c r="B9" s="13" t="s">
        <v>222</v>
      </c>
      <c r="C9" s="13" t="s">
        <v>97</v>
      </c>
      <c r="D9" s="13">
        <v>8</v>
      </c>
      <c r="E9" s="2" t="s">
        <v>105</v>
      </c>
      <c r="F9" s="7">
        <f>Tableau2[[#This Row],[130 x 230 x 5]]</f>
        <v>180</v>
      </c>
    </row>
    <row r="10" spans="1:6" s="12" customFormat="1" ht="26" customHeight="1">
      <c r="A10" s="18" t="s">
        <v>221</v>
      </c>
      <c r="B10" s="18" t="s">
        <v>222</v>
      </c>
      <c r="C10" s="18" t="s">
        <v>97</v>
      </c>
      <c r="D10" s="18">
        <v>9</v>
      </c>
      <c r="E10" s="17" t="s">
        <v>106</v>
      </c>
      <c r="F10" s="19">
        <f>Tableau2[[#This Row],[130 x 230 x 5]]</f>
        <v>180</v>
      </c>
    </row>
    <row r="11" spans="1:6" s="12" customFormat="1" ht="26" customHeight="1">
      <c r="A11" s="13" t="s">
        <v>221</v>
      </c>
      <c r="B11" s="13" t="s">
        <v>222</v>
      </c>
      <c r="C11" s="13" t="s">
        <v>97</v>
      </c>
      <c r="D11" s="13">
        <v>10</v>
      </c>
      <c r="E11" s="2" t="s">
        <v>107</v>
      </c>
      <c r="F11" s="7">
        <f>Tableau2[[#This Row],[130 x 230 x 5]]</f>
        <v>180</v>
      </c>
    </row>
    <row r="12" spans="1:6" s="12" customFormat="1" ht="26" customHeight="1">
      <c r="A12" s="18" t="s">
        <v>221</v>
      </c>
      <c r="B12" s="18" t="s">
        <v>222</v>
      </c>
      <c r="C12" s="18" t="s">
        <v>97</v>
      </c>
      <c r="D12" s="18">
        <v>11</v>
      </c>
      <c r="E12" s="17" t="s">
        <v>108</v>
      </c>
      <c r="F12" s="19">
        <f>Tableau2[[#This Row],[130 x 230 x 5]]</f>
        <v>180</v>
      </c>
    </row>
    <row r="13" spans="1:6" s="12" customFormat="1" ht="26" customHeight="1">
      <c r="A13" s="13" t="s">
        <v>221</v>
      </c>
      <c r="B13" s="13" t="s">
        <v>222</v>
      </c>
      <c r="C13" s="13" t="s">
        <v>97</v>
      </c>
      <c r="D13" s="13">
        <v>12</v>
      </c>
      <c r="E13" s="2" t="s">
        <v>109</v>
      </c>
      <c r="F13" s="7">
        <f>Tableau2[[#This Row],[130 x 230 x 5]]</f>
        <v>182</v>
      </c>
    </row>
    <row r="14" spans="1:6" s="12" customFormat="1" ht="26" customHeight="1">
      <c r="A14" s="18" t="s">
        <v>221</v>
      </c>
      <c r="B14" s="18" t="s">
        <v>222</v>
      </c>
      <c r="C14" s="18" t="s">
        <v>97</v>
      </c>
      <c r="D14" s="18">
        <v>13</v>
      </c>
      <c r="E14" s="17" t="s">
        <v>110</v>
      </c>
      <c r="F14" s="19">
        <f>Tableau2[[#This Row],[130 x 230 x 5]]</f>
        <v>182</v>
      </c>
    </row>
    <row r="15" spans="1:6" s="12" customFormat="1" ht="26" customHeight="1">
      <c r="A15" s="13" t="s">
        <v>221</v>
      </c>
      <c r="B15" s="13" t="s">
        <v>222</v>
      </c>
      <c r="C15" s="13" t="s">
        <v>97</v>
      </c>
      <c r="D15" s="13">
        <v>14</v>
      </c>
      <c r="E15" s="2" t="s">
        <v>111</v>
      </c>
      <c r="F15" s="7">
        <f>Tableau2[[#This Row],[130 x 230 x 5]]</f>
        <v>183</v>
      </c>
    </row>
    <row r="16" spans="1:6" s="12" customFormat="1" ht="26" customHeight="1">
      <c r="A16" s="18" t="s">
        <v>221</v>
      </c>
      <c r="B16" s="18" t="s">
        <v>222</v>
      </c>
      <c r="C16" s="18" t="s">
        <v>97</v>
      </c>
      <c r="D16" s="18">
        <v>15</v>
      </c>
      <c r="E16" s="17" t="s">
        <v>112</v>
      </c>
      <c r="F16" s="19">
        <f>Tableau2[[#This Row],[130 x 230 x 5]]</f>
        <v>183</v>
      </c>
    </row>
    <row r="17" spans="1:6" s="12" customFormat="1" ht="26" customHeight="1">
      <c r="A17" s="13" t="s">
        <v>221</v>
      </c>
      <c r="B17" s="13" t="s">
        <v>222</v>
      </c>
      <c r="C17" s="13" t="s">
        <v>97</v>
      </c>
      <c r="D17" s="13">
        <v>16</v>
      </c>
      <c r="E17" s="2" t="s">
        <v>113</v>
      </c>
      <c r="F17" s="7">
        <f>Tableau2[[#This Row],[130 x 230 x 5]]</f>
        <v>183</v>
      </c>
    </row>
    <row r="18" spans="1:6" s="12" customFormat="1" ht="26" customHeight="1">
      <c r="A18" s="18" t="s">
        <v>221</v>
      </c>
      <c r="B18" s="18" t="s">
        <v>222</v>
      </c>
      <c r="C18" s="18" t="s">
        <v>97</v>
      </c>
      <c r="D18" s="18">
        <v>17</v>
      </c>
      <c r="E18" s="17" t="s">
        <v>114</v>
      </c>
      <c r="F18" s="19">
        <f>Tableau2[[#This Row],[130 x 230 x 5]]</f>
        <v>186</v>
      </c>
    </row>
    <row r="19" spans="1:6" s="12" customFormat="1" ht="26" customHeight="1">
      <c r="A19" s="13" t="s">
        <v>221</v>
      </c>
      <c r="B19" s="13" t="s">
        <v>222</v>
      </c>
      <c r="C19" s="13" t="s">
        <v>97</v>
      </c>
      <c r="D19" s="13">
        <v>18</v>
      </c>
      <c r="E19" s="2" t="s">
        <v>115</v>
      </c>
      <c r="F19" s="7">
        <f>Tableau2[[#This Row],[130 x 230 x 5]]</f>
        <v>186</v>
      </c>
    </row>
    <row r="20" spans="1:6" s="12" customFormat="1" ht="26" customHeight="1">
      <c r="A20" s="18" t="s">
        <v>221</v>
      </c>
      <c r="B20" s="18" t="s">
        <v>222</v>
      </c>
      <c r="C20" s="18" t="s">
        <v>97</v>
      </c>
      <c r="D20" s="18">
        <v>19</v>
      </c>
      <c r="E20" s="17" t="s">
        <v>116</v>
      </c>
      <c r="F20" s="19">
        <f>Tableau2[[#This Row],[130 x 230 x 5]]</f>
        <v>186</v>
      </c>
    </row>
    <row r="21" spans="1:6" s="12" customFormat="1" ht="26" customHeight="1">
      <c r="A21" s="13" t="s">
        <v>221</v>
      </c>
      <c r="B21" s="13" t="s">
        <v>222</v>
      </c>
      <c r="C21" s="13" t="s">
        <v>97</v>
      </c>
      <c r="D21" s="13">
        <v>20</v>
      </c>
      <c r="E21" s="2" t="s">
        <v>117</v>
      </c>
      <c r="F21" s="7">
        <f>Tableau2[[#This Row],[130 x 230 x 5]]</f>
        <v>188</v>
      </c>
    </row>
    <row r="22" spans="1:6" s="12" customFormat="1" ht="26" customHeight="1">
      <c r="A22" s="18" t="s">
        <v>221</v>
      </c>
      <c r="B22" s="18" t="s">
        <v>222</v>
      </c>
      <c r="C22" s="18" t="s">
        <v>97</v>
      </c>
      <c r="D22" s="18">
        <v>21</v>
      </c>
      <c r="E22" s="17" t="s">
        <v>118</v>
      </c>
      <c r="F22" s="19">
        <f>Tableau2[[#This Row],[130 x 230 x 5]]</f>
        <v>189</v>
      </c>
    </row>
    <row r="23" spans="1:6" s="12" customFormat="1" ht="26" customHeight="1">
      <c r="A23" s="13" t="s">
        <v>221</v>
      </c>
      <c r="B23" s="13" t="s">
        <v>222</v>
      </c>
      <c r="C23" s="13" t="s">
        <v>97</v>
      </c>
      <c r="D23" s="13">
        <v>22</v>
      </c>
      <c r="E23" s="2" t="s">
        <v>119</v>
      </c>
      <c r="F23" s="7">
        <f>Tableau2[[#This Row],[130 x 230 x 5]]</f>
        <v>189</v>
      </c>
    </row>
    <row r="24" spans="1:6" s="12" customFormat="1" ht="26" customHeight="1">
      <c r="A24" s="18" t="s">
        <v>221</v>
      </c>
      <c r="B24" s="18" t="s">
        <v>222</v>
      </c>
      <c r="C24" s="18" t="s">
        <v>97</v>
      </c>
      <c r="D24" s="18">
        <v>23</v>
      </c>
      <c r="E24" s="17" t="s">
        <v>120</v>
      </c>
      <c r="F24" s="19">
        <f>Tableau2[[#This Row],[130 x 230 x 5]]</f>
        <v>192</v>
      </c>
    </row>
    <row r="25" spans="1:6" s="12" customFormat="1" ht="26" customHeight="1">
      <c r="A25" s="13" t="s">
        <v>221</v>
      </c>
      <c r="B25" s="13" t="s">
        <v>222</v>
      </c>
      <c r="C25" s="13" t="s">
        <v>97</v>
      </c>
      <c r="D25" s="13">
        <v>24</v>
      </c>
      <c r="E25" s="2" t="s">
        <v>121</v>
      </c>
      <c r="F25" s="7">
        <f>Tableau2[[#This Row],[130 x 230 x 5]]</f>
        <v>192</v>
      </c>
    </row>
    <row r="26" spans="1:6" s="12" customFormat="1" ht="26" customHeight="1">
      <c r="A26" s="18" t="s">
        <v>221</v>
      </c>
      <c r="B26" s="18" t="s">
        <v>222</v>
      </c>
      <c r="C26" s="18" t="s">
        <v>97</v>
      </c>
      <c r="D26" s="18">
        <v>25</v>
      </c>
      <c r="E26" s="17" t="s">
        <v>122</v>
      </c>
      <c r="F26" s="19">
        <f>Tableau2[[#This Row],[130 x 230 x 5]]</f>
        <v>192</v>
      </c>
    </row>
    <row r="27" spans="1:6" s="12" customFormat="1" ht="26" customHeight="1">
      <c r="A27" s="13" t="s">
        <v>221</v>
      </c>
      <c r="B27" s="13" t="s">
        <v>222</v>
      </c>
      <c r="C27" s="13" t="s">
        <v>97</v>
      </c>
      <c r="D27" s="13">
        <v>26</v>
      </c>
      <c r="E27" s="2" t="s">
        <v>123</v>
      </c>
      <c r="F27" s="7">
        <f>Tableau2[[#This Row],[130 x 230 x 5]]</f>
        <v>195</v>
      </c>
    </row>
    <row r="28" spans="1:6" s="12" customFormat="1" ht="26" customHeight="1">
      <c r="A28" s="18" t="s">
        <v>221</v>
      </c>
      <c r="B28" s="18" t="s">
        <v>222</v>
      </c>
      <c r="C28" s="18" t="s">
        <v>97</v>
      </c>
      <c r="D28" s="18">
        <v>27</v>
      </c>
      <c r="E28" s="17" t="s">
        <v>124</v>
      </c>
      <c r="F28" s="19">
        <f>Tableau2[[#This Row],[130 x 230 x 5]]</f>
        <v>208</v>
      </c>
    </row>
    <row r="29" spans="1:6" s="12" customFormat="1" ht="26" customHeight="1">
      <c r="A29" s="13" t="s">
        <v>221</v>
      </c>
      <c r="B29" s="13" t="s">
        <v>222</v>
      </c>
      <c r="C29" s="13" t="s">
        <v>97</v>
      </c>
      <c r="D29" s="13">
        <v>28</v>
      </c>
      <c r="E29" s="2" t="s">
        <v>125</v>
      </c>
      <c r="F29" s="7">
        <f>Tableau2[[#This Row],[130 x 230 x 5]]</f>
        <v>230</v>
      </c>
    </row>
    <row r="30" spans="1:6" s="12" customFormat="1" ht="26" customHeight="1">
      <c r="A30" s="18" t="s">
        <v>221</v>
      </c>
      <c r="B30" s="18" t="s">
        <v>222</v>
      </c>
      <c r="C30" s="18" t="s">
        <v>97</v>
      </c>
      <c r="D30" s="18">
        <v>29</v>
      </c>
      <c r="E30" s="17" t="s">
        <v>126</v>
      </c>
      <c r="F30" s="19">
        <f>Tableau2[[#This Row],[130 x 230 x 5]]</f>
        <v>240</v>
      </c>
    </row>
    <row r="31" spans="1:6" s="12" customFormat="1" ht="26" customHeight="1">
      <c r="A31" s="13" t="s">
        <v>221</v>
      </c>
      <c r="B31" s="13" t="s">
        <v>222</v>
      </c>
      <c r="C31" s="13" t="s">
        <v>97</v>
      </c>
      <c r="D31" s="13">
        <v>30</v>
      </c>
      <c r="E31" s="2" t="s">
        <v>127</v>
      </c>
      <c r="F31" s="7">
        <f>Tableau2[[#This Row],[130 x 230 x 5]]</f>
        <v>240</v>
      </c>
    </row>
    <row r="32" spans="1:6" s="12" customFormat="1" ht="26" customHeight="1">
      <c r="A32" s="18" t="s">
        <v>221</v>
      </c>
      <c r="B32" s="18" t="s">
        <v>222</v>
      </c>
      <c r="C32" s="18" t="s">
        <v>128</v>
      </c>
      <c r="D32" s="18">
        <v>31</v>
      </c>
      <c r="E32" s="17" t="s">
        <v>129</v>
      </c>
      <c r="F32" s="19">
        <f>Tableau2[[#This Row],[130 x 230 x 5]]</f>
        <v>132</v>
      </c>
    </row>
    <row r="33" spans="1:6" s="12" customFormat="1" ht="26" customHeight="1">
      <c r="A33" s="13" t="s">
        <v>221</v>
      </c>
      <c r="B33" s="13" t="s">
        <v>222</v>
      </c>
      <c r="C33" s="13" t="s">
        <v>128</v>
      </c>
      <c r="D33" s="13">
        <v>32</v>
      </c>
      <c r="E33" s="2" t="s">
        <v>130</v>
      </c>
      <c r="F33" s="7">
        <f>Tableau2[[#This Row],[130 x 230 x 5]]</f>
        <v>134</v>
      </c>
    </row>
    <row r="34" spans="1:6" s="12" customFormat="1" ht="26" customHeight="1">
      <c r="A34" s="18" t="s">
        <v>221</v>
      </c>
      <c r="B34" s="18" t="s">
        <v>222</v>
      </c>
      <c r="C34" s="18" t="s">
        <v>128</v>
      </c>
      <c r="D34" s="18">
        <v>33</v>
      </c>
      <c r="E34" s="17" t="s">
        <v>131</v>
      </c>
      <c r="F34" s="19">
        <f>Tableau2[[#This Row],[130 x 230 x 5]]</f>
        <v>134</v>
      </c>
    </row>
    <row r="35" spans="1:6" s="12" customFormat="1" ht="26" customHeight="1">
      <c r="A35" s="13" t="s">
        <v>221</v>
      </c>
      <c r="B35" s="13" t="s">
        <v>222</v>
      </c>
      <c r="C35" s="13" t="s">
        <v>128</v>
      </c>
      <c r="D35" s="13">
        <v>34</v>
      </c>
      <c r="E35" s="2" t="s">
        <v>132</v>
      </c>
      <c r="F35" s="7">
        <f>Tableau2[[#This Row],[130 x 230 x 5]]</f>
        <v>135</v>
      </c>
    </row>
    <row r="36" spans="1:6" s="12" customFormat="1" ht="26" customHeight="1">
      <c r="A36" s="18" t="s">
        <v>221</v>
      </c>
      <c r="B36" s="18" t="s">
        <v>222</v>
      </c>
      <c r="C36" s="18" t="s">
        <v>128</v>
      </c>
      <c r="D36" s="18">
        <v>35</v>
      </c>
      <c r="E36" s="17" t="s">
        <v>133</v>
      </c>
      <c r="F36" s="19">
        <f>Tableau2[[#This Row],[130 x 230 x 5]]</f>
        <v>163</v>
      </c>
    </row>
    <row r="37" spans="1:6" s="12" customFormat="1" ht="26" customHeight="1">
      <c r="A37" s="13" t="s">
        <v>221</v>
      </c>
      <c r="B37" s="13" t="s">
        <v>222</v>
      </c>
      <c r="C37" s="13" t="s">
        <v>128</v>
      </c>
      <c r="D37" s="13">
        <v>36</v>
      </c>
      <c r="E37" s="2" t="s">
        <v>134</v>
      </c>
      <c r="F37" s="7">
        <f>Tableau2[[#This Row],[130 x 230 x 5]]</f>
        <v>168</v>
      </c>
    </row>
    <row r="38" spans="1:6" s="12" customFormat="1" ht="26" customHeight="1">
      <c r="A38" s="18" t="s">
        <v>221</v>
      </c>
      <c r="B38" s="18" t="s">
        <v>222</v>
      </c>
      <c r="C38" s="18" t="s">
        <v>128</v>
      </c>
      <c r="D38" s="18">
        <v>37</v>
      </c>
      <c r="E38" s="17" t="s">
        <v>135</v>
      </c>
      <c r="F38" s="19">
        <f>Tableau2[[#This Row],[130 x 230 x 5]]</f>
        <v>208</v>
      </c>
    </row>
    <row r="39" spans="1:6" s="12" customFormat="1" ht="26" customHeight="1">
      <c r="A39" s="13" t="s">
        <v>221</v>
      </c>
      <c r="B39" s="13" t="s">
        <v>222</v>
      </c>
      <c r="C39" s="13" t="s">
        <v>128</v>
      </c>
      <c r="D39" s="13">
        <v>38</v>
      </c>
      <c r="E39" s="2" t="s">
        <v>136</v>
      </c>
      <c r="F39" s="7">
        <f>Tableau2[[#This Row],[130 x 230 x 5]]</f>
        <v>220</v>
      </c>
    </row>
    <row r="40" spans="1:6" s="12" customFormat="1" ht="26" customHeight="1">
      <c r="A40" s="18" t="s">
        <v>221</v>
      </c>
      <c r="B40" s="18" t="s">
        <v>222</v>
      </c>
      <c r="C40" s="18" t="s">
        <v>128</v>
      </c>
      <c r="D40" s="18">
        <v>39</v>
      </c>
      <c r="E40" s="17" t="s">
        <v>137</v>
      </c>
      <c r="F40" s="19">
        <f>Tableau2[[#This Row],[130 x 230 x 5]]</f>
        <v>226</v>
      </c>
    </row>
    <row r="41" spans="1:6" s="12" customFormat="1" ht="26" customHeight="1">
      <c r="A41" s="13" t="s">
        <v>221</v>
      </c>
      <c r="B41" s="13" t="s">
        <v>222</v>
      </c>
      <c r="C41" s="13" t="s">
        <v>128</v>
      </c>
      <c r="D41" s="13">
        <v>40</v>
      </c>
      <c r="E41" s="2" t="s">
        <v>138</v>
      </c>
      <c r="F41" s="7">
        <f>Tableau2[[#This Row],[130 x 230 x 5]]</f>
        <v>232</v>
      </c>
    </row>
    <row r="42" spans="1:6" s="12" customFormat="1" ht="26" customHeight="1">
      <c r="A42" s="18" t="s">
        <v>221</v>
      </c>
      <c r="B42" s="18" t="s">
        <v>222</v>
      </c>
      <c r="C42" s="18" t="s">
        <v>128</v>
      </c>
      <c r="D42" s="18">
        <v>41</v>
      </c>
      <c r="E42" s="17" t="s">
        <v>139</v>
      </c>
      <c r="F42" s="19">
        <f>Tableau2[[#This Row],[130 x 230 x 5]]</f>
        <v>247</v>
      </c>
    </row>
    <row r="43" spans="1:6" s="12" customFormat="1" ht="26" customHeight="1">
      <c r="A43" s="13" t="s">
        <v>221</v>
      </c>
      <c r="B43" s="13" t="s">
        <v>222</v>
      </c>
      <c r="C43" s="13" t="s">
        <v>128</v>
      </c>
      <c r="D43" s="13">
        <v>42</v>
      </c>
      <c r="E43" s="2" t="s">
        <v>140</v>
      </c>
      <c r="F43" s="7">
        <f>Tableau2[[#This Row],[130 x 230 x 5]]</f>
        <v>271</v>
      </c>
    </row>
    <row r="44" spans="1:6" s="12" customFormat="1" ht="26" customHeight="1">
      <c r="A44" s="18" t="s">
        <v>221</v>
      </c>
      <c r="B44" s="18" t="s">
        <v>222</v>
      </c>
      <c r="C44" s="18" t="s">
        <v>128</v>
      </c>
      <c r="D44" s="18">
        <v>43</v>
      </c>
      <c r="E44" s="17" t="s">
        <v>141</v>
      </c>
      <c r="F44" s="19">
        <f>Tableau2[[#This Row],[130 x 230 x 5]]</f>
        <v>271</v>
      </c>
    </row>
    <row r="45" spans="1:6" s="12" customFormat="1" ht="26" customHeight="1">
      <c r="A45" s="13" t="s">
        <v>221</v>
      </c>
      <c r="B45" s="13" t="s">
        <v>222</v>
      </c>
      <c r="C45" s="13" t="s">
        <v>128</v>
      </c>
      <c r="D45" s="13">
        <v>44</v>
      </c>
      <c r="E45" s="2" t="s">
        <v>142</v>
      </c>
      <c r="F45" s="7">
        <f>Tableau2[[#This Row],[130 x 230 x 5]]</f>
        <v>275</v>
      </c>
    </row>
    <row r="46" spans="1:6" s="12" customFormat="1" ht="26" customHeight="1">
      <c r="A46" s="18" t="s">
        <v>221</v>
      </c>
      <c r="B46" s="18" t="s">
        <v>222</v>
      </c>
      <c r="C46" s="18" t="s">
        <v>128</v>
      </c>
      <c r="D46" s="18">
        <v>45</v>
      </c>
      <c r="E46" s="17" t="s">
        <v>143</v>
      </c>
      <c r="F46" s="19">
        <f>Tableau2[[#This Row],[130 x 230 x 5]]</f>
        <v>278</v>
      </c>
    </row>
    <row r="47" spans="1:6" s="12" customFormat="1" ht="26" customHeight="1">
      <c r="A47" s="13" t="s">
        <v>221</v>
      </c>
      <c r="B47" s="13" t="s">
        <v>222</v>
      </c>
      <c r="C47" s="13" t="s">
        <v>128</v>
      </c>
      <c r="D47" s="13">
        <v>46</v>
      </c>
      <c r="E47" s="2" t="s">
        <v>144</v>
      </c>
      <c r="F47" s="7">
        <f>Tableau2[[#This Row],[130 x 230 x 5]]</f>
        <v>278</v>
      </c>
    </row>
    <row r="48" spans="1:6" s="12" customFormat="1" ht="26" customHeight="1">
      <c r="A48" s="18" t="s">
        <v>221</v>
      </c>
      <c r="B48" s="18" t="s">
        <v>222</v>
      </c>
      <c r="C48" s="18" t="s">
        <v>128</v>
      </c>
      <c r="D48" s="18">
        <v>47</v>
      </c>
      <c r="E48" s="17" t="s">
        <v>145</v>
      </c>
      <c r="F48" s="19">
        <f>Tableau2[[#This Row],[130 x 230 x 5]]</f>
        <v>284</v>
      </c>
    </row>
    <row r="49" spans="1:6" s="12" customFormat="1" ht="26" customHeight="1">
      <c r="A49" s="13" t="s">
        <v>221</v>
      </c>
      <c r="B49" s="13" t="s">
        <v>222</v>
      </c>
      <c r="C49" s="13" t="s">
        <v>128</v>
      </c>
      <c r="D49" s="13">
        <v>48</v>
      </c>
      <c r="E49" s="2" t="s">
        <v>146</v>
      </c>
      <c r="F49" s="7">
        <f>Tableau2[[#This Row],[130 x 230 x 5]]</f>
        <v>287</v>
      </c>
    </row>
    <row r="50" spans="1:6" s="12" customFormat="1" ht="26" customHeight="1">
      <c r="A50" s="18" t="s">
        <v>221</v>
      </c>
      <c r="B50" s="18" t="s">
        <v>223</v>
      </c>
      <c r="C50" s="18" t="s">
        <v>97</v>
      </c>
      <c r="D50" s="18">
        <v>1</v>
      </c>
      <c r="E50" s="17" t="s">
        <v>98</v>
      </c>
      <c r="F50" s="19">
        <f>'(Semelles.Monument.€HT)'!F2</f>
        <v>204</v>
      </c>
    </row>
    <row r="51" spans="1:6" s="12" customFormat="1" ht="26" customHeight="1">
      <c r="A51" s="13" t="s">
        <v>221</v>
      </c>
      <c r="B51" s="13" t="s">
        <v>223</v>
      </c>
      <c r="C51" s="13" t="s">
        <v>97</v>
      </c>
      <c r="D51" s="13">
        <v>2</v>
      </c>
      <c r="E51" s="2" t="s">
        <v>99</v>
      </c>
      <c r="F51" s="7">
        <f>'(Semelles.Monument.€HT)'!F3</f>
        <v>204</v>
      </c>
    </row>
    <row r="52" spans="1:6" s="12" customFormat="1" ht="26" customHeight="1">
      <c r="A52" s="18" t="s">
        <v>221</v>
      </c>
      <c r="B52" s="18" t="s">
        <v>223</v>
      </c>
      <c r="C52" s="18" t="s">
        <v>97</v>
      </c>
      <c r="D52" s="18">
        <v>3</v>
      </c>
      <c r="E52" s="17" t="s">
        <v>100</v>
      </c>
      <c r="F52" s="19">
        <f>'(Semelles.Monument.€HT)'!F4</f>
        <v>227</v>
      </c>
    </row>
    <row r="53" spans="1:6" s="12" customFormat="1" ht="26" customHeight="1">
      <c r="A53" s="13" t="s">
        <v>221</v>
      </c>
      <c r="B53" s="13" t="s">
        <v>223</v>
      </c>
      <c r="C53" s="13" t="s">
        <v>97</v>
      </c>
      <c r="D53" s="13">
        <v>4</v>
      </c>
      <c r="E53" s="2" t="s">
        <v>101</v>
      </c>
      <c r="F53" s="7">
        <f>'(Semelles.Monument.€HT)'!F5</f>
        <v>231</v>
      </c>
    </row>
    <row r="54" spans="1:6" s="12" customFormat="1" ht="26" customHeight="1">
      <c r="A54" s="18" t="s">
        <v>221</v>
      </c>
      <c r="B54" s="18" t="s">
        <v>223</v>
      </c>
      <c r="C54" s="18" t="s">
        <v>97</v>
      </c>
      <c r="D54" s="18">
        <v>5</v>
      </c>
      <c r="E54" s="17" t="s">
        <v>102</v>
      </c>
      <c r="F54" s="19">
        <f>'(Semelles.Monument.€HT)'!F6</f>
        <v>231</v>
      </c>
    </row>
    <row r="55" spans="1:6" s="12" customFormat="1" ht="26" customHeight="1">
      <c r="A55" s="13" t="s">
        <v>221</v>
      </c>
      <c r="B55" s="13" t="s">
        <v>223</v>
      </c>
      <c r="C55" s="13" t="s">
        <v>97</v>
      </c>
      <c r="D55" s="13">
        <v>6</v>
      </c>
      <c r="E55" s="2" t="s">
        <v>103</v>
      </c>
      <c r="F55" s="7">
        <f>'(Semelles.Monument.€HT)'!F7</f>
        <v>232</v>
      </c>
    </row>
    <row r="56" spans="1:6" s="12" customFormat="1" ht="26" customHeight="1">
      <c r="A56" s="18" t="s">
        <v>221</v>
      </c>
      <c r="B56" s="18" t="s">
        <v>223</v>
      </c>
      <c r="C56" s="18" t="s">
        <v>97</v>
      </c>
      <c r="D56" s="18">
        <v>7</v>
      </c>
      <c r="E56" s="17" t="s">
        <v>104</v>
      </c>
      <c r="F56" s="19">
        <f>'(Semelles.Monument.€HT)'!F8</f>
        <v>232</v>
      </c>
    </row>
    <row r="57" spans="1:6" s="12" customFormat="1" ht="26" customHeight="1">
      <c r="A57" s="13" t="s">
        <v>221</v>
      </c>
      <c r="B57" s="13" t="s">
        <v>223</v>
      </c>
      <c r="C57" s="13" t="s">
        <v>97</v>
      </c>
      <c r="D57" s="13">
        <v>8</v>
      </c>
      <c r="E57" s="2" t="s">
        <v>105</v>
      </c>
      <c r="F57" s="7">
        <f>'(Semelles.Monument.€HT)'!F9</f>
        <v>232</v>
      </c>
    </row>
    <row r="58" spans="1:6" s="12" customFormat="1" ht="26" customHeight="1">
      <c r="A58" s="18" t="s">
        <v>221</v>
      </c>
      <c r="B58" s="18" t="s">
        <v>223</v>
      </c>
      <c r="C58" s="18" t="s">
        <v>97</v>
      </c>
      <c r="D58" s="18">
        <v>9</v>
      </c>
      <c r="E58" s="17" t="s">
        <v>106</v>
      </c>
      <c r="F58" s="19">
        <f>'(Semelles.Monument.€HT)'!F10</f>
        <v>232</v>
      </c>
    </row>
    <row r="59" spans="1:6" s="12" customFormat="1" ht="26" customHeight="1">
      <c r="A59" s="13" t="s">
        <v>221</v>
      </c>
      <c r="B59" s="13" t="s">
        <v>223</v>
      </c>
      <c r="C59" s="13" t="s">
        <v>97</v>
      </c>
      <c r="D59" s="13">
        <v>10</v>
      </c>
      <c r="E59" s="2" t="s">
        <v>107</v>
      </c>
      <c r="F59" s="7">
        <f>'(Semelles.Monument.€HT)'!F11</f>
        <v>232</v>
      </c>
    </row>
    <row r="60" spans="1:6" s="12" customFormat="1" ht="26" customHeight="1">
      <c r="A60" s="18" t="s">
        <v>221</v>
      </c>
      <c r="B60" s="18" t="s">
        <v>223</v>
      </c>
      <c r="C60" s="18" t="s">
        <v>97</v>
      </c>
      <c r="D60" s="18">
        <v>11</v>
      </c>
      <c r="E60" s="17" t="s">
        <v>108</v>
      </c>
      <c r="F60" s="19">
        <f>'(Semelles.Monument.€HT)'!F12</f>
        <v>232</v>
      </c>
    </row>
    <row r="61" spans="1:6" s="12" customFormat="1" ht="26" customHeight="1">
      <c r="A61" s="13" t="s">
        <v>221</v>
      </c>
      <c r="B61" s="13" t="s">
        <v>223</v>
      </c>
      <c r="C61" s="13" t="s">
        <v>97</v>
      </c>
      <c r="D61" s="13">
        <v>12</v>
      </c>
      <c r="E61" s="2" t="s">
        <v>109</v>
      </c>
      <c r="F61" s="7">
        <f>'(Semelles.Monument.€HT)'!F13</f>
        <v>235</v>
      </c>
    </row>
    <row r="62" spans="1:6" s="12" customFormat="1" ht="26" customHeight="1">
      <c r="A62" s="18" t="s">
        <v>221</v>
      </c>
      <c r="B62" s="18" t="s">
        <v>223</v>
      </c>
      <c r="C62" s="18" t="s">
        <v>97</v>
      </c>
      <c r="D62" s="18">
        <v>13</v>
      </c>
      <c r="E62" s="17" t="s">
        <v>110</v>
      </c>
      <c r="F62" s="19">
        <f>'(Semelles.Monument.€HT)'!F14</f>
        <v>235</v>
      </c>
    </row>
    <row r="63" spans="1:6" s="12" customFormat="1" ht="26" customHeight="1">
      <c r="A63" s="13" t="s">
        <v>221</v>
      </c>
      <c r="B63" s="13" t="s">
        <v>223</v>
      </c>
      <c r="C63" s="13" t="s">
        <v>97</v>
      </c>
      <c r="D63" s="13">
        <v>14</v>
      </c>
      <c r="E63" s="2" t="s">
        <v>111</v>
      </c>
      <c r="F63" s="7">
        <f>'(Semelles.Monument.€HT)'!F15</f>
        <v>236</v>
      </c>
    </row>
    <row r="64" spans="1:6" s="12" customFormat="1" ht="26" customHeight="1">
      <c r="A64" s="18" t="s">
        <v>221</v>
      </c>
      <c r="B64" s="18" t="s">
        <v>223</v>
      </c>
      <c r="C64" s="18" t="s">
        <v>97</v>
      </c>
      <c r="D64" s="18">
        <v>15</v>
      </c>
      <c r="E64" s="17" t="s">
        <v>112</v>
      </c>
      <c r="F64" s="19">
        <f>'(Semelles.Monument.€HT)'!F16</f>
        <v>236</v>
      </c>
    </row>
    <row r="65" spans="1:6" s="12" customFormat="1" ht="26" customHeight="1">
      <c r="A65" s="13" t="s">
        <v>221</v>
      </c>
      <c r="B65" s="13" t="s">
        <v>223</v>
      </c>
      <c r="C65" s="13" t="s">
        <v>97</v>
      </c>
      <c r="D65" s="13">
        <v>16</v>
      </c>
      <c r="E65" s="2" t="s">
        <v>113</v>
      </c>
      <c r="F65" s="7">
        <f>'(Semelles.Monument.€HT)'!F17</f>
        <v>236</v>
      </c>
    </row>
    <row r="66" spans="1:6" s="12" customFormat="1" ht="26" customHeight="1">
      <c r="A66" s="18" t="s">
        <v>221</v>
      </c>
      <c r="B66" s="18" t="s">
        <v>223</v>
      </c>
      <c r="C66" s="18" t="s">
        <v>97</v>
      </c>
      <c r="D66" s="18">
        <v>17</v>
      </c>
      <c r="E66" s="17" t="s">
        <v>114</v>
      </c>
      <c r="F66" s="19">
        <f>'(Semelles.Monument.€HT)'!F18</f>
        <v>240</v>
      </c>
    </row>
    <row r="67" spans="1:6" s="12" customFormat="1" ht="26" customHeight="1">
      <c r="A67" s="13" t="s">
        <v>221</v>
      </c>
      <c r="B67" s="13" t="s">
        <v>223</v>
      </c>
      <c r="C67" s="13" t="s">
        <v>97</v>
      </c>
      <c r="D67" s="13">
        <v>18</v>
      </c>
      <c r="E67" s="2" t="s">
        <v>115</v>
      </c>
      <c r="F67" s="7">
        <f>'(Semelles.Monument.€HT)'!F19</f>
        <v>240</v>
      </c>
    </row>
    <row r="68" spans="1:6" s="12" customFormat="1" ht="26" customHeight="1">
      <c r="A68" s="18" t="s">
        <v>221</v>
      </c>
      <c r="B68" s="18" t="s">
        <v>223</v>
      </c>
      <c r="C68" s="18" t="s">
        <v>97</v>
      </c>
      <c r="D68" s="18">
        <v>19</v>
      </c>
      <c r="E68" s="17" t="s">
        <v>116</v>
      </c>
      <c r="F68" s="19">
        <f>'(Semelles.Monument.€HT)'!F20</f>
        <v>240</v>
      </c>
    </row>
    <row r="69" spans="1:6" s="12" customFormat="1" ht="26" customHeight="1">
      <c r="A69" s="13" t="s">
        <v>221</v>
      </c>
      <c r="B69" s="13" t="s">
        <v>223</v>
      </c>
      <c r="C69" s="13" t="s">
        <v>97</v>
      </c>
      <c r="D69" s="13">
        <v>20</v>
      </c>
      <c r="E69" s="2" t="s">
        <v>117</v>
      </c>
      <c r="F69" s="7">
        <f>'(Semelles.Monument.€HT)'!F21</f>
        <v>242</v>
      </c>
    </row>
    <row r="70" spans="1:6" s="12" customFormat="1" ht="26" customHeight="1">
      <c r="A70" s="18" t="s">
        <v>221</v>
      </c>
      <c r="B70" s="18" t="s">
        <v>223</v>
      </c>
      <c r="C70" s="18" t="s">
        <v>97</v>
      </c>
      <c r="D70" s="18">
        <v>21</v>
      </c>
      <c r="E70" s="17" t="s">
        <v>118</v>
      </c>
      <c r="F70" s="19">
        <f>'(Semelles.Monument.€HT)'!F22</f>
        <v>243</v>
      </c>
    </row>
    <row r="71" spans="1:6" s="12" customFormat="1" ht="26" customHeight="1">
      <c r="A71" s="13" t="s">
        <v>221</v>
      </c>
      <c r="B71" s="13" t="s">
        <v>223</v>
      </c>
      <c r="C71" s="13" t="s">
        <v>97</v>
      </c>
      <c r="D71" s="13">
        <v>22</v>
      </c>
      <c r="E71" s="2" t="s">
        <v>119</v>
      </c>
      <c r="F71" s="7">
        <f>'(Semelles.Monument.€HT)'!F23</f>
        <v>243</v>
      </c>
    </row>
    <row r="72" spans="1:6" s="12" customFormat="1" ht="26" customHeight="1">
      <c r="A72" s="18" t="s">
        <v>221</v>
      </c>
      <c r="B72" s="18" t="s">
        <v>223</v>
      </c>
      <c r="C72" s="18" t="s">
        <v>97</v>
      </c>
      <c r="D72" s="18">
        <v>23</v>
      </c>
      <c r="E72" s="17" t="s">
        <v>120</v>
      </c>
      <c r="F72" s="19">
        <f>'(Semelles.Monument.€HT)'!F24</f>
        <v>247</v>
      </c>
    </row>
    <row r="73" spans="1:6" s="12" customFormat="1" ht="26" customHeight="1">
      <c r="A73" s="13" t="s">
        <v>221</v>
      </c>
      <c r="B73" s="13" t="s">
        <v>223</v>
      </c>
      <c r="C73" s="13" t="s">
        <v>97</v>
      </c>
      <c r="D73" s="13">
        <v>24</v>
      </c>
      <c r="E73" s="2" t="s">
        <v>121</v>
      </c>
      <c r="F73" s="7">
        <f>'(Semelles.Monument.€HT)'!F25</f>
        <v>247</v>
      </c>
    </row>
    <row r="74" spans="1:6" s="12" customFormat="1" ht="26" customHeight="1">
      <c r="A74" s="18" t="s">
        <v>221</v>
      </c>
      <c r="B74" s="18" t="s">
        <v>223</v>
      </c>
      <c r="C74" s="18" t="s">
        <v>97</v>
      </c>
      <c r="D74" s="18">
        <v>25</v>
      </c>
      <c r="E74" s="17" t="s">
        <v>122</v>
      </c>
      <c r="F74" s="19">
        <f>'(Semelles.Monument.€HT)'!F26</f>
        <v>247</v>
      </c>
    </row>
    <row r="75" spans="1:6" s="12" customFormat="1" ht="26" customHeight="1">
      <c r="A75" s="13" t="s">
        <v>221</v>
      </c>
      <c r="B75" s="13" t="s">
        <v>223</v>
      </c>
      <c r="C75" s="13" t="s">
        <v>97</v>
      </c>
      <c r="D75" s="13">
        <v>26</v>
      </c>
      <c r="E75" s="2" t="s">
        <v>123</v>
      </c>
      <c r="F75" s="7">
        <f>'(Semelles.Monument.€HT)'!F27</f>
        <v>251</v>
      </c>
    </row>
    <row r="76" spans="1:6" s="12" customFormat="1" ht="26" customHeight="1">
      <c r="A76" s="18" t="s">
        <v>221</v>
      </c>
      <c r="B76" s="18" t="s">
        <v>223</v>
      </c>
      <c r="C76" s="18" t="s">
        <v>97</v>
      </c>
      <c r="D76" s="18">
        <v>27</v>
      </c>
      <c r="E76" s="17" t="s">
        <v>124</v>
      </c>
      <c r="F76" s="19">
        <f>'(Semelles.Monument.€HT)'!F28</f>
        <v>268</v>
      </c>
    </row>
    <row r="77" spans="1:6" s="12" customFormat="1" ht="26" customHeight="1">
      <c r="A77" s="13" t="s">
        <v>221</v>
      </c>
      <c r="B77" s="13" t="s">
        <v>223</v>
      </c>
      <c r="C77" s="13" t="s">
        <v>97</v>
      </c>
      <c r="D77" s="13">
        <v>28</v>
      </c>
      <c r="E77" s="2" t="s">
        <v>125</v>
      </c>
      <c r="F77" s="7">
        <f>'(Semelles.Monument.€HT)'!F29</f>
        <v>297</v>
      </c>
    </row>
    <row r="78" spans="1:6" s="12" customFormat="1" ht="26" customHeight="1">
      <c r="A78" s="18" t="s">
        <v>221</v>
      </c>
      <c r="B78" s="18" t="s">
        <v>223</v>
      </c>
      <c r="C78" s="18" t="s">
        <v>97</v>
      </c>
      <c r="D78" s="18">
        <v>29</v>
      </c>
      <c r="E78" s="17" t="s">
        <v>126</v>
      </c>
      <c r="F78" s="19">
        <f>'(Semelles.Monument.€HT)'!F30</f>
        <v>309</v>
      </c>
    </row>
    <row r="79" spans="1:6" s="12" customFormat="1" ht="26" customHeight="1">
      <c r="A79" s="13" t="s">
        <v>221</v>
      </c>
      <c r="B79" s="13" t="s">
        <v>223</v>
      </c>
      <c r="C79" s="13" t="s">
        <v>97</v>
      </c>
      <c r="D79" s="13">
        <v>30</v>
      </c>
      <c r="E79" s="2" t="s">
        <v>127</v>
      </c>
      <c r="F79" s="7">
        <f>'(Semelles.Monument.€HT)'!F31</f>
        <v>309</v>
      </c>
    </row>
    <row r="80" spans="1:6" s="12" customFormat="1" ht="26" customHeight="1">
      <c r="A80" s="18" t="s">
        <v>221</v>
      </c>
      <c r="B80" s="18" t="s">
        <v>223</v>
      </c>
      <c r="C80" s="18" t="s">
        <v>128</v>
      </c>
      <c r="D80" s="18">
        <v>31</v>
      </c>
      <c r="E80" s="17" t="s">
        <v>129</v>
      </c>
      <c r="F80" s="19">
        <f>'(Semelles.Monument.€HT)'!F32</f>
        <v>170</v>
      </c>
    </row>
    <row r="81" spans="1:6" s="12" customFormat="1" ht="26" customHeight="1">
      <c r="A81" s="13" t="s">
        <v>221</v>
      </c>
      <c r="B81" s="13" t="s">
        <v>223</v>
      </c>
      <c r="C81" s="13" t="s">
        <v>128</v>
      </c>
      <c r="D81" s="13">
        <v>32</v>
      </c>
      <c r="E81" s="2" t="s">
        <v>130</v>
      </c>
      <c r="F81" s="7">
        <f>'(Semelles.Monument.€HT)'!F33</f>
        <v>173</v>
      </c>
    </row>
    <row r="82" spans="1:6" s="12" customFormat="1" ht="26" customHeight="1">
      <c r="A82" s="18" t="s">
        <v>221</v>
      </c>
      <c r="B82" s="18" t="s">
        <v>223</v>
      </c>
      <c r="C82" s="18" t="s">
        <v>128</v>
      </c>
      <c r="D82" s="18">
        <v>33</v>
      </c>
      <c r="E82" s="17" t="s">
        <v>131</v>
      </c>
      <c r="F82" s="19">
        <f>'(Semelles.Monument.€HT)'!F34</f>
        <v>173</v>
      </c>
    </row>
    <row r="83" spans="1:6" s="12" customFormat="1" ht="26" customHeight="1">
      <c r="A83" s="13" t="s">
        <v>221</v>
      </c>
      <c r="B83" s="13" t="s">
        <v>223</v>
      </c>
      <c r="C83" s="13" t="s">
        <v>128</v>
      </c>
      <c r="D83" s="13">
        <v>34</v>
      </c>
      <c r="E83" s="2" t="s">
        <v>132</v>
      </c>
      <c r="F83" s="7">
        <f>'(Semelles.Monument.€HT)'!F35</f>
        <v>174</v>
      </c>
    </row>
    <row r="84" spans="1:6" s="12" customFormat="1" ht="26" customHeight="1">
      <c r="A84" s="18" t="s">
        <v>221</v>
      </c>
      <c r="B84" s="18" t="s">
        <v>223</v>
      </c>
      <c r="C84" s="18" t="s">
        <v>128</v>
      </c>
      <c r="D84" s="18">
        <v>35</v>
      </c>
      <c r="E84" s="17" t="s">
        <v>133</v>
      </c>
      <c r="F84" s="19">
        <f>'(Semelles.Monument.€HT)'!F36</f>
        <v>210</v>
      </c>
    </row>
    <row r="85" spans="1:6" s="12" customFormat="1" ht="26" customHeight="1">
      <c r="A85" s="13" t="s">
        <v>221</v>
      </c>
      <c r="B85" s="13" t="s">
        <v>223</v>
      </c>
      <c r="C85" s="13" t="s">
        <v>128</v>
      </c>
      <c r="D85" s="13">
        <v>36</v>
      </c>
      <c r="E85" s="2" t="s">
        <v>134</v>
      </c>
      <c r="F85" s="7">
        <f>'(Semelles.Monument.€HT)'!F37</f>
        <v>217</v>
      </c>
    </row>
    <row r="86" spans="1:6" s="12" customFormat="1" ht="26" customHeight="1">
      <c r="A86" s="18" t="s">
        <v>221</v>
      </c>
      <c r="B86" s="18" t="s">
        <v>223</v>
      </c>
      <c r="C86" s="18" t="s">
        <v>128</v>
      </c>
      <c r="D86" s="18">
        <v>37</v>
      </c>
      <c r="E86" s="17" t="s">
        <v>135</v>
      </c>
      <c r="F86" s="19">
        <f>'(Semelles.Monument.€HT)'!F38</f>
        <v>268</v>
      </c>
    </row>
    <row r="87" spans="1:6" s="12" customFormat="1" ht="26" customHeight="1">
      <c r="A87" s="13" t="s">
        <v>221</v>
      </c>
      <c r="B87" s="13" t="s">
        <v>223</v>
      </c>
      <c r="C87" s="13" t="s">
        <v>128</v>
      </c>
      <c r="D87" s="13">
        <v>38</v>
      </c>
      <c r="E87" s="2" t="s">
        <v>136</v>
      </c>
      <c r="F87" s="7">
        <f>'(Semelles.Monument.€HT)'!F39</f>
        <v>284</v>
      </c>
    </row>
    <row r="88" spans="1:6" s="12" customFormat="1" ht="26" customHeight="1">
      <c r="A88" s="18" t="s">
        <v>221</v>
      </c>
      <c r="B88" s="18" t="s">
        <v>223</v>
      </c>
      <c r="C88" s="18" t="s">
        <v>128</v>
      </c>
      <c r="D88" s="18">
        <v>39</v>
      </c>
      <c r="E88" s="17" t="s">
        <v>137</v>
      </c>
      <c r="F88" s="19">
        <f>'(Semelles.Monument.€HT)'!F40</f>
        <v>291</v>
      </c>
    </row>
    <row r="89" spans="1:6" s="12" customFormat="1" ht="26" customHeight="1">
      <c r="A89" s="13" t="s">
        <v>221</v>
      </c>
      <c r="B89" s="13" t="s">
        <v>223</v>
      </c>
      <c r="C89" s="13" t="s">
        <v>128</v>
      </c>
      <c r="D89" s="13">
        <v>40</v>
      </c>
      <c r="E89" s="2" t="s">
        <v>138</v>
      </c>
      <c r="F89" s="7">
        <f>'(Semelles.Monument.€HT)'!F41</f>
        <v>300</v>
      </c>
    </row>
    <row r="90" spans="1:6" s="12" customFormat="1" ht="26" customHeight="1">
      <c r="A90" s="18" t="s">
        <v>221</v>
      </c>
      <c r="B90" s="18" t="s">
        <v>223</v>
      </c>
      <c r="C90" s="18" t="s">
        <v>128</v>
      </c>
      <c r="D90" s="18">
        <v>41</v>
      </c>
      <c r="E90" s="17" t="s">
        <v>139</v>
      </c>
      <c r="F90" s="19">
        <f>'(Semelles.Monument.€HT)'!F42</f>
        <v>319</v>
      </c>
    </row>
    <row r="91" spans="1:6" s="12" customFormat="1" ht="26" customHeight="1">
      <c r="A91" s="13" t="s">
        <v>221</v>
      </c>
      <c r="B91" s="13" t="s">
        <v>223</v>
      </c>
      <c r="C91" s="13" t="s">
        <v>128</v>
      </c>
      <c r="D91" s="13">
        <v>42</v>
      </c>
      <c r="E91" s="2" t="s">
        <v>140</v>
      </c>
      <c r="F91" s="7">
        <f>'(Semelles.Monument.€HT)'!F43</f>
        <v>350</v>
      </c>
    </row>
    <row r="92" spans="1:6" s="12" customFormat="1" ht="26" customHeight="1">
      <c r="A92" s="18" t="s">
        <v>221</v>
      </c>
      <c r="B92" s="18" t="s">
        <v>223</v>
      </c>
      <c r="C92" s="18" t="s">
        <v>128</v>
      </c>
      <c r="D92" s="18">
        <v>43</v>
      </c>
      <c r="E92" s="17" t="s">
        <v>141</v>
      </c>
      <c r="F92" s="19">
        <f>'(Semelles.Monument.€HT)'!F44</f>
        <v>350</v>
      </c>
    </row>
    <row r="93" spans="1:6" s="12" customFormat="1" ht="26" customHeight="1">
      <c r="A93" s="13" t="s">
        <v>221</v>
      </c>
      <c r="B93" s="13" t="s">
        <v>223</v>
      </c>
      <c r="C93" s="13" t="s">
        <v>128</v>
      </c>
      <c r="D93" s="13">
        <v>44</v>
      </c>
      <c r="E93" s="2" t="s">
        <v>142</v>
      </c>
      <c r="F93" s="7">
        <f>'(Semelles.Monument.€HT)'!F45</f>
        <v>354</v>
      </c>
    </row>
    <row r="94" spans="1:6" s="12" customFormat="1" ht="26" customHeight="1">
      <c r="A94" s="18" t="s">
        <v>221</v>
      </c>
      <c r="B94" s="18" t="s">
        <v>223</v>
      </c>
      <c r="C94" s="18" t="s">
        <v>128</v>
      </c>
      <c r="D94" s="18">
        <v>45</v>
      </c>
      <c r="E94" s="17" t="s">
        <v>143</v>
      </c>
      <c r="F94" s="19">
        <f>'(Semelles.Monument.€HT)'!F46</f>
        <v>358</v>
      </c>
    </row>
    <row r="95" spans="1:6" s="12" customFormat="1" ht="26" customHeight="1">
      <c r="A95" s="13" t="s">
        <v>221</v>
      </c>
      <c r="B95" s="13" t="s">
        <v>223</v>
      </c>
      <c r="C95" s="13" t="s">
        <v>128</v>
      </c>
      <c r="D95" s="13">
        <v>46</v>
      </c>
      <c r="E95" s="2" t="s">
        <v>144</v>
      </c>
      <c r="F95" s="7">
        <f>'(Semelles.Monument.€HT)'!F47</f>
        <v>358</v>
      </c>
    </row>
    <row r="96" spans="1:6" s="12" customFormat="1" ht="26" customHeight="1">
      <c r="A96" s="18" t="s">
        <v>221</v>
      </c>
      <c r="B96" s="18" t="s">
        <v>223</v>
      </c>
      <c r="C96" s="18" t="s">
        <v>128</v>
      </c>
      <c r="D96" s="18">
        <v>47</v>
      </c>
      <c r="E96" s="17" t="s">
        <v>145</v>
      </c>
      <c r="F96" s="19">
        <f>'(Semelles.Monument.€HT)'!F48</f>
        <v>366</v>
      </c>
    </row>
    <row r="97" spans="1:6" s="12" customFormat="1" ht="26" customHeight="1">
      <c r="A97" s="13" t="s">
        <v>221</v>
      </c>
      <c r="B97" s="13" t="s">
        <v>223</v>
      </c>
      <c r="C97" s="13" t="s">
        <v>128</v>
      </c>
      <c r="D97" s="13">
        <v>48</v>
      </c>
      <c r="E97" s="2" t="s">
        <v>146</v>
      </c>
      <c r="F97" s="7">
        <f>'(Semelles.Monument.€HT)'!F49</f>
        <v>370</v>
      </c>
    </row>
    <row r="98" spans="1:6" s="12" customFormat="1" ht="26" customHeight="1">
      <c r="A98" s="18" t="s">
        <v>221</v>
      </c>
      <c r="B98" s="18" t="s">
        <v>224</v>
      </c>
      <c r="C98" s="18" t="s">
        <v>97</v>
      </c>
      <c r="D98" s="18">
        <v>1</v>
      </c>
      <c r="E98" s="17" t="s">
        <v>98</v>
      </c>
      <c r="F98" s="19">
        <f>'(Semelles.Monument.€HT)'!G2</f>
        <v>252</v>
      </c>
    </row>
    <row r="99" spans="1:6" s="12" customFormat="1" ht="26" customHeight="1">
      <c r="A99" s="13" t="s">
        <v>221</v>
      </c>
      <c r="B99" s="13" t="s">
        <v>224</v>
      </c>
      <c r="C99" s="13" t="s">
        <v>97</v>
      </c>
      <c r="D99" s="13">
        <v>2</v>
      </c>
      <c r="E99" s="2" t="s">
        <v>99</v>
      </c>
      <c r="F99" s="7">
        <f>'(Semelles.Monument.€HT)'!G3</f>
        <v>252</v>
      </c>
    </row>
    <row r="100" spans="1:6" s="12" customFormat="1" ht="26" customHeight="1">
      <c r="A100" s="18" t="s">
        <v>221</v>
      </c>
      <c r="B100" s="18" t="s">
        <v>224</v>
      </c>
      <c r="C100" s="18" t="s">
        <v>97</v>
      </c>
      <c r="D100" s="18">
        <v>3</v>
      </c>
      <c r="E100" s="17" t="s">
        <v>100</v>
      </c>
      <c r="F100" s="19">
        <f>'(Semelles.Monument.€HT)'!G4</f>
        <v>280</v>
      </c>
    </row>
    <row r="101" spans="1:6" s="12" customFormat="1" ht="26" customHeight="1">
      <c r="A101" s="13" t="s">
        <v>221</v>
      </c>
      <c r="B101" s="13" t="s">
        <v>224</v>
      </c>
      <c r="C101" s="13" t="s">
        <v>97</v>
      </c>
      <c r="D101" s="13">
        <v>4</v>
      </c>
      <c r="E101" s="2" t="s">
        <v>101</v>
      </c>
      <c r="F101" s="7">
        <f>'(Semelles.Monument.€HT)'!G5</f>
        <v>285</v>
      </c>
    </row>
    <row r="102" spans="1:6" s="12" customFormat="1" ht="26" customHeight="1">
      <c r="A102" s="18" t="s">
        <v>221</v>
      </c>
      <c r="B102" s="18" t="s">
        <v>224</v>
      </c>
      <c r="C102" s="18" t="s">
        <v>97</v>
      </c>
      <c r="D102" s="18">
        <v>5</v>
      </c>
      <c r="E102" s="17" t="s">
        <v>102</v>
      </c>
      <c r="F102" s="19">
        <f>'(Semelles.Monument.€HT)'!G6</f>
        <v>285</v>
      </c>
    </row>
    <row r="103" spans="1:6" s="12" customFormat="1" ht="26" customHeight="1">
      <c r="A103" s="13" t="s">
        <v>221</v>
      </c>
      <c r="B103" s="13" t="s">
        <v>224</v>
      </c>
      <c r="C103" s="13" t="s">
        <v>97</v>
      </c>
      <c r="D103" s="13">
        <v>6</v>
      </c>
      <c r="E103" s="2" t="s">
        <v>103</v>
      </c>
      <c r="F103" s="7">
        <f>'(Semelles.Monument.€HT)'!G7</f>
        <v>287</v>
      </c>
    </row>
    <row r="104" spans="1:6" s="12" customFormat="1" ht="26" customHeight="1">
      <c r="A104" s="18" t="s">
        <v>221</v>
      </c>
      <c r="B104" s="18" t="s">
        <v>224</v>
      </c>
      <c r="C104" s="18" t="s">
        <v>97</v>
      </c>
      <c r="D104" s="18">
        <v>7</v>
      </c>
      <c r="E104" s="17" t="s">
        <v>104</v>
      </c>
      <c r="F104" s="19">
        <f>'(Semelles.Monument.€HT)'!G8</f>
        <v>287</v>
      </c>
    </row>
    <row r="105" spans="1:6" s="12" customFormat="1" ht="26" customHeight="1">
      <c r="A105" s="13" t="s">
        <v>221</v>
      </c>
      <c r="B105" s="13" t="s">
        <v>224</v>
      </c>
      <c r="C105" s="13" t="s">
        <v>97</v>
      </c>
      <c r="D105" s="13">
        <v>8</v>
      </c>
      <c r="E105" s="2" t="s">
        <v>105</v>
      </c>
      <c r="F105" s="7">
        <f>'(Semelles.Monument.€HT)'!G9</f>
        <v>287</v>
      </c>
    </row>
    <row r="106" spans="1:6" s="12" customFormat="1" ht="26" customHeight="1">
      <c r="A106" s="18" t="s">
        <v>221</v>
      </c>
      <c r="B106" s="18" t="s">
        <v>224</v>
      </c>
      <c r="C106" s="18" t="s">
        <v>97</v>
      </c>
      <c r="D106" s="18">
        <v>9</v>
      </c>
      <c r="E106" s="17" t="s">
        <v>106</v>
      </c>
      <c r="F106" s="19">
        <f>'(Semelles.Monument.€HT)'!G10</f>
        <v>287</v>
      </c>
    </row>
    <row r="107" spans="1:6" s="12" customFormat="1" ht="26" customHeight="1">
      <c r="A107" s="13" t="s">
        <v>221</v>
      </c>
      <c r="B107" s="13" t="s">
        <v>224</v>
      </c>
      <c r="C107" s="13" t="s">
        <v>97</v>
      </c>
      <c r="D107" s="13">
        <v>10</v>
      </c>
      <c r="E107" s="2" t="s">
        <v>107</v>
      </c>
      <c r="F107" s="7">
        <f>'(Semelles.Monument.€HT)'!G11</f>
        <v>287</v>
      </c>
    </row>
    <row r="108" spans="1:6" s="12" customFormat="1" ht="26" customHeight="1">
      <c r="A108" s="18" t="s">
        <v>221</v>
      </c>
      <c r="B108" s="18" t="s">
        <v>224</v>
      </c>
      <c r="C108" s="18" t="s">
        <v>97</v>
      </c>
      <c r="D108" s="18">
        <v>11</v>
      </c>
      <c r="E108" s="17" t="s">
        <v>108</v>
      </c>
      <c r="F108" s="19">
        <f>'(Semelles.Monument.€HT)'!G12</f>
        <v>287</v>
      </c>
    </row>
    <row r="109" spans="1:6" s="12" customFormat="1" ht="26" customHeight="1">
      <c r="A109" s="13" t="s">
        <v>221</v>
      </c>
      <c r="B109" s="13" t="s">
        <v>224</v>
      </c>
      <c r="C109" s="13" t="s">
        <v>97</v>
      </c>
      <c r="D109" s="13">
        <v>12</v>
      </c>
      <c r="E109" s="2" t="s">
        <v>109</v>
      </c>
      <c r="F109" s="7">
        <f>'(Semelles.Monument.€HT)'!G13</f>
        <v>291</v>
      </c>
    </row>
    <row r="110" spans="1:6" s="12" customFormat="1" ht="26" customHeight="1">
      <c r="A110" s="18" t="s">
        <v>221</v>
      </c>
      <c r="B110" s="18" t="s">
        <v>224</v>
      </c>
      <c r="C110" s="18" t="s">
        <v>97</v>
      </c>
      <c r="D110" s="18">
        <v>13</v>
      </c>
      <c r="E110" s="17" t="s">
        <v>110</v>
      </c>
      <c r="F110" s="19">
        <f>'(Semelles.Monument.€HT)'!G14</f>
        <v>291</v>
      </c>
    </row>
    <row r="111" spans="1:6" s="12" customFormat="1" ht="26" customHeight="1">
      <c r="A111" s="13" t="s">
        <v>221</v>
      </c>
      <c r="B111" s="13" t="s">
        <v>224</v>
      </c>
      <c r="C111" s="13" t="s">
        <v>97</v>
      </c>
      <c r="D111" s="13">
        <v>14</v>
      </c>
      <c r="E111" s="2" t="s">
        <v>111</v>
      </c>
      <c r="F111" s="7">
        <f>'(Semelles.Monument.€HT)'!G15</f>
        <v>292</v>
      </c>
    </row>
    <row r="112" spans="1:6" s="12" customFormat="1" ht="26" customHeight="1">
      <c r="A112" s="18" t="s">
        <v>221</v>
      </c>
      <c r="B112" s="18" t="s">
        <v>224</v>
      </c>
      <c r="C112" s="18" t="s">
        <v>97</v>
      </c>
      <c r="D112" s="18">
        <v>15</v>
      </c>
      <c r="E112" s="17" t="s">
        <v>112</v>
      </c>
      <c r="F112" s="19">
        <f>'(Semelles.Monument.€HT)'!G16</f>
        <v>292</v>
      </c>
    </row>
    <row r="113" spans="1:6" s="12" customFormat="1" ht="26" customHeight="1">
      <c r="A113" s="13" t="s">
        <v>221</v>
      </c>
      <c r="B113" s="13" t="s">
        <v>224</v>
      </c>
      <c r="C113" s="13" t="s">
        <v>97</v>
      </c>
      <c r="D113" s="13">
        <v>16</v>
      </c>
      <c r="E113" s="2" t="s">
        <v>113</v>
      </c>
      <c r="F113" s="7">
        <f>'(Semelles.Monument.€HT)'!G17</f>
        <v>292</v>
      </c>
    </row>
    <row r="114" spans="1:6" s="12" customFormat="1" ht="26" customHeight="1">
      <c r="A114" s="18" t="s">
        <v>221</v>
      </c>
      <c r="B114" s="18" t="s">
        <v>224</v>
      </c>
      <c r="C114" s="18" t="s">
        <v>97</v>
      </c>
      <c r="D114" s="18">
        <v>17</v>
      </c>
      <c r="E114" s="17" t="s">
        <v>114</v>
      </c>
      <c r="F114" s="19">
        <f>'(Semelles.Monument.€HT)'!G18</f>
        <v>297</v>
      </c>
    </row>
    <row r="115" spans="1:6" s="12" customFormat="1" ht="26" customHeight="1">
      <c r="A115" s="13" t="s">
        <v>221</v>
      </c>
      <c r="B115" s="13" t="s">
        <v>224</v>
      </c>
      <c r="C115" s="13" t="s">
        <v>97</v>
      </c>
      <c r="D115" s="13">
        <v>18</v>
      </c>
      <c r="E115" s="2" t="s">
        <v>115</v>
      </c>
      <c r="F115" s="7">
        <f>'(Semelles.Monument.€HT)'!G19</f>
        <v>297</v>
      </c>
    </row>
    <row r="116" spans="1:6" s="12" customFormat="1" ht="26" customHeight="1">
      <c r="A116" s="18" t="s">
        <v>221</v>
      </c>
      <c r="B116" s="18" t="s">
        <v>224</v>
      </c>
      <c r="C116" s="18" t="s">
        <v>97</v>
      </c>
      <c r="D116" s="18">
        <v>19</v>
      </c>
      <c r="E116" s="17" t="s">
        <v>116</v>
      </c>
      <c r="F116" s="19">
        <f>'(Semelles.Monument.€HT)'!G20</f>
        <v>297</v>
      </c>
    </row>
    <row r="117" spans="1:6" s="12" customFormat="1" ht="26" customHeight="1">
      <c r="A117" s="13" t="s">
        <v>221</v>
      </c>
      <c r="B117" s="13" t="s">
        <v>224</v>
      </c>
      <c r="C117" s="13" t="s">
        <v>97</v>
      </c>
      <c r="D117" s="13">
        <v>20</v>
      </c>
      <c r="E117" s="2" t="s">
        <v>117</v>
      </c>
      <c r="F117" s="7">
        <f>'(Semelles.Monument.€HT)'!G21</f>
        <v>299</v>
      </c>
    </row>
    <row r="118" spans="1:6" s="12" customFormat="1" ht="26" customHeight="1">
      <c r="A118" s="18" t="s">
        <v>221</v>
      </c>
      <c r="B118" s="18" t="s">
        <v>224</v>
      </c>
      <c r="C118" s="18" t="s">
        <v>97</v>
      </c>
      <c r="D118" s="18">
        <v>21</v>
      </c>
      <c r="E118" s="17" t="s">
        <v>118</v>
      </c>
      <c r="F118" s="19">
        <f>'(Semelles.Monument.€HT)'!G22</f>
        <v>301</v>
      </c>
    </row>
    <row r="119" spans="1:6" s="12" customFormat="1" ht="26" customHeight="1">
      <c r="A119" s="13" t="s">
        <v>221</v>
      </c>
      <c r="B119" s="13" t="s">
        <v>224</v>
      </c>
      <c r="C119" s="13" t="s">
        <v>97</v>
      </c>
      <c r="D119" s="13">
        <v>22</v>
      </c>
      <c r="E119" s="2" t="s">
        <v>119</v>
      </c>
      <c r="F119" s="7">
        <f>'(Semelles.Monument.€HT)'!G23</f>
        <v>301</v>
      </c>
    </row>
    <row r="120" spans="1:6" s="12" customFormat="1" ht="26" customHeight="1">
      <c r="A120" s="18" t="s">
        <v>221</v>
      </c>
      <c r="B120" s="18" t="s">
        <v>224</v>
      </c>
      <c r="C120" s="18" t="s">
        <v>97</v>
      </c>
      <c r="D120" s="18">
        <v>23</v>
      </c>
      <c r="E120" s="17" t="s">
        <v>120</v>
      </c>
      <c r="F120" s="19">
        <f>'(Semelles.Monument.€HT)'!G24</f>
        <v>305</v>
      </c>
    </row>
    <row r="121" spans="1:6" s="12" customFormat="1" ht="26" customHeight="1">
      <c r="A121" s="13" t="s">
        <v>221</v>
      </c>
      <c r="B121" s="13" t="s">
        <v>224</v>
      </c>
      <c r="C121" s="13" t="s">
        <v>97</v>
      </c>
      <c r="D121" s="13">
        <v>24</v>
      </c>
      <c r="E121" s="2" t="s">
        <v>121</v>
      </c>
      <c r="F121" s="7">
        <f>'(Semelles.Monument.€HT)'!G25</f>
        <v>305</v>
      </c>
    </row>
    <row r="122" spans="1:6" s="12" customFormat="1" ht="26" customHeight="1">
      <c r="A122" s="18" t="s">
        <v>221</v>
      </c>
      <c r="B122" s="18" t="s">
        <v>224</v>
      </c>
      <c r="C122" s="18" t="s">
        <v>97</v>
      </c>
      <c r="D122" s="18">
        <v>25</v>
      </c>
      <c r="E122" s="17" t="s">
        <v>122</v>
      </c>
      <c r="F122" s="19">
        <f>'(Semelles.Monument.€HT)'!G26</f>
        <v>305</v>
      </c>
    </row>
    <row r="123" spans="1:6" s="12" customFormat="1" ht="26" customHeight="1">
      <c r="A123" s="13" t="s">
        <v>221</v>
      </c>
      <c r="B123" s="13" t="s">
        <v>224</v>
      </c>
      <c r="C123" s="13" t="s">
        <v>97</v>
      </c>
      <c r="D123" s="13">
        <v>26</v>
      </c>
      <c r="E123" s="2" t="s">
        <v>123</v>
      </c>
      <c r="F123" s="7">
        <f>'(Semelles.Monument.€HT)'!G27</f>
        <v>310</v>
      </c>
    </row>
    <row r="124" spans="1:6" s="12" customFormat="1" ht="26" customHeight="1">
      <c r="A124" s="18" t="s">
        <v>221</v>
      </c>
      <c r="B124" s="18" t="s">
        <v>224</v>
      </c>
      <c r="C124" s="18" t="s">
        <v>97</v>
      </c>
      <c r="D124" s="18">
        <v>27</v>
      </c>
      <c r="E124" s="17" t="s">
        <v>124</v>
      </c>
      <c r="F124" s="19">
        <f>'(Semelles.Monument.€HT)'!G28</f>
        <v>367</v>
      </c>
    </row>
    <row r="125" spans="1:6" s="12" customFormat="1" ht="26" customHeight="1">
      <c r="A125" s="13" t="s">
        <v>221</v>
      </c>
      <c r="B125" s="13" t="s">
        <v>224</v>
      </c>
      <c r="C125" s="13" t="s">
        <v>97</v>
      </c>
      <c r="D125" s="13">
        <v>28</v>
      </c>
      <c r="E125" s="2" t="s">
        <v>125</v>
      </c>
      <c r="F125" s="7">
        <f>'(Semelles.Monument.€HT)'!G29</f>
        <v>367</v>
      </c>
    </row>
    <row r="126" spans="1:6" s="12" customFormat="1" ht="26" customHeight="1">
      <c r="A126" s="18" t="s">
        <v>221</v>
      </c>
      <c r="B126" s="18" t="s">
        <v>224</v>
      </c>
      <c r="C126" s="18" t="s">
        <v>97</v>
      </c>
      <c r="D126" s="18">
        <v>29</v>
      </c>
      <c r="E126" s="17" t="s">
        <v>126</v>
      </c>
      <c r="F126" s="19">
        <f>'(Semelles.Monument.€HT)'!G30</f>
        <v>382</v>
      </c>
    </row>
    <row r="127" spans="1:6" s="12" customFormat="1" ht="26" customHeight="1">
      <c r="A127" s="13" t="s">
        <v>221</v>
      </c>
      <c r="B127" s="13" t="s">
        <v>224</v>
      </c>
      <c r="C127" s="13" t="s">
        <v>97</v>
      </c>
      <c r="D127" s="13">
        <v>30</v>
      </c>
      <c r="E127" s="2" t="s">
        <v>127</v>
      </c>
      <c r="F127" s="7">
        <f>'(Semelles.Monument.€HT)'!G31</f>
        <v>382</v>
      </c>
    </row>
    <row r="128" spans="1:6" s="12" customFormat="1" ht="26" customHeight="1">
      <c r="A128" s="18" t="s">
        <v>221</v>
      </c>
      <c r="B128" s="18" t="s">
        <v>224</v>
      </c>
      <c r="C128" s="18" t="s">
        <v>128</v>
      </c>
      <c r="D128" s="18">
        <v>31</v>
      </c>
      <c r="E128" s="17" t="s">
        <v>129</v>
      </c>
      <c r="F128" s="19">
        <f>'(Semelles.Monument.€HT)'!G32</f>
        <v>210</v>
      </c>
    </row>
    <row r="129" spans="1:6" s="12" customFormat="1" ht="26" customHeight="1">
      <c r="A129" s="13" t="s">
        <v>221</v>
      </c>
      <c r="B129" s="13" t="s">
        <v>224</v>
      </c>
      <c r="C129" s="13" t="s">
        <v>128</v>
      </c>
      <c r="D129" s="13">
        <v>32</v>
      </c>
      <c r="E129" s="2" t="s">
        <v>130</v>
      </c>
      <c r="F129" s="7">
        <f>'(Semelles.Monument.€HT)'!G33</f>
        <v>213</v>
      </c>
    </row>
    <row r="130" spans="1:6" s="12" customFormat="1" ht="26" customHeight="1">
      <c r="A130" s="18" t="s">
        <v>221</v>
      </c>
      <c r="B130" s="18" t="s">
        <v>224</v>
      </c>
      <c r="C130" s="18" t="s">
        <v>128</v>
      </c>
      <c r="D130" s="18">
        <v>33</v>
      </c>
      <c r="E130" s="17" t="s">
        <v>131</v>
      </c>
      <c r="F130" s="19">
        <f>'(Semelles.Monument.€HT)'!G34</f>
        <v>213</v>
      </c>
    </row>
    <row r="131" spans="1:6" s="12" customFormat="1" ht="26" customHeight="1">
      <c r="A131" s="13" t="s">
        <v>221</v>
      </c>
      <c r="B131" s="13" t="s">
        <v>224</v>
      </c>
      <c r="C131" s="13" t="s">
        <v>128</v>
      </c>
      <c r="D131" s="13">
        <v>34</v>
      </c>
      <c r="E131" s="2" t="s">
        <v>132</v>
      </c>
      <c r="F131" s="7">
        <f>'(Semelles.Monument.€HT)'!G35</f>
        <v>215</v>
      </c>
    </row>
    <row r="132" spans="1:6" s="12" customFormat="1" ht="26" customHeight="1">
      <c r="A132" s="18" t="s">
        <v>221</v>
      </c>
      <c r="B132" s="18" t="s">
        <v>224</v>
      </c>
      <c r="C132" s="18" t="s">
        <v>128</v>
      </c>
      <c r="D132" s="18">
        <v>35</v>
      </c>
      <c r="E132" s="17" t="s">
        <v>133</v>
      </c>
      <c r="F132" s="19">
        <f>'(Semelles.Monument.€HT)'!G36</f>
        <v>259</v>
      </c>
    </row>
    <row r="133" spans="1:6" s="12" customFormat="1" ht="26" customHeight="1">
      <c r="A133" s="13" t="s">
        <v>221</v>
      </c>
      <c r="B133" s="13" t="s">
        <v>224</v>
      </c>
      <c r="C133" s="13" t="s">
        <v>128</v>
      </c>
      <c r="D133" s="13">
        <v>36</v>
      </c>
      <c r="E133" s="2" t="s">
        <v>134</v>
      </c>
      <c r="F133" s="7">
        <f>'(Semelles.Monument.€HT)'!G37</f>
        <v>268</v>
      </c>
    </row>
    <row r="134" spans="1:6" s="12" customFormat="1" ht="26" customHeight="1">
      <c r="A134" s="18" t="s">
        <v>221</v>
      </c>
      <c r="B134" s="18" t="s">
        <v>224</v>
      </c>
      <c r="C134" s="18" t="s">
        <v>128</v>
      </c>
      <c r="D134" s="18">
        <v>37</v>
      </c>
      <c r="E134" s="17" t="s">
        <v>135</v>
      </c>
      <c r="F134" s="19">
        <f>'(Semelles.Monument.€HT)'!G38</f>
        <v>332</v>
      </c>
    </row>
    <row r="135" spans="1:6" s="12" customFormat="1" ht="26" customHeight="1">
      <c r="A135" s="13" t="s">
        <v>221</v>
      </c>
      <c r="B135" s="13" t="s">
        <v>224</v>
      </c>
      <c r="C135" s="13" t="s">
        <v>128</v>
      </c>
      <c r="D135" s="13">
        <v>38</v>
      </c>
      <c r="E135" s="2" t="s">
        <v>136</v>
      </c>
      <c r="F135" s="7">
        <f>'(Semelles.Monument.€HT)'!G39</f>
        <v>351</v>
      </c>
    </row>
    <row r="136" spans="1:6" s="12" customFormat="1" ht="26" customHeight="1">
      <c r="A136" s="18" t="s">
        <v>221</v>
      </c>
      <c r="B136" s="18" t="s">
        <v>224</v>
      </c>
      <c r="C136" s="18" t="s">
        <v>128</v>
      </c>
      <c r="D136" s="18">
        <v>39</v>
      </c>
      <c r="E136" s="17" t="s">
        <v>137</v>
      </c>
      <c r="F136" s="19">
        <f>'(Semelles.Monument.€HT)'!G40</f>
        <v>360</v>
      </c>
    </row>
    <row r="137" spans="1:6" s="12" customFormat="1" ht="26" customHeight="1">
      <c r="A137" s="13" t="s">
        <v>221</v>
      </c>
      <c r="B137" s="13" t="s">
        <v>224</v>
      </c>
      <c r="C137" s="13" t="s">
        <v>128</v>
      </c>
      <c r="D137" s="13">
        <v>40</v>
      </c>
      <c r="E137" s="2" t="s">
        <v>138</v>
      </c>
      <c r="F137" s="7">
        <v>370</v>
      </c>
    </row>
    <row r="138" spans="1:6" s="12" customFormat="1" ht="26" customHeight="1">
      <c r="A138" s="18" t="s">
        <v>221</v>
      </c>
      <c r="B138" s="18" t="s">
        <v>224</v>
      </c>
      <c r="C138" s="18" t="s">
        <v>128</v>
      </c>
      <c r="D138" s="18">
        <v>41</v>
      </c>
      <c r="E138" s="17" t="s">
        <v>139</v>
      </c>
      <c r="F138" s="19">
        <f>'(Semelles.Monument.€HT)'!G42</f>
        <v>394</v>
      </c>
    </row>
    <row r="139" spans="1:6" s="12" customFormat="1" ht="26" customHeight="1">
      <c r="A139" s="13" t="s">
        <v>221</v>
      </c>
      <c r="B139" s="13" t="s">
        <v>224</v>
      </c>
      <c r="C139" s="13" t="s">
        <v>128</v>
      </c>
      <c r="D139" s="13">
        <v>42</v>
      </c>
      <c r="E139" s="2" t="s">
        <v>140</v>
      </c>
      <c r="F139" s="7">
        <f>'(Semelles.Monument.€HT)'!G43</f>
        <v>433</v>
      </c>
    </row>
    <row r="140" spans="1:6" s="12" customFormat="1" ht="26" customHeight="1">
      <c r="A140" s="18" t="s">
        <v>221</v>
      </c>
      <c r="B140" s="18" t="s">
        <v>224</v>
      </c>
      <c r="C140" s="18" t="s">
        <v>128</v>
      </c>
      <c r="D140" s="18">
        <v>43</v>
      </c>
      <c r="E140" s="17" t="s">
        <v>141</v>
      </c>
      <c r="F140" s="19">
        <f>'(Semelles.Monument.€HT)'!G44</f>
        <v>433</v>
      </c>
    </row>
    <row r="141" spans="1:6" s="12" customFormat="1" ht="26" customHeight="1">
      <c r="A141" s="13" t="s">
        <v>221</v>
      </c>
      <c r="B141" s="13" t="s">
        <v>224</v>
      </c>
      <c r="C141" s="13" t="s">
        <v>128</v>
      </c>
      <c r="D141" s="13">
        <v>44</v>
      </c>
      <c r="E141" s="2" t="s">
        <v>142</v>
      </c>
      <c r="F141" s="7">
        <f>'(Semelles.Monument.€HT)'!G45</f>
        <v>438</v>
      </c>
    </row>
    <row r="142" spans="1:6" s="12" customFormat="1" ht="26" customHeight="1">
      <c r="A142" s="18" t="s">
        <v>221</v>
      </c>
      <c r="B142" s="18" t="s">
        <v>224</v>
      </c>
      <c r="C142" s="18" t="s">
        <v>128</v>
      </c>
      <c r="D142" s="18">
        <v>45</v>
      </c>
      <c r="E142" s="17" t="s">
        <v>143</v>
      </c>
      <c r="F142" s="19">
        <f>'(Semelles.Monument.€HT)'!G46</f>
        <v>443</v>
      </c>
    </row>
    <row r="143" spans="1:6" s="12" customFormat="1" ht="26" customHeight="1">
      <c r="A143" s="13" t="s">
        <v>221</v>
      </c>
      <c r="B143" s="13" t="s">
        <v>224</v>
      </c>
      <c r="C143" s="13" t="s">
        <v>128</v>
      </c>
      <c r="D143" s="13">
        <v>46</v>
      </c>
      <c r="E143" s="2" t="s">
        <v>144</v>
      </c>
      <c r="F143" s="7">
        <f>'(Semelles.Monument.€HT)'!G47</f>
        <v>443</v>
      </c>
    </row>
    <row r="144" spans="1:6" s="12" customFormat="1" ht="26" customHeight="1">
      <c r="A144" s="18" t="s">
        <v>221</v>
      </c>
      <c r="B144" s="18" t="s">
        <v>224</v>
      </c>
      <c r="C144" s="18" t="s">
        <v>128</v>
      </c>
      <c r="D144" s="18">
        <v>47</v>
      </c>
      <c r="E144" s="17" t="s">
        <v>145</v>
      </c>
      <c r="F144" s="19">
        <f>'(Semelles.Monument.€HT)'!G48</f>
        <v>452</v>
      </c>
    </row>
    <row r="145" spans="1:6" s="12" customFormat="1" ht="26" customHeight="1">
      <c r="A145" s="13" t="s">
        <v>221</v>
      </c>
      <c r="B145" s="13" t="s">
        <v>224</v>
      </c>
      <c r="C145" s="13" t="s">
        <v>128</v>
      </c>
      <c r="D145" s="13">
        <v>48</v>
      </c>
      <c r="E145" s="2" t="s">
        <v>146</v>
      </c>
      <c r="F145" s="7">
        <f>'(Semelles.Monument.€HT)'!G49</f>
        <v>457</v>
      </c>
    </row>
  </sheetData>
  <sheetProtection sheet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G385"/>
  <sheetViews>
    <sheetView zoomScale="55" zoomScaleNormal="55" workbookViewId="0">
      <pane ySplit="1" topLeftCell="A2" activePane="bottomLeft" state="frozen"/>
      <selection pane="bottomLeft" activeCell="O29" sqref="O29"/>
    </sheetView>
  </sheetViews>
  <sheetFormatPr baseColWidth="10" defaultRowHeight="14.25"/>
  <cols>
    <col min="1" max="2" width="26.73046875" customWidth="1"/>
    <col min="3" max="3" width="34.19921875" customWidth="1"/>
    <col min="4" max="5" width="10.19921875" customWidth="1"/>
    <col min="6" max="6" width="36.06640625" customWidth="1"/>
    <col min="7" max="7" width="17" customWidth="1"/>
  </cols>
  <sheetData>
    <row r="1" spans="1:7" s="8" customFormat="1" ht="73.150000000000006" customHeight="1">
      <c r="A1" s="8" t="s">
        <v>87</v>
      </c>
      <c r="B1" s="8" t="s">
        <v>66</v>
      </c>
      <c r="C1" s="8" t="s">
        <v>88</v>
      </c>
      <c r="D1" s="8" t="s">
        <v>89</v>
      </c>
      <c r="E1" s="9" t="s">
        <v>219</v>
      </c>
      <c r="F1" s="27" t="s">
        <v>69</v>
      </c>
      <c r="G1" s="10" t="s">
        <v>220</v>
      </c>
    </row>
    <row r="2" spans="1:7" s="12" customFormat="1" ht="26" customHeight="1">
      <c r="A2" s="18" t="s">
        <v>225</v>
      </c>
      <c r="B2" s="18" t="s">
        <v>226</v>
      </c>
      <c r="C2" s="18" t="s">
        <v>227</v>
      </c>
      <c r="D2" s="18" t="s">
        <v>97</v>
      </c>
      <c r="E2" s="18">
        <v>1</v>
      </c>
      <c r="F2" s="17" t="s">
        <v>98</v>
      </c>
      <c r="G2" s="19">
        <v>34</v>
      </c>
    </row>
    <row r="3" spans="1:7" s="12" customFormat="1" ht="26" customHeight="1">
      <c r="A3" s="13" t="s">
        <v>225</v>
      </c>
      <c r="B3" s="13" t="s">
        <v>226</v>
      </c>
      <c r="C3" s="13" t="s">
        <v>227</v>
      </c>
      <c r="D3" s="13" t="s">
        <v>97</v>
      </c>
      <c r="E3" s="13">
        <v>2</v>
      </c>
      <c r="F3" s="2" t="s">
        <v>99</v>
      </c>
      <c r="G3" s="7">
        <v>34</v>
      </c>
    </row>
    <row r="4" spans="1:7" s="12" customFormat="1" ht="26" customHeight="1">
      <c r="A4" s="18" t="s">
        <v>225</v>
      </c>
      <c r="B4" s="18" t="s">
        <v>226</v>
      </c>
      <c r="C4" s="18" t="s">
        <v>227</v>
      </c>
      <c r="D4" s="18" t="s">
        <v>97</v>
      </c>
      <c r="E4" s="18">
        <v>3</v>
      </c>
      <c r="F4" s="17" t="s">
        <v>100</v>
      </c>
      <c r="G4" s="19">
        <v>35</v>
      </c>
    </row>
    <row r="5" spans="1:7" s="12" customFormat="1" ht="26" customHeight="1">
      <c r="A5" s="13" t="s">
        <v>225</v>
      </c>
      <c r="B5" s="13" t="s">
        <v>226</v>
      </c>
      <c r="C5" s="13" t="s">
        <v>227</v>
      </c>
      <c r="D5" s="13" t="s">
        <v>97</v>
      </c>
      <c r="E5" s="13">
        <v>4</v>
      </c>
      <c r="F5" s="2" t="s">
        <v>101</v>
      </c>
      <c r="G5" s="7">
        <v>36</v>
      </c>
    </row>
    <row r="6" spans="1:7" s="12" customFormat="1" ht="26" customHeight="1">
      <c r="A6" s="18" t="s">
        <v>225</v>
      </c>
      <c r="B6" s="18" t="s">
        <v>226</v>
      </c>
      <c r="C6" s="18" t="s">
        <v>227</v>
      </c>
      <c r="D6" s="18" t="s">
        <v>97</v>
      </c>
      <c r="E6" s="18">
        <v>5</v>
      </c>
      <c r="F6" s="17" t="s">
        <v>102</v>
      </c>
      <c r="G6" s="19">
        <v>36</v>
      </c>
    </row>
    <row r="7" spans="1:7" s="12" customFormat="1" ht="26" customHeight="1">
      <c r="A7" s="13" t="s">
        <v>225</v>
      </c>
      <c r="B7" s="13" t="s">
        <v>226</v>
      </c>
      <c r="C7" s="13" t="s">
        <v>227</v>
      </c>
      <c r="D7" s="13" t="s">
        <v>97</v>
      </c>
      <c r="E7" s="13">
        <v>6</v>
      </c>
      <c r="F7" s="2" t="s">
        <v>103</v>
      </c>
      <c r="G7" s="7">
        <v>36</v>
      </c>
    </row>
    <row r="8" spans="1:7" s="12" customFormat="1" ht="26" customHeight="1">
      <c r="A8" s="18" t="s">
        <v>225</v>
      </c>
      <c r="B8" s="18" t="s">
        <v>226</v>
      </c>
      <c r="C8" s="18" t="s">
        <v>227</v>
      </c>
      <c r="D8" s="18" t="s">
        <v>97</v>
      </c>
      <c r="E8" s="18">
        <v>7</v>
      </c>
      <c r="F8" s="17" t="s">
        <v>104</v>
      </c>
      <c r="G8" s="19">
        <v>36</v>
      </c>
    </row>
    <row r="9" spans="1:7" s="12" customFormat="1" ht="26" customHeight="1">
      <c r="A9" s="13" t="s">
        <v>225</v>
      </c>
      <c r="B9" s="13" t="s">
        <v>226</v>
      </c>
      <c r="C9" s="13" t="s">
        <v>227</v>
      </c>
      <c r="D9" s="13" t="s">
        <v>97</v>
      </c>
      <c r="E9" s="13">
        <v>8</v>
      </c>
      <c r="F9" s="2" t="s">
        <v>105</v>
      </c>
      <c r="G9" s="7">
        <v>36</v>
      </c>
    </row>
    <row r="10" spans="1:7" s="12" customFormat="1" ht="26" customHeight="1">
      <c r="A10" s="18" t="s">
        <v>225</v>
      </c>
      <c r="B10" s="18" t="s">
        <v>226</v>
      </c>
      <c r="C10" s="18" t="s">
        <v>227</v>
      </c>
      <c r="D10" s="18" t="s">
        <v>97</v>
      </c>
      <c r="E10" s="18">
        <v>9</v>
      </c>
      <c r="F10" s="17" t="s">
        <v>106</v>
      </c>
      <c r="G10" s="19">
        <v>36</v>
      </c>
    </row>
    <row r="11" spans="1:7" s="12" customFormat="1" ht="26" customHeight="1">
      <c r="A11" s="13" t="s">
        <v>225</v>
      </c>
      <c r="B11" s="13" t="s">
        <v>226</v>
      </c>
      <c r="C11" s="13" t="s">
        <v>227</v>
      </c>
      <c r="D11" s="13" t="s">
        <v>97</v>
      </c>
      <c r="E11" s="13">
        <v>10</v>
      </c>
      <c r="F11" s="2" t="s">
        <v>107</v>
      </c>
      <c r="G11" s="7">
        <v>36</v>
      </c>
    </row>
    <row r="12" spans="1:7" s="12" customFormat="1" ht="26" customHeight="1">
      <c r="A12" s="18" t="s">
        <v>225</v>
      </c>
      <c r="B12" s="18" t="s">
        <v>226</v>
      </c>
      <c r="C12" s="18" t="s">
        <v>227</v>
      </c>
      <c r="D12" s="18" t="s">
        <v>97</v>
      </c>
      <c r="E12" s="18">
        <v>11</v>
      </c>
      <c r="F12" s="17" t="s">
        <v>108</v>
      </c>
      <c r="G12" s="19">
        <v>36</v>
      </c>
    </row>
    <row r="13" spans="1:7" s="12" customFormat="1" ht="26" customHeight="1">
      <c r="A13" s="13" t="s">
        <v>225</v>
      </c>
      <c r="B13" s="13" t="s">
        <v>226</v>
      </c>
      <c r="C13" s="13" t="s">
        <v>227</v>
      </c>
      <c r="D13" s="13" t="s">
        <v>97</v>
      </c>
      <c r="E13" s="13">
        <v>12</v>
      </c>
      <c r="F13" s="2" t="s">
        <v>109</v>
      </c>
      <c r="G13" s="7">
        <v>36</v>
      </c>
    </row>
    <row r="14" spans="1:7" s="12" customFormat="1" ht="26" customHeight="1">
      <c r="A14" s="18" t="s">
        <v>225</v>
      </c>
      <c r="B14" s="18" t="s">
        <v>226</v>
      </c>
      <c r="C14" s="18" t="s">
        <v>227</v>
      </c>
      <c r="D14" s="18" t="s">
        <v>97</v>
      </c>
      <c r="E14" s="18">
        <v>13</v>
      </c>
      <c r="F14" s="17" t="s">
        <v>110</v>
      </c>
      <c r="G14" s="19">
        <v>36</v>
      </c>
    </row>
    <row r="15" spans="1:7" s="12" customFormat="1" ht="26" customHeight="1">
      <c r="A15" s="13" t="s">
        <v>225</v>
      </c>
      <c r="B15" s="13" t="s">
        <v>226</v>
      </c>
      <c r="C15" s="13" t="s">
        <v>227</v>
      </c>
      <c r="D15" s="13" t="s">
        <v>97</v>
      </c>
      <c r="E15" s="13">
        <v>14</v>
      </c>
      <c r="F15" s="2" t="s">
        <v>111</v>
      </c>
      <c r="G15" s="7">
        <v>36</v>
      </c>
    </row>
    <row r="16" spans="1:7" s="12" customFormat="1" ht="26" customHeight="1">
      <c r="A16" s="18" t="s">
        <v>225</v>
      </c>
      <c r="B16" s="18" t="s">
        <v>226</v>
      </c>
      <c r="C16" s="18" t="s">
        <v>227</v>
      </c>
      <c r="D16" s="18" t="s">
        <v>97</v>
      </c>
      <c r="E16" s="18">
        <v>15</v>
      </c>
      <c r="F16" s="17" t="s">
        <v>112</v>
      </c>
      <c r="G16" s="19">
        <v>36</v>
      </c>
    </row>
    <row r="17" spans="1:7" s="12" customFormat="1" ht="26" customHeight="1">
      <c r="A17" s="13" t="s">
        <v>225</v>
      </c>
      <c r="B17" s="13" t="s">
        <v>226</v>
      </c>
      <c r="C17" s="13" t="s">
        <v>227</v>
      </c>
      <c r="D17" s="13" t="s">
        <v>97</v>
      </c>
      <c r="E17" s="13">
        <v>16</v>
      </c>
      <c r="F17" s="2" t="s">
        <v>113</v>
      </c>
      <c r="G17" s="7">
        <v>36</v>
      </c>
    </row>
    <row r="18" spans="1:7" s="12" customFormat="1" ht="26" customHeight="1">
      <c r="A18" s="18" t="s">
        <v>225</v>
      </c>
      <c r="B18" s="18" t="s">
        <v>226</v>
      </c>
      <c r="C18" s="18" t="s">
        <v>227</v>
      </c>
      <c r="D18" s="18" t="s">
        <v>97</v>
      </c>
      <c r="E18" s="18">
        <v>17</v>
      </c>
      <c r="F18" s="17" t="s">
        <v>114</v>
      </c>
      <c r="G18" s="19">
        <v>36</v>
      </c>
    </row>
    <row r="19" spans="1:7" s="12" customFormat="1" ht="26" customHeight="1">
      <c r="A19" s="13" t="s">
        <v>225</v>
      </c>
      <c r="B19" s="13" t="s">
        <v>226</v>
      </c>
      <c r="C19" s="13" t="s">
        <v>227</v>
      </c>
      <c r="D19" s="13" t="s">
        <v>97</v>
      </c>
      <c r="E19" s="13">
        <v>18</v>
      </c>
      <c r="F19" s="2" t="s">
        <v>115</v>
      </c>
      <c r="G19" s="7">
        <v>36</v>
      </c>
    </row>
    <row r="20" spans="1:7" s="12" customFormat="1" ht="26" customHeight="1">
      <c r="A20" s="18" t="s">
        <v>225</v>
      </c>
      <c r="B20" s="18" t="s">
        <v>226</v>
      </c>
      <c r="C20" s="18" t="s">
        <v>227</v>
      </c>
      <c r="D20" s="18" t="s">
        <v>97</v>
      </c>
      <c r="E20" s="18">
        <v>19</v>
      </c>
      <c r="F20" s="17" t="s">
        <v>116</v>
      </c>
      <c r="G20" s="19">
        <v>36</v>
      </c>
    </row>
    <row r="21" spans="1:7" s="12" customFormat="1" ht="26" customHeight="1">
      <c r="A21" s="13" t="s">
        <v>225</v>
      </c>
      <c r="B21" s="13" t="s">
        <v>226</v>
      </c>
      <c r="C21" s="13" t="s">
        <v>227</v>
      </c>
      <c r="D21" s="13" t="s">
        <v>97</v>
      </c>
      <c r="E21" s="13">
        <v>20</v>
      </c>
      <c r="F21" s="2" t="s">
        <v>117</v>
      </c>
      <c r="G21" s="7">
        <v>36</v>
      </c>
    </row>
    <row r="22" spans="1:7" s="12" customFormat="1" ht="26" customHeight="1">
      <c r="A22" s="18" t="s">
        <v>225</v>
      </c>
      <c r="B22" s="18" t="s">
        <v>226</v>
      </c>
      <c r="C22" s="18" t="s">
        <v>227</v>
      </c>
      <c r="D22" s="18" t="s">
        <v>97</v>
      </c>
      <c r="E22" s="18">
        <v>21</v>
      </c>
      <c r="F22" s="17" t="s">
        <v>118</v>
      </c>
      <c r="G22" s="19">
        <v>37</v>
      </c>
    </row>
    <row r="23" spans="1:7" s="12" customFormat="1" ht="26" customHeight="1">
      <c r="A23" s="13" t="s">
        <v>225</v>
      </c>
      <c r="B23" s="13" t="s">
        <v>226</v>
      </c>
      <c r="C23" s="13" t="s">
        <v>227</v>
      </c>
      <c r="D23" s="13" t="s">
        <v>97</v>
      </c>
      <c r="E23" s="13">
        <v>22</v>
      </c>
      <c r="F23" s="2" t="s">
        <v>119</v>
      </c>
      <c r="G23" s="7">
        <v>37</v>
      </c>
    </row>
    <row r="24" spans="1:7" s="12" customFormat="1" ht="26" customHeight="1">
      <c r="A24" s="18" t="s">
        <v>225</v>
      </c>
      <c r="B24" s="18" t="s">
        <v>226</v>
      </c>
      <c r="C24" s="18" t="s">
        <v>227</v>
      </c>
      <c r="D24" s="18" t="s">
        <v>97</v>
      </c>
      <c r="E24" s="18">
        <v>23</v>
      </c>
      <c r="F24" s="17" t="s">
        <v>120</v>
      </c>
      <c r="G24" s="19">
        <v>37</v>
      </c>
    </row>
    <row r="25" spans="1:7" s="12" customFormat="1" ht="26" customHeight="1">
      <c r="A25" s="13" t="s">
        <v>225</v>
      </c>
      <c r="B25" s="13" t="s">
        <v>226</v>
      </c>
      <c r="C25" s="13" t="s">
        <v>227</v>
      </c>
      <c r="D25" s="13" t="s">
        <v>97</v>
      </c>
      <c r="E25" s="13">
        <v>24</v>
      </c>
      <c r="F25" s="2" t="s">
        <v>121</v>
      </c>
      <c r="G25" s="7">
        <v>37</v>
      </c>
    </row>
    <row r="26" spans="1:7" s="12" customFormat="1" ht="26" customHeight="1">
      <c r="A26" s="18" t="s">
        <v>225</v>
      </c>
      <c r="B26" s="18" t="s">
        <v>226</v>
      </c>
      <c r="C26" s="18" t="s">
        <v>227</v>
      </c>
      <c r="D26" s="18" t="s">
        <v>97</v>
      </c>
      <c r="E26" s="18">
        <v>25</v>
      </c>
      <c r="F26" s="17" t="s">
        <v>122</v>
      </c>
      <c r="G26" s="19">
        <v>37</v>
      </c>
    </row>
    <row r="27" spans="1:7" s="12" customFormat="1" ht="26" customHeight="1">
      <c r="A27" s="13" t="s">
        <v>225</v>
      </c>
      <c r="B27" s="13" t="s">
        <v>226</v>
      </c>
      <c r="C27" s="13" t="s">
        <v>227</v>
      </c>
      <c r="D27" s="13" t="s">
        <v>97</v>
      </c>
      <c r="E27" s="13">
        <v>26</v>
      </c>
      <c r="F27" s="2" t="s">
        <v>123</v>
      </c>
      <c r="G27" s="7">
        <v>37</v>
      </c>
    </row>
    <row r="28" spans="1:7" s="12" customFormat="1" ht="26" customHeight="1">
      <c r="A28" s="18" t="s">
        <v>225</v>
      </c>
      <c r="B28" s="18" t="s">
        <v>226</v>
      </c>
      <c r="C28" s="18" t="s">
        <v>227</v>
      </c>
      <c r="D28" s="18" t="s">
        <v>97</v>
      </c>
      <c r="E28" s="18">
        <v>27</v>
      </c>
      <c r="F28" s="17" t="s">
        <v>124</v>
      </c>
      <c r="G28" s="19">
        <v>38</v>
      </c>
    </row>
    <row r="29" spans="1:7" s="12" customFormat="1" ht="26" customHeight="1">
      <c r="A29" s="13" t="s">
        <v>225</v>
      </c>
      <c r="B29" s="13" t="s">
        <v>226</v>
      </c>
      <c r="C29" s="13" t="s">
        <v>227</v>
      </c>
      <c r="D29" s="13" t="s">
        <v>97</v>
      </c>
      <c r="E29" s="13">
        <v>28</v>
      </c>
      <c r="F29" s="2" t="s">
        <v>125</v>
      </c>
      <c r="G29" s="7">
        <v>40</v>
      </c>
    </row>
    <row r="30" spans="1:7" s="12" customFormat="1" ht="26" customHeight="1">
      <c r="A30" s="18" t="s">
        <v>225</v>
      </c>
      <c r="B30" s="18" t="s">
        <v>226</v>
      </c>
      <c r="C30" s="18" t="s">
        <v>227</v>
      </c>
      <c r="D30" s="18" t="s">
        <v>97</v>
      </c>
      <c r="E30" s="18">
        <v>29</v>
      </c>
      <c r="F30" s="17" t="s">
        <v>126</v>
      </c>
      <c r="G30" s="19">
        <v>41</v>
      </c>
    </row>
    <row r="31" spans="1:7" s="12" customFormat="1" ht="26" customHeight="1">
      <c r="A31" s="13" t="s">
        <v>225</v>
      </c>
      <c r="B31" s="13" t="s">
        <v>226</v>
      </c>
      <c r="C31" s="13" t="s">
        <v>227</v>
      </c>
      <c r="D31" s="13" t="s">
        <v>97</v>
      </c>
      <c r="E31" s="13">
        <v>30</v>
      </c>
      <c r="F31" s="2" t="s">
        <v>127</v>
      </c>
      <c r="G31" s="7">
        <v>41</v>
      </c>
    </row>
    <row r="32" spans="1:7" s="12" customFormat="1" ht="26" customHeight="1">
      <c r="A32" s="18" t="s">
        <v>225</v>
      </c>
      <c r="B32" s="18" t="s">
        <v>226</v>
      </c>
      <c r="C32" s="18" t="s">
        <v>227</v>
      </c>
      <c r="D32" s="18" t="s">
        <v>128</v>
      </c>
      <c r="E32" s="18">
        <v>31</v>
      </c>
      <c r="F32" s="17" t="s">
        <v>129</v>
      </c>
      <c r="G32" s="19">
        <v>22</v>
      </c>
    </row>
    <row r="33" spans="1:7" s="12" customFormat="1" ht="26" customHeight="1">
      <c r="A33" s="13" t="s">
        <v>225</v>
      </c>
      <c r="B33" s="13" t="s">
        <v>226</v>
      </c>
      <c r="C33" s="13" t="s">
        <v>227</v>
      </c>
      <c r="D33" s="13" t="s">
        <v>128</v>
      </c>
      <c r="E33" s="13">
        <v>32</v>
      </c>
      <c r="F33" s="2" t="s">
        <v>130</v>
      </c>
      <c r="G33" s="7">
        <v>22</v>
      </c>
    </row>
    <row r="34" spans="1:7" s="12" customFormat="1" ht="26" customHeight="1">
      <c r="A34" s="18" t="s">
        <v>225</v>
      </c>
      <c r="B34" s="18" t="s">
        <v>226</v>
      </c>
      <c r="C34" s="18" t="s">
        <v>227</v>
      </c>
      <c r="D34" s="18" t="s">
        <v>128</v>
      </c>
      <c r="E34" s="18">
        <v>33</v>
      </c>
      <c r="F34" s="17" t="s">
        <v>131</v>
      </c>
      <c r="G34" s="19">
        <v>22</v>
      </c>
    </row>
    <row r="35" spans="1:7" s="12" customFormat="1" ht="26" customHeight="1">
      <c r="A35" s="13" t="s">
        <v>225</v>
      </c>
      <c r="B35" s="13" t="s">
        <v>226</v>
      </c>
      <c r="C35" s="13" t="s">
        <v>227</v>
      </c>
      <c r="D35" s="13" t="s">
        <v>128</v>
      </c>
      <c r="E35" s="13">
        <v>34</v>
      </c>
      <c r="F35" s="2" t="s">
        <v>132</v>
      </c>
      <c r="G35" s="7">
        <v>22</v>
      </c>
    </row>
    <row r="36" spans="1:7" s="12" customFormat="1" ht="26" customHeight="1">
      <c r="A36" s="18" t="s">
        <v>225</v>
      </c>
      <c r="B36" s="18" t="s">
        <v>226</v>
      </c>
      <c r="C36" s="18" t="s">
        <v>227</v>
      </c>
      <c r="D36" s="18" t="s">
        <v>128</v>
      </c>
      <c r="E36" s="18">
        <v>35</v>
      </c>
      <c r="F36" s="17" t="s">
        <v>133</v>
      </c>
      <c r="G36" s="19">
        <v>24</v>
      </c>
    </row>
    <row r="37" spans="1:7" s="12" customFormat="1" ht="26" customHeight="1">
      <c r="A37" s="13" t="s">
        <v>225</v>
      </c>
      <c r="B37" s="13" t="s">
        <v>226</v>
      </c>
      <c r="C37" s="13" t="s">
        <v>227</v>
      </c>
      <c r="D37" s="13" t="s">
        <v>128</v>
      </c>
      <c r="E37" s="13">
        <v>36</v>
      </c>
      <c r="F37" s="2" t="s">
        <v>134</v>
      </c>
      <c r="G37" s="7">
        <v>25</v>
      </c>
    </row>
    <row r="38" spans="1:7" s="12" customFormat="1" ht="26" customHeight="1">
      <c r="A38" s="18" t="s">
        <v>225</v>
      </c>
      <c r="B38" s="18" t="s">
        <v>226</v>
      </c>
      <c r="C38" s="18" t="s">
        <v>227</v>
      </c>
      <c r="D38" s="18" t="s">
        <v>128</v>
      </c>
      <c r="E38" s="18">
        <v>37</v>
      </c>
      <c r="F38" s="17" t="s">
        <v>135</v>
      </c>
      <c r="G38" s="19">
        <v>28</v>
      </c>
    </row>
    <row r="39" spans="1:7" s="12" customFormat="1" ht="26" customHeight="1">
      <c r="A39" s="13" t="s">
        <v>225</v>
      </c>
      <c r="B39" s="13" t="s">
        <v>226</v>
      </c>
      <c r="C39" s="13" t="s">
        <v>227</v>
      </c>
      <c r="D39" s="13" t="s">
        <v>128</v>
      </c>
      <c r="E39" s="13">
        <v>38</v>
      </c>
      <c r="F39" s="2" t="s">
        <v>136</v>
      </c>
      <c r="G39" s="7">
        <v>29</v>
      </c>
    </row>
    <row r="40" spans="1:7" s="12" customFormat="1" ht="26" customHeight="1">
      <c r="A40" s="18" t="s">
        <v>225</v>
      </c>
      <c r="B40" s="18" t="s">
        <v>226</v>
      </c>
      <c r="C40" s="18" t="s">
        <v>227</v>
      </c>
      <c r="D40" s="18" t="s">
        <v>128</v>
      </c>
      <c r="E40" s="18">
        <v>39</v>
      </c>
      <c r="F40" s="17" t="s">
        <v>137</v>
      </c>
      <c r="G40" s="19">
        <v>30</v>
      </c>
    </row>
    <row r="41" spans="1:7" s="12" customFormat="1" ht="26" customHeight="1">
      <c r="A41" s="13" t="s">
        <v>225</v>
      </c>
      <c r="B41" s="13" t="s">
        <v>226</v>
      </c>
      <c r="C41" s="13" t="s">
        <v>227</v>
      </c>
      <c r="D41" s="13" t="s">
        <v>128</v>
      </c>
      <c r="E41" s="13">
        <v>40</v>
      </c>
      <c r="F41" s="2" t="s">
        <v>138</v>
      </c>
      <c r="G41" s="7">
        <v>30</v>
      </c>
    </row>
    <row r="42" spans="1:7" s="12" customFormat="1" ht="26" customHeight="1">
      <c r="A42" s="18" t="s">
        <v>225</v>
      </c>
      <c r="B42" s="18" t="s">
        <v>226</v>
      </c>
      <c r="C42" s="18" t="s">
        <v>227</v>
      </c>
      <c r="D42" s="18" t="s">
        <v>128</v>
      </c>
      <c r="E42" s="18">
        <v>41</v>
      </c>
      <c r="F42" s="17" t="s">
        <v>139</v>
      </c>
      <c r="G42" s="19">
        <v>32</v>
      </c>
    </row>
    <row r="43" spans="1:7" s="12" customFormat="1" ht="26" customHeight="1">
      <c r="A43" s="13" t="s">
        <v>225</v>
      </c>
      <c r="B43" s="13" t="s">
        <v>226</v>
      </c>
      <c r="C43" s="13" t="s">
        <v>227</v>
      </c>
      <c r="D43" s="13" t="s">
        <v>128</v>
      </c>
      <c r="E43" s="13">
        <v>42</v>
      </c>
      <c r="F43" s="2" t="s">
        <v>140</v>
      </c>
      <c r="G43" s="7">
        <v>34</v>
      </c>
    </row>
    <row r="44" spans="1:7" s="12" customFormat="1" ht="26" customHeight="1">
      <c r="A44" s="18" t="s">
        <v>225</v>
      </c>
      <c r="B44" s="18" t="s">
        <v>226</v>
      </c>
      <c r="C44" s="18" t="s">
        <v>227</v>
      </c>
      <c r="D44" s="18" t="s">
        <v>128</v>
      </c>
      <c r="E44" s="18">
        <v>43</v>
      </c>
      <c r="F44" s="17" t="s">
        <v>141</v>
      </c>
      <c r="G44" s="19">
        <v>34</v>
      </c>
    </row>
    <row r="45" spans="1:7" s="12" customFormat="1" ht="26" customHeight="1">
      <c r="A45" s="13" t="s">
        <v>225</v>
      </c>
      <c r="B45" s="13" t="s">
        <v>226</v>
      </c>
      <c r="C45" s="13" t="s">
        <v>227</v>
      </c>
      <c r="D45" s="13" t="s">
        <v>128</v>
      </c>
      <c r="E45" s="13">
        <v>44</v>
      </c>
      <c r="F45" s="2" t="s">
        <v>142</v>
      </c>
      <c r="G45" s="7">
        <v>34</v>
      </c>
    </row>
    <row r="46" spans="1:7" s="12" customFormat="1" ht="26" customHeight="1">
      <c r="A46" s="18" t="s">
        <v>225</v>
      </c>
      <c r="B46" s="18" t="s">
        <v>226</v>
      </c>
      <c r="C46" s="18" t="s">
        <v>227</v>
      </c>
      <c r="D46" s="18" t="s">
        <v>128</v>
      </c>
      <c r="E46" s="18">
        <v>45</v>
      </c>
      <c r="F46" s="17" t="s">
        <v>143</v>
      </c>
      <c r="G46" s="19">
        <v>34</v>
      </c>
    </row>
    <row r="47" spans="1:7" s="12" customFormat="1" ht="26" customHeight="1">
      <c r="A47" s="13" t="s">
        <v>225</v>
      </c>
      <c r="B47" s="13" t="s">
        <v>226</v>
      </c>
      <c r="C47" s="13" t="s">
        <v>227</v>
      </c>
      <c r="D47" s="13" t="s">
        <v>128</v>
      </c>
      <c r="E47" s="13">
        <v>46</v>
      </c>
      <c r="F47" s="2" t="s">
        <v>144</v>
      </c>
      <c r="G47" s="7">
        <v>34</v>
      </c>
    </row>
    <row r="48" spans="1:7" s="12" customFormat="1" ht="26" customHeight="1">
      <c r="A48" s="18" t="s">
        <v>225</v>
      </c>
      <c r="B48" s="18" t="s">
        <v>226</v>
      </c>
      <c r="C48" s="18" t="s">
        <v>227</v>
      </c>
      <c r="D48" s="18" t="s">
        <v>128</v>
      </c>
      <c r="E48" s="18">
        <v>47</v>
      </c>
      <c r="F48" s="17" t="s">
        <v>145</v>
      </c>
      <c r="G48" s="19">
        <v>35</v>
      </c>
    </row>
    <row r="49" spans="1:7" s="12" customFormat="1" ht="26" customHeight="1">
      <c r="A49" s="13" t="s">
        <v>225</v>
      </c>
      <c r="B49" s="13" t="s">
        <v>226</v>
      </c>
      <c r="C49" s="13" t="s">
        <v>227</v>
      </c>
      <c r="D49" s="13" t="s">
        <v>128</v>
      </c>
      <c r="E49" s="13">
        <v>48</v>
      </c>
      <c r="F49" s="2" t="s">
        <v>146</v>
      </c>
      <c r="G49" s="7">
        <v>35</v>
      </c>
    </row>
    <row r="50" spans="1:7" s="12" customFormat="1" ht="26" customHeight="1">
      <c r="A50" s="18" t="s">
        <v>225</v>
      </c>
      <c r="B50" s="18" t="s">
        <v>226</v>
      </c>
      <c r="C50" s="18" t="s">
        <v>228</v>
      </c>
      <c r="D50" s="18" t="s">
        <v>97</v>
      </c>
      <c r="E50" s="18">
        <v>1</v>
      </c>
      <c r="F50" s="17" t="s">
        <v>98</v>
      </c>
      <c r="G50" s="19">
        <v>34</v>
      </c>
    </row>
    <row r="51" spans="1:7" s="12" customFormat="1" ht="26" customHeight="1">
      <c r="A51" s="13" t="s">
        <v>225</v>
      </c>
      <c r="B51" s="13" t="s">
        <v>226</v>
      </c>
      <c r="C51" s="13" t="s">
        <v>228</v>
      </c>
      <c r="D51" s="13" t="s">
        <v>97</v>
      </c>
      <c r="E51" s="13">
        <v>2</v>
      </c>
      <c r="F51" s="2" t="s">
        <v>99</v>
      </c>
      <c r="G51" s="7">
        <v>34</v>
      </c>
    </row>
    <row r="52" spans="1:7" s="12" customFormat="1" ht="26" customHeight="1">
      <c r="A52" s="18" t="s">
        <v>225</v>
      </c>
      <c r="B52" s="18" t="s">
        <v>226</v>
      </c>
      <c r="C52" s="18" t="s">
        <v>228</v>
      </c>
      <c r="D52" s="18" t="s">
        <v>97</v>
      </c>
      <c r="E52" s="18">
        <v>3</v>
      </c>
      <c r="F52" s="17" t="s">
        <v>100</v>
      </c>
      <c r="G52" s="19">
        <v>35</v>
      </c>
    </row>
    <row r="53" spans="1:7" s="12" customFormat="1" ht="26" customHeight="1">
      <c r="A53" s="13" t="s">
        <v>225</v>
      </c>
      <c r="B53" s="13" t="s">
        <v>226</v>
      </c>
      <c r="C53" s="13" t="s">
        <v>228</v>
      </c>
      <c r="D53" s="13" t="s">
        <v>97</v>
      </c>
      <c r="E53" s="13">
        <v>4</v>
      </c>
      <c r="F53" s="2" t="s">
        <v>101</v>
      </c>
      <c r="G53" s="7">
        <v>36</v>
      </c>
    </row>
    <row r="54" spans="1:7" s="12" customFormat="1" ht="26" customHeight="1">
      <c r="A54" s="18" t="s">
        <v>225</v>
      </c>
      <c r="B54" s="18" t="s">
        <v>226</v>
      </c>
      <c r="C54" s="18" t="s">
        <v>228</v>
      </c>
      <c r="D54" s="18" t="s">
        <v>97</v>
      </c>
      <c r="E54" s="18">
        <v>5</v>
      </c>
      <c r="F54" s="17" t="s">
        <v>102</v>
      </c>
      <c r="G54" s="19">
        <v>36</v>
      </c>
    </row>
    <row r="55" spans="1:7" s="12" customFormat="1" ht="26" customHeight="1">
      <c r="A55" s="13" t="s">
        <v>225</v>
      </c>
      <c r="B55" s="13" t="s">
        <v>226</v>
      </c>
      <c r="C55" s="13" t="s">
        <v>228</v>
      </c>
      <c r="D55" s="13" t="s">
        <v>97</v>
      </c>
      <c r="E55" s="13">
        <v>6</v>
      </c>
      <c r="F55" s="2" t="s">
        <v>103</v>
      </c>
      <c r="G55" s="7">
        <v>36</v>
      </c>
    </row>
    <row r="56" spans="1:7" s="12" customFormat="1" ht="26" customHeight="1">
      <c r="A56" s="18" t="s">
        <v>225</v>
      </c>
      <c r="B56" s="18" t="s">
        <v>226</v>
      </c>
      <c r="C56" s="18" t="s">
        <v>228</v>
      </c>
      <c r="D56" s="18" t="s">
        <v>97</v>
      </c>
      <c r="E56" s="18">
        <v>7</v>
      </c>
      <c r="F56" s="17" t="s">
        <v>104</v>
      </c>
      <c r="G56" s="19">
        <v>36</v>
      </c>
    </row>
    <row r="57" spans="1:7" s="12" customFormat="1" ht="26" customHeight="1">
      <c r="A57" s="13" t="s">
        <v>225</v>
      </c>
      <c r="B57" s="13" t="s">
        <v>226</v>
      </c>
      <c r="C57" s="13" t="s">
        <v>228</v>
      </c>
      <c r="D57" s="13" t="s">
        <v>97</v>
      </c>
      <c r="E57" s="13">
        <v>8</v>
      </c>
      <c r="F57" s="2" t="s">
        <v>105</v>
      </c>
      <c r="G57" s="7">
        <v>36</v>
      </c>
    </row>
    <row r="58" spans="1:7" s="12" customFormat="1" ht="26" customHeight="1">
      <c r="A58" s="18" t="s">
        <v>225</v>
      </c>
      <c r="B58" s="18" t="s">
        <v>226</v>
      </c>
      <c r="C58" s="18" t="s">
        <v>228</v>
      </c>
      <c r="D58" s="18" t="s">
        <v>97</v>
      </c>
      <c r="E58" s="18">
        <v>9</v>
      </c>
      <c r="F58" s="17" t="s">
        <v>106</v>
      </c>
      <c r="G58" s="19">
        <v>36</v>
      </c>
    </row>
    <row r="59" spans="1:7" s="12" customFormat="1" ht="26" customHeight="1">
      <c r="A59" s="13" t="s">
        <v>225</v>
      </c>
      <c r="B59" s="13" t="s">
        <v>226</v>
      </c>
      <c r="C59" s="13" t="s">
        <v>228</v>
      </c>
      <c r="D59" s="13" t="s">
        <v>97</v>
      </c>
      <c r="E59" s="13">
        <v>10</v>
      </c>
      <c r="F59" s="2" t="s">
        <v>107</v>
      </c>
      <c r="G59" s="7">
        <v>36</v>
      </c>
    </row>
    <row r="60" spans="1:7" s="12" customFormat="1" ht="26" customHeight="1">
      <c r="A60" s="18" t="s">
        <v>225</v>
      </c>
      <c r="B60" s="18" t="s">
        <v>226</v>
      </c>
      <c r="C60" s="18" t="s">
        <v>228</v>
      </c>
      <c r="D60" s="18" t="s">
        <v>97</v>
      </c>
      <c r="E60" s="18">
        <v>11</v>
      </c>
      <c r="F60" s="17" t="s">
        <v>108</v>
      </c>
      <c r="G60" s="19">
        <v>36</v>
      </c>
    </row>
    <row r="61" spans="1:7" s="12" customFormat="1" ht="26" customHeight="1">
      <c r="A61" s="13" t="s">
        <v>225</v>
      </c>
      <c r="B61" s="13" t="s">
        <v>226</v>
      </c>
      <c r="C61" s="13" t="s">
        <v>228</v>
      </c>
      <c r="D61" s="13" t="s">
        <v>97</v>
      </c>
      <c r="E61" s="13">
        <v>12</v>
      </c>
      <c r="F61" s="2" t="s">
        <v>109</v>
      </c>
      <c r="G61" s="7">
        <v>36</v>
      </c>
    </row>
    <row r="62" spans="1:7" s="12" customFormat="1" ht="26" customHeight="1">
      <c r="A62" s="18" t="s">
        <v>225</v>
      </c>
      <c r="B62" s="18" t="s">
        <v>226</v>
      </c>
      <c r="C62" s="18" t="s">
        <v>228</v>
      </c>
      <c r="D62" s="18" t="s">
        <v>97</v>
      </c>
      <c r="E62" s="18">
        <v>13</v>
      </c>
      <c r="F62" s="17" t="s">
        <v>110</v>
      </c>
      <c r="G62" s="19">
        <v>36</v>
      </c>
    </row>
    <row r="63" spans="1:7" s="12" customFormat="1" ht="26" customHeight="1">
      <c r="A63" s="13" t="s">
        <v>225</v>
      </c>
      <c r="B63" s="13" t="s">
        <v>226</v>
      </c>
      <c r="C63" s="13" t="s">
        <v>228</v>
      </c>
      <c r="D63" s="13" t="s">
        <v>97</v>
      </c>
      <c r="E63" s="13">
        <v>14</v>
      </c>
      <c r="F63" s="2" t="s">
        <v>111</v>
      </c>
      <c r="G63" s="7">
        <v>36</v>
      </c>
    </row>
    <row r="64" spans="1:7" s="12" customFormat="1" ht="26" customHeight="1">
      <c r="A64" s="18" t="s">
        <v>225</v>
      </c>
      <c r="B64" s="18" t="s">
        <v>226</v>
      </c>
      <c r="C64" s="18" t="s">
        <v>228</v>
      </c>
      <c r="D64" s="18" t="s">
        <v>97</v>
      </c>
      <c r="E64" s="18">
        <v>15</v>
      </c>
      <c r="F64" s="17" t="s">
        <v>112</v>
      </c>
      <c r="G64" s="19">
        <v>36</v>
      </c>
    </row>
    <row r="65" spans="1:7" s="12" customFormat="1" ht="26" customHeight="1">
      <c r="A65" s="13" t="s">
        <v>225</v>
      </c>
      <c r="B65" s="13" t="s">
        <v>226</v>
      </c>
      <c r="C65" s="13" t="s">
        <v>228</v>
      </c>
      <c r="D65" s="13" t="s">
        <v>97</v>
      </c>
      <c r="E65" s="13">
        <v>16</v>
      </c>
      <c r="F65" s="2" t="s">
        <v>113</v>
      </c>
      <c r="G65" s="7">
        <v>36</v>
      </c>
    </row>
    <row r="66" spans="1:7" s="12" customFormat="1" ht="26" customHeight="1">
      <c r="A66" s="18" t="s">
        <v>225</v>
      </c>
      <c r="B66" s="18" t="s">
        <v>226</v>
      </c>
      <c r="C66" s="18" t="s">
        <v>228</v>
      </c>
      <c r="D66" s="18" t="s">
        <v>97</v>
      </c>
      <c r="E66" s="18">
        <v>17</v>
      </c>
      <c r="F66" s="17" t="s">
        <v>114</v>
      </c>
      <c r="G66" s="19">
        <v>36</v>
      </c>
    </row>
    <row r="67" spans="1:7" s="12" customFormat="1" ht="26" customHeight="1">
      <c r="A67" s="13" t="s">
        <v>225</v>
      </c>
      <c r="B67" s="13" t="s">
        <v>226</v>
      </c>
      <c r="C67" s="13" t="s">
        <v>228</v>
      </c>
      <c r="D67" s="13" t="s">
        <v>97</v>
      </c>
      <c r="E67" s="13">
        <v>18</v>
      </c>
      <c r="F67" s="2" t="s">
        <v>115</v>
      </c>
      <c r="G67" s="7">
        <v>36</v>
      </c>
    </row>
    <row r="68" spans="1:7" s="12" customFormat="1" ht="26" customHeight="1">
      <c r="A68" s="18" t="s">
        <v>225</v>
      </c>
      <c r="B68" s="18" t="s">
        <v>226</v>
      </c>
      <c r="C68" s="18" t="s">
        <v>228</v>
      </c>
      <c r="D68" s="18" t="s">
        <v>97</v>
      </c>
      <c r="E68" s="18">
        <v>19</v>
      </c>
      <c r="F68" s="17" t="s">
        <v>116</v>
      </c>
      <c r="G68" s="19">
        <v>36</v>
      </c>
    </row>
    <row r="69" spans="1:7" s="12" customFormat="1" ht="26" customHeight="1">
      <c r="A69" s="13" t="s">
        <v>225</v>
      </c>
      <c r="B69" s="13" t="s">
        <v>226</v>
      </c>
      <c r="C69" s="13" t="s">
        <v>228</v>
      </c>
      <c r="D69" s="13" t="s">
        <v>97</v>
      </c>
      <c r="E69" s="13">
        <v>20</v>
      </c>
      <c r="F69" s="2" t="s">
        <v>117</v>
      </c>
      <c r="G69" s="7">
        <v>36</v>
      </c>
    </row>
    <row r="70" spans="1:7" s="12" customFormat="1" ht="26" customHeight="1">
      <c r="A70" s="18" t="s">
        <v>225</v>
      </c>
      <c r="B70" s="18" t="s">
        <v>226</v>
      </c>
      <c r="C70" s="18" t="s">
        <v>228</v>
      </c>
      <c r="D70" s="18" t="s">
        <v>97</v>
      </c>
      <c r="E70" s="18">
        <v>21</v>
      </c>
      <c r="F70" s="17" t="s">
        <v>118</v>
      </c>
      <c r="G70" s="19">
        <v>37</v>
      </c>
    </row>
    <row r="71" spans="1:7" s="12" customFormat="1" ht="26" customHeight="1">
      <c r="A71" s="13" t="s">
        <v>225</v>
      </c>
      <c r="B71" s="13" t="s">
        <v>226</v>
      </c>
      <c r="C71" s="13" t="s">
        <v>228</v>
      </c>
      <c r="D71" s="13" t="s">
        <v>97</v>
      </c>
      <c r="E71" s="13">
        <v>22</v>
      </c>
      <c r="F71" s="2" t="s">
        <v>119</v>
      </c>
      <c r="G71" s="7">
        <v>37</v>
      </c>
    </row>
    <row r="72" spans="1:7" s="12" customFormat="1" ht="26" customHeight="1">
      <c r="A72" s="18" t="s">
        <v>225</v>
      </c>
      <c r="B72" s="18" t="s">
        <v>226</v>
      </c>
      <c r="C72" s="18" t="s">
        <v>228</v>
      </c>
      <c r="D72" s="18" t="s">
        <v>97</v>
      </c>
      <c r="E72" s="18">
        <v>23</v>
      </c>
      <c r="F72" s="17" t="s">
        <v>120</v>
      </c>
      <c r="G72" s="19">
        <v>37</v>
      </c>
    </row>
    <row r="73" spans="1:7" s="12" customFormat="1" ht="26" customHeight="1">
      <c r="A73" s="13" t="s">
        <v>225</v>
      </c>
      <c r="B73" s="13" t="s">
        <v>226</v>
      </c>
      <c r="C73" s="13" t="s">
        <v>228</v>
      </c>
      <c r="D73" s="13" t="s">
        <v>97</v>
      </c>
      <c r="E73" s="13">
        <v>24</v>
      </c>
      <c r="F73" s="2" t="s">
        <v>121</v>
      </c>
      <c r="G73" s="7">
        <v>37</v>
      </c>
    </row>
    <row r="74" spans="1:7" s="12" customFormat="1" ht="26" customHeight="1">
      <c r="A74" s="18" t="s">
        <v>225</v>
      </c>
      <c r="B74" s="18" t="s">
        <v>226</v>
      </c>
      <c r="C74" s="18" t="s">
        <v>228</v>
      </c>
      <c r="D74" s="18" t="s">
        <v>97</v>
      </c>
      <c r="E74" s="18">
        <v>25</v>
      </c>
      <c r="F74" s="17" t="s">
        <v>122</v>
      </c>
      <c r="G74" s="19">
        <v>37</v>
      </c>
    </row>
    <row r="75" spans="1:7" s="12" customFormat="1" ht="26" customHeight="1">
      <c r="A75" s="13" t="s">
        <v>225</v>
      </c>
      <c r="B75" s="13" t="s">
        <v>226</v>
      </c>
      <c r="C75" s="13" t="s">
        <v>228</v>
      </c>
      <c r="D75" s="13" t="s">
        <v>97</v>
      </c>
      <c r="E75" s="13">
        <v>26</v>
      </c>
      <c r="F75" s="2" t="s">
        <v>123</v>
      </c>
      <c r="G75" s="7">
        <v>37</v>
      </c>
    </row>
    <row r="76" spans="1:7" s="12" customFormat="1" ht="26" customHeight="1">
      <c r="A76" s="18" t="s">
        <v>225</v>
      </c>
      <c r="B76" s="18" t="s">
        <v>226</v>
      </c>
      <c r="C76" s="18" t="s">
        <v>228</v>
      </c>
      <c r="D76" s="18" t="s">
        <v>97</v>
      </c>
      <c r="E76" s="18">
        <v>27</v>
      </c>
      <c r="F76" s="17" t="s">
        <v>124</v>
      </c>
      <c r="G76" s="19">
        <v>38</v>
      </c>
    </row>
    <row r="77" spans="1:7" s="12" customFormat="1" ht="26" customHeight="1">
      <c r="A77" s="13" t="s">
        <v>225</v>
      </c>
      <c r="B77" s="13" t="s">
        <v>226</v>
      </c>
      <c r="C77" s="13" t="s">
        <v>228</v>
      </c>
      <c r="D77" s="13" t="s">
        <v>97</v>
      </c>
      <c r="E77" s="13">
        <v>28</v>
      </c>
      <c r="F77" s="2" t="s">
        <v>125</v>
      </c>
      <c r="G77" s="7">
        <v>40</v>
      </c>
    </row>
    <row r="78" spans="1:7" s="12" customFormat="1" ht="26" customHeight="1">
      <c r="A78" s="18" t="s">
        <v>225</v>
      </c>
      <c r="B78" s="18" t="s">
        <v>226</v>
      </c>
      <c r="C78" s="18" t="s">
        <v>228</v>
      </c>
      <c r="D78" s="18" t="s">
        <v>97</v>
      </c>
      <c r="E78" s="18">
        <v>29</v>
      </c>
      <c r="F78" s="17" t="s">
        <v>126</v>
      </c>
      <c r="G78" s="19">
        <v>41</v>
      </c>
    </row>
    <row r="79" spans="1:7" s="12" customFormat="1" ht="26" customHeight="1">
      <c r="A79" s="13" t="s">
        <v>225</v>
      </c>
      <c r="B79" s="13" t="s">
        <v>226</v>
      </c>
      <c r="C79" s="13" t="s">
        <v>228</v>
      </c>
      <c r="D79" s="13" t="s">
        <v>97</v>
      </c>
      <c r="E79" s="13">
        <v>30</v>
      </c>
      <c r="F79" s="2" t="s">
        <v>127</v>
      </c>
      <c r="G79" s="7">
        <v>41</v>
      </c>
    </row>
    <row r="80" spans="1:7" s="12" customFormat="1" ht="26" customHeight="1">
      <c r="A80" s="18" t="s">
        <v>225</v>
      </c>
      <c r="B80" s="18" t="s">
        <v>226</v>
      </c>
      <c r="C80" s="18" t="s">
        <v>228</v>
      </c>
      <c r="D80" s="18" t="s">
        <v>128</v>
      </c>
      <c r="E80" s="18">
        <v>31</v>
      </c>
      <c r="F80" s="17" t="s">
        <v>129</v>
      </c>
      <c r="G80" s="19">
        <v>24</v>
      </c>
    </row>
    <row r="81" spans="1:7" s="12" customFormat="1" ht="26" customHeight="1">
      <c r="A81" s="13" t="s">
        <v>225</v>
      </c>
      <c r="B81" s="13" t="s">
        <v>226</v>
      </c>
      <c r="C81" s="13" t="s">
        <v>228</v>
      </c>
      <c r="D81" s="13" t="s">
        <v>128</v>
      </c>
      <c r="E81" s="13">
        <v>32</v>
      </c>
      <c r="F81" s="2" t="s">
        <v>130</v>
      </c>
      <c r="G81" s="7">
        <v>24</v>
      </c>
    </row>
    <row r="82" spans="1:7" s="12" customFormat="1" ht="26" customHeight="1">
      <c r="A82" s="18" t="s">
        <v>225</v>
      </c>
      <c r="B82" s="18" t="s">
        <v>226</v>
      </c>
      <c r="C82" s="18" t="s">
        <v>228</v>
      </c>
      <c r="D82" s="18" t="s">
        <v>128</v>
      </c>
      <c r="E82" s="18">
        <v>33</v>
      </c>
      <c r="F82" s="17" t="s">
        <v>131</v>
      </c>
      <c r="G82" s="19">
        <v>24</v>
      </c>
    </row>
    <row r="83" spans="1:7" s="12" customFormat="1" ht="26" customHeight="1">
      <c r="A83" s="13" t="s">
        <v>225</v>
      </c>
      <c r="B83" s="13" t="s">
        <v>226</v>
      </c>
      <c r="C83" s="13" t="s">
        <v>228</v>
      </c>
      <c r="D83" s="13" t="s">
        <v>128</v>
      </c>
      <c r="E83" s="13">
        <v>34</v>
      </c>
      <c r="F83" s="2" t="s">
        <v>132</v>
      </c>
      <c r="G83" s="7">
        <v>24</v>
      </c>
    </row>
    <row r="84" spans="1:7" s="12" customFormat="1" ht="26" customHeight="1">
      <c r="A84" s="18" t="s">
        <v>225</v>
      </c>
      <c r="B84" s="18" t="s">
        <v>226</v>
      </c>
      <c r="C84" s="18" t="s">
        <v>228</v>
      </c>
      <c r="D84" s="18" t="s">
        <v>128</v>
      </c>
      <c r="E84" s="18">
        <v>35</v>
      </c>
      <c r="F84" s="17" t="s">
        <v>133</v>
      </c>
      <c r="G84" s="19">
        <v>26</v>
      </c>
    </row>
    <row r="85" spans="1:7" s="12" customFormat="1" ht="26" customHeight="1">
      <c r="A85" s="13" t="s">
        <v>225</v>
      </c>
      <c r="B85" s="13" t="s">
        <v>226</v>
      </c>
      <c r="C85" s="13" t="s">
        <v>228</v>
      </c>
      <c r="D85" s="13" t="s">
        <v>128</v>
      </c>
      <c r="E85" s="13">
        <v>36</v>
      </c>
      <c r="F85" s="2" t="s">
        <v>134</v>
      </c>
      <c r="G85" s="7">
        <v>27</v>
      </c>
    </row>
    <row r="86" spans="1:7" s="12" customFormat="1" ht="26" customHeight="1">
      <c r="A86" s="18" t="s">
        <v>225</v>
      </c>
      <c r="B86" s="18" t="s">
        <v>226</v>
      </c>
      <c r="C86" s="18" t="s">
        <v>228</v>
      </c>
      <c r="D86" s="18" t="s">
        <v>128</v>
      </c>
      <c r="E86" s="18">
        <v>37</v>
      </c>
      <c r="F86" s="17" t="s">
        <v>135</v>
      </c>
      <c r="G86" s="19">
        <v>30</v>
      </c>
    </row>
    <row r="87" spans="1:7" s="12" customFormat="1" ht="26" customHeight="1">
      <c r="A87" s="13" t="s">
        <v>225</v>
      </c>
      <c r="B87" s="13" t="s">
        <v>226</v>
      </c>
      <c r="C87" s="13" t="s">
        <v>228</v>
      </c>
      <c r="D87" s="13" t="s">
        <v>128</v>
      </c>
      <c r="E87" s="13">
        <v>38</v>
      </c>
      <c r="F87" s="2" t="s">
        <v>136</v>
      </c>
      <c r="G87" s="7">
        <v>31</v>
      </c>
    </row>
    <row r="88" spans="1:7" s="12" customFormat="1" ht="26" customHeight="1">
      <c r="A88" s="18" t="s">
        <v>225</v>
      </c>
      <c r="B88" s="18" t="s">
        <v>226</v>
      </c>
      <c r="C88" s="18" t="s">
        <v>228</v>
      </c>
      <c r="D88" s="18" t="s">
        <v>128</v>
      </c>
      <c r="E88" s="18">
        <v>39</v>
      </c>
      <c r="F88" s="17" t="s">
        <v>137</v>
      </c>
      <c r="G88" s="19">
        <v>32</v>
      </c>
    </row>
    <row r="89" spans="1:7" s="12" customFormat="1" ht="26" customHeight="1">
      <c r="A89" s="13" t="s">
        <v>225</v>
      </c>
      <c r="B89" s="13" t="s">
        <v>226</v>
      </c>
      <c r="C89" s="13" t="s">
        <v>228</v>
      </c>
      <c r="D89" s="13" t="s">
        <v>128</v>
      </c>
      <c r="E89" s="13">
        <v>40</v>
      </c>
      <c r="F89" s="2" t="s">
        <v>138</v>
      </c>
      <c r="G89" s="7">
        <v>32</v>
      </c>
    </row>
    <row r="90" spans="1:7" s="12" customFormat="1" ht="26" customHeight="1">
      <c r="A90" s="18" t="s">
        <v>225</v>
      </c>
      <c r="B90" s="18" t="s">
        <v>226</v>
      </c>
      <c r="C90" s="18" t="s">
        <v>228</v>
      </c>
      <c r="D90" s="18" t="s">
        <v>128</v>
      </c>
      <c r="E90" s="18">
        <v>41</v>
      </c>
      <c r="F90" s="17" t="s">
        <v>139</v>
      </c>
      <c r="G90" s="19">
        <v>34</v>
      </c>
    </row>
    <row r="91" spans="1:7" s="12" customFormat="1" ht="26" customHeight="1">
      <c r="A91" s="13" t="s">
        <v>225</v>
      </c>
      <c r="B91" s="13" t="s">
        <v>226</v>
      </c>
      <c r="C91" s="13" t="s">
        <v>228</v>
      </c>
      <c r="D91" s="13" t="s">
        <v>128</v>
      </c>
      <c r="E91" s="13">
        <v>42</v>
      </c>
      <c r="F91" s="2" t="s">
        <v>140</v>
      </c>
      <c r="G91" s="7">
        <v>36</v>
      </c>
    </row>
    <row r="92" spans="1:7" s="12" customFormat="1" ht="26" customHeight="1">
      <c r="A92" s="18" t="s">
        <v>225</v>
      </c>
      <c r="B92" s="18" t="s">
        <v>226</v>
      </c>
      <c r="C92" s="18" t="s">
        <v>228</v>
      </c>
      <c r="D92" s="18" t="s">
        <v>128</v>
      </c>
      <c r="E92" s="18">
        <v>43</v>
      </c>
      <c r="F92" s="17" t="s">
        <v>141</v>
      </c>
      <c r="G92" s="19">
        <v>36</v>
      </c>
    </row>
    <row r="93" spans="1:7" s="12" customFormat="1" ht="26" customHeight="1">
      <c r="A93" s="13" t="s">
        <v>225</v>
      </c>
      <c r="B93" s="13" t="s">
        <v>226</v>
      </c>
      <c r="C93" s="13" t="s">
        <v>228</v>
      </c>
      <c r="D93" s="13" t="s">
        <v>128</v>
      </c>
      <c r="E93" s="13">
        <v>44</v>
      </c>
      <c r="F93" s="2" t="s">
        <v>142</v>
      </c>
      <c r="G93" s="7">
        <v>36</v>
      </c>
    </row>
    <row r="94" spans="1:7" s="12" customFormat="1" ht="26" customHeight="1">
      <c r="A94" s="18" t="s">
        <v>225</v>
      </c>
      <c r="B94" s="18" t="s">
        <v>226</v>
      </c>
      <c r="C94" s="18" t="s">
        <v>228</v>
      </c>
      <c r="D94" s="18" t="s">
        <v>128</v>
      </c>
      <c r="E94" s="18">
        <v>45</v>
      </c>
      <c r="F94" s="17" t="s">
        <v>143</v>
      </c>
      <c r="G94" s="19">
        <v>36</v>
      </c>
    </row>
    <row r="95" spans="1:7" s="12" customFormat="1" ht="26" customHeight="1">
      <c r="A95" s="13" t="s">
        <v>225</v>
      </c>
      <c r="B95" s="13" t="s">
        <v>226</v>
      </c>
      <c r="C95" s="13" t="s">
        <v>228</v>
      </c>
      <c r="D95" s="13" t="s">
        <v>128</v>
      </c>
      <c r="E95" s="13">
        <v>46</v>
      </c>
      <c r="F95" s="2" t="s">
        <v>144</v>
      </c>
      <c r="G95" s="7">
        <v>36</v>
      </c>
    </row>
    <row r="96" spans="1:7" s="12" customFormat="1" ht="26" customHeight="1">
      <c r="A96" s="18" t="s">
        <v>225</v>
      </c>
      <c r="B96" s="18" t="s">
        <v>226</v>
      </c>
      <c r="C96" s="18" t="s">
        <v>228</v>
      </c>
      <c r="D96" s="18" t="s">
        <v>128</v>
      </c>
      <c r="E96" s="18">
        <v>47</v>
      </c>
      <c r="F96" s="17" t="s">
        <v>145</v>
      </c>
      <c r="G96" s="19">
        <v>37</v>
      </c>
    </row>
    <row r="97" spans="1:7" s="12" customFormat="1" ht="26" customHeight="1">
      <c r="A97" s="13" t="s">
        <v>225</v>
      </c>
      <c r="B97" s="13" t="s">
        <v>226</v>
      </c>
      <c r="C97" s="13" t="s">
        <v>228</v>
      </c>
      <c r="D97" s="13" t="s">
        <v>128</v>
      </c>
      <c r="E97" s="13">
        <v>48</v>
      </c>
      <c r="F97" s="2" t="s">
        <v>146</v>
      </c>
      <c r="G97" s="7">
        <v>37</v>
      </c>
    </row>
    <row r="98" spans="1:7" s="12" customFormat="1" ht="26" customHeight="1">
      <c r="A98" s="18" t="s">
        <v>225</v>
      </c>
      <c r="B98" s="18" t="s">
        <v>226</v>
      </c>
      <c r="C98" s="18" t="s">
        <v>229</v>
      </c>
      <c r="D98" s="18" t="s">
        <v>97</v>
      </c>
      <c r="E98" s="18">
        <v>1</v>
      </c>
      <c r="F98" s="17" t="s">
        <v>98</v>
      </c>
      <c r="G98" s="19">
        <v>34</v>
      </c>
    </row>
    <row r="99" spans="1:7" s="12" customFormat="1" ht="26" customHeight="1">
      <c r="A99" s="13" t="s">
        <v>225</v>
      </c>
      <c r="B99" s="13" t="s">
        <v>226</v>
      </c>
      <c r="C99" s="13" t="s">
        <v>229</v>
      </c>
      <c r="D99" s="13" t="s">
        <v>97</v>
      </c>
      <c r="E99" s="13">
        <v>2</v>
      </c>
      <c r="F99" s="2" t="s">
        <v>99</v>
      </c>
      <c r="G99" s="7">
        <v>34</v>
      </c>
    </row>
    <row r="100" spans="1:7" s="12" customFormat="1" ht="26" customHeight="1">
      <c r="A100" s="18" t="s">
        <v>225</v>
      </c>
      <c r="B100" s="18" t="s">
        <v>226</v>
      </c>
      <c r="C100" s="18" t="s">
        <v>229</v>
      </c>
      <c r="D100" s="18" t="s">
        <v>97</v>
      </c>
      <c r="E100" s="18">
        <v>3</v>
      </c>
      <c r="F100" s="17" t="s">
        <v>100</v>
      </c>
      <c r="G100" s="19">
        <v>35</v>
      </c>
    </row>
    <row r="101" spans="1:7" s="12" customFormat="1" ht="26" customHeight="1">
      <c r="A101" s="13" t="s">
        <v>225</v>
      </c>
      <c r="B101" s="13" t="s">
        <v>226</v>
      </c>
      <c r="C101" s="13" t="s">
        <v>229</v>
      </c>
      <c r="D101" s="13" t="s">
        <v>97</v>
      </c>
      <c r="E101" s="13">
        <v>4</v>
      </c>
      <c r="F101" s="2" t="s">
        <v>101</v>
      </c>
      <c r="G101" s="7">
        <v>36</v>
      </c>
    </row>
    <row r="102" spans="1:7" s="12" customFormat="1" ht="26" customHeight="1">
      <c r="A102" s="18" t="s">
        <v>225</v>
      </c>
      <c r="B102" s="18" t="s">
        <v>226</v>
      </c>
      <c r="C102" s="18" t="s">
        <v>229</v>
      </c>
      <c r="D102" s="18" t="s">
        <v>97</v>
      </c>
      <c r="E102" s="18">
        <v>5</v>
      </c>
      <c r="F102" s="17" t="s">
        <v>102</v>
      </c>
      <c r="G102" s="19">
        <v>36</v>
      </c>
    </row>
    <row r="103" spans="1:7" s="12" customFormat="1" ht="26" customHeight="1">
      <c r="A103" s="13" t="s">
        <v>225</v>
      </c>
      <c r="B103" s="13" t="s">
        <v>226</v>
      </c>
      <c r="C103" s="13" t="s">
        <v>229</v>
      </c>
      <c r="D103" s="13" t="s">
        <v>97</v>
      </c>
      <c r="E103" s="13">
        <v>6</v>
      </c>
      <c r="F103" s="2" t="s">
        <v>103</v>
      </c>
      <c r="G103" s="7">
        <v>36</v>
      </c>
    </row>
    <row r="104" spans="1:7" s="12" customFormat="1" ht="26" customHeight="1">
      <c r="A104" s="18" t="s">
        <v>225</v>
      </c>
      <c r="B104" s="18" t="s">
        <v>226</v>
      </c>
      <c r="C104" s="18" t="s">
        <v>229</v>
      </c>
      <c r="D104" s="18" t="s">
        <v>97</v>
      </c>
      <c r="E104" s="18">
        <v>7</v>
      </c>
      <c r="F104" s="17" t="s">
        <v>104</v>
      </c>
      <c r="G104" s="19">
        <v>36</v>
      </c>
    </row>
    <row r="105" spans="1:7" s="12" customFormat="1" ht="26" customHeight="1">
      <c r="A105" s="13" t="s">
        <v>225</v>
      </c>
      <c r="B105" s="13" t="s">
        <v>226</v>
      </c>
      <c r="C105" s="13" t="s">
        <v>229</v>
      </c>
      <c r="D105" s="13" t="s">
        <v>97</v>
      </c>
      <c r="E105" s="13">
        <v>8</v>
      </c>
      <c r="F105" s="2" t="s">
        <v>105</v>
      </c>
      <c r="G105" s="7">
        <v>36</v>
      </c>
    </row>
    <row r="106" spans="1:7" s="12" customFormat="1" ht="26" customHeight="1">
      <c r="A106" s="18" t="s">
        <v>225</v>
      </c>
      <c r="B106" s="18" t="s">
        <v>226</v>
      </c>
      <c r="C106" s="18" t="s">
        <v>229</v>
      </c>
      <c r="D106" s="18" t="s">
        <v>97</v>
      </c>
      <c r="E106" s="18">
        <v>9</v>
      </c>
      <c r="F106" s="17" t="s">
        <v>106</v>
      </c>
      <c r="G106" s="19">
        <v>36</v>
      </c>
    </row>
    <row r="107" spans="1:7" s="12" customFormat="1" ht="26" customHeight="1">
      <c r="A107" s="13" t="s">
        <v>225</v>
      </c>
      <c r="B107" s="13" t="s">
        <v>226</v>
      </c>
      <c r="C107" s="13" t="s">
        <v>229</v>
      </c>
      <c r="D107" s="13" t="s">
        <v>97</v>
      </c>
      <c r="E107" s="13">
        <v>10</v>
      </c>
      <c r="F107" s="2" t="s">
        <v>107</v>
      </c>
      <c r="G107" s="7">
        <v>36</v>
      </c>
    </row>
    <row r="108" spans="1:7" s="12" customFormat="1" ht="26" customHeight="1">
      <c r="A108" s="18" t="s">
        <v>225</v>
      </c>
      <c r="B108" s="18" t="s">
        <v>226</v>
      </c>
      <c r="C108" s="18" t="s">
        <v>229</v>
      </c>
      <c r="D108" s="18" t="s">
        <v>97</v>
      </c>
      <c r="E108" s="18">
        <v>11</v>
      </c>
      <c r="F108" s="17" t="s">
        <v>108</v>
      </c>
      <c r="G108" s="19">
        <v>36</v>
      </c>
    </row>
    <row r="109" spans="1:7" s="12" customFormat="1" ht="26" customHeight="1">
      <c r="A109" s="13" t="s">
        <v>225</v>
      </c>
      <c r="B109" s="13" t="s">
        <v>226</v>
      </c>
      <c r="C109" s="13" t="s">
        <v>229</v>
      </c>
      <c r="D109" s="13" t="s">
        <v>97</v>
      </c>
      <c r="E109" s="13">
        <v>12</v>
      </c>
      <c r="F109" s="2" t="s">
        <v>109</v>
      </c>
      <c r="G109" s="7">
        <v>36</v>
      </c>
    </row>
    <row r="110" spans="1:7" s="12" customFormat="1" ht="26" customHeight="1">
      <c r="A110" s="18" t="s">
        <v>225</v>
      </c>
      <c r="B110" s="18" t="s">
        <v>226</v>
      </c>
      <c r="C110" s="18" t="s">
        <v>229</v>
      </c>
      <c r="D110" s="18" t="s">
        <v>97</v>
      </c>
      <c r="E110" s="18">
        <v>13</v>
      </c>
      <c r="F110" s="17" t="s">
        <v>110</v>
      </c>
      <c r="G110" s="19">
        <v>36</v>
      </c>
    </row>
    <row r="111" spans="1:7" s="12" customFormat="1" ht="26" customHeight="1">
      <c r="A111" s="13" t="s">
        <v>225</v>
      </c>
      <c r="B111" s="13" t="s">
        <v>226</v>
      </c>
      <c r="C111" s="13" t="s">
        <v>229</v>
      </c>
      <c r="D111" s="13" t="s">
        <v>97</v>
      </c>
      <c r="E111" s="13">
        <v>14</v>
      </c>
      <c r="F111" s="2" t="s">
        <v>111</v>
      </c>
      <c r="G111" s="7">
        <v>36</v>
      </c>
    </row>
    <row r="112" spans="1:7" s="12" customFormat="1" ht="26" customHeight="1">
      <c r="A112" s="18" t="s">
        <v>225</v>
      </c>
      <c r="B112" s="18" t="s">
        <v>226</v>
      </c>
      <c r="C112" s="18" t="s">
        <v>229</v>
      </c>
      <c r="D112" s="18" t="s">
        <v>97</v>
      </c>
      <c r="E112" s="18">
        <v>15</v>
      </c>
      <c r="F112" s="17" t="s">
        <v>112</v>
      </c>
      <c r="G112" s="19">
        <v>36</v>
      </c>
    </row>
    <row r="113" spans="1:7" s="12" customFormat="1" ht="26" customHeight="1">
      <c r="A113" s="13" t="s">
        <v>225</v>
      </c>
      <c r="B113" s="13" t="s">
        <v>226</v>
      </c>
      <c r="C113" s="13" t="s">
        <v>229</v>
      </c>
      <c r="D113" s="13" t="s">
        <v>97</v>
      </c>
      <c r="E113" s="13">
        <v>16</v>
      </c>
      <c r="F113" s="2" t="s">
        <v>113</v>
      </c>
      <c r="G113" s="7">
        <v>36</v>
      </c>
    </row>
    <row r="114" spans="1:7" s="12" customFormat="1" ht="26" customHeight="1">
      <c r="A114" s="18" t="s">
        <v>225</v>
      </c>
      <c r="B114" s="18" t="s">
        <v>226</v>
      </c>
      <c r="C114" s="18" t="s">
        <v>229</v>
      </c>
      <c r="D114" s="18" t="s">
        <v>97</v>
      </c>
      <c r="E114" s="18">
        <v>17</v>
      </c>
      <c r="F114" s="17" t="s">
        <v>114</v>
      </c>
      <c r="G114" s="19">
        <v>36</v>
      </c>
    </row>
    <row r="115" spans="1:7" s="12" customFormat="1" ht="26" customHeight="1">
      <c r="A115" s="13" t="s">
        <v>225</v>
      </c>
      <c r="B115" s="13" t="s">
        <v>226</v>
      </c>
      <c r="C115" s="13" t="s">
        <v>229</v>
      </c>
      <c r="D115" s="13" t="s">
        <v>97</v>
      </c>
      <c r="E115" s="13">
        <v>18</v>
      </c>
      <c r="F115" s="2" t="s">
        <v>115</v>
      </c>
      <c r="G115" s="7">
        <v>36</v>
      </c>
    </row>
    <row r="116" spans="1:7" s="12" customFormat="1" ht="26" customHeight="1">
      <c r="A116" s="18" t="s">
        <v>225</v>
      </c>
      <c r="B116" s="18" t="s">
        <v>226</v>
      </c>
      <c r="C116" s="18" t="s">
        <v>229</v>
      </c>
      <c r="D116" s="18" t="s">
        <v>97</v>
      </c>
      <c r="E116" s="18">
        <v>19</v>
      </c>
      <c r="F116" s="17" t="s">
        <v>116</v>
      </c>
      <c r="G116" s="19">
        <v>36</v>
      </c>
    </row>
    <row r="117" spans="1:7" s="12" customFormat="1" ht="26" customHeight="1">
      <c r="A117" s="13" t="s">
        <v>225</v>
      </c>
      <c r="B117" s="13" t="s">
        <v>226</v>
      </c>
      <c r="C117" s="13" t="s">
        <v>229</v>
      </c>
      <c r="D117" s="13" t="s">
        <v>97</v>
      </c>
      <c r="E117" s="13">
        <v>20</v>
      </c>
      <c r="F117" s="2" t="s">
        <v>117</v>
      </c>
      <c r="G117" s="7">
        <v>36</v>
      </c>
    </row>
    <row r="118" spans="1:7" s="12" customFormat="1" ht="26" customHeight="1">
      <c r="A118" s="18" t="s">
        <v>225</v>
      </c>
      <c r="B118" s="18" t="s">
        <v>226</v>
      </c>
      <c r="C118" s="18" t="s">
        <v>229</v>
      </c>
      <c r="D118" s="18" t="s">
        <v>97</v>
      </c>
      <c r="E118" s="18">
        <v>21</v>
      </c>
      <c r="F118" s="17" t="s">
        <v>118</v>
      </c>
      <c r="G118" s="19">
        <v>37</v>
      </c>
    </row>
    <row r="119" spans="1:7" s="12" customFormat="1" ht="26" customHeight="1">
      <c r="A119" s="13" t="s">
        <v>225</v>
      </c>
      <c r="B119" s="13" t="s">
        <v>226</v>
      </c>
      <c r="C119" s="13" t="s">
        <v>229</v>
      </c>
      <c r="D119" s="13" t="s">
        <v>97</v>
      </c>
      <c r="E119" s="13">
        <v>22</v>
      </c>
      <c r="F119" s="2" t="s">
        <v>119</v>
      </c>
      <c r="G119" s="7">
        <v>37</v>
      </c>
    </row>
    <row r="120" spans="1:7" s="12" customFormat="1" ht="26" customHeight="1">
      <c r="A120" s="18" t="s">
        <v>225</v>
      </c>
      <c r="B120" s="18" t="s">
        <v>226</v>
      </c>
      <c r="C120" s="18" t="s">
        <v>229</v>
      </c>
      <c r="D120" s="18" t="s">
        <v>97</v>
      </c>
      <c r="E120" s="18">
        <v>23</v>
      </c>
      <c r="F120" s="17" t="s">
        <v>120</v>
      </c>
      <c r="G120" s="19">
        <v>37</v>
      </c>
    </row>
    <row r="121" spans="1:7" s="12" customFormat="1" ht="26" customHeight="1">
      <c r="A121" s="13" t="s">
        <v>225</v>
      </c>
      <c r="B121" s="13" t="s">
        <v>226</v>
      </c>
      <c r="C121" s="13" t="s">
        <v>229</v>
      </c>
      <c r="D121" s="13" t="s">
        <v>97</v>
      </c>
      <c r="E121" s="13">
        <v>24</v>
      </c>
      <c r="F121" s="2" t="s">
        <v>121</v>
      </c>
      <c r="G121" s="7">
        <v>37</v>
      </c>
    </row>
    <row r="122" spans="1:7" s="12" customFormat="1" ht="26" customHeight="1">
      <c r="A122" s="18" t="s">
        <v>225</v>
      </c>
      <c r="B122" s="18" t="s">
        <v>226</v>
      </c>
      <c r="C122" s="18" t="s">
        <v>229</v>
      </c>
      <c r="D122" s="18" t="s">
        <v>97</v>
      </c>
      <c r="E122" s="18">
        <v>25</v>
      </c>
      <c r="F122" s="17" t="s">
        <v>122</v>
      </c>
      <c r="G122" s="19">
        <v>37</v>
      </c>
    </row>
    <row r="123" spans="1:7" s="12" customFormat="1" ht="26" customHeight="1">
      <c r="A123" s="13" t="s">
        <v>225</v>
      </c>
      <c r="B123" s="13" t="s">
        <v>226</v>
      </c>
      <c r="C123" s="13" t="s">
        <v>229</v>
      </c>
      <c r="D123" s="13" t="s">
        <v>97</v>
      </c>
      <c r="E123" s="13">
        <v>26</v>
      </c>
      <c r="F123" s="2" t="s">
        <v>123</v>
      </c>
      <c r="G123" s="7">
        <v>37</v>
      </c>
    </row>
    <row r="124" spans="1:7" s="12" customFormat="1" ht="26" customHeight="1">
      <c r="A124" s="18" t="s">
        <v>225</v>
      </c>
      <c r="B124" s="18" t="s">
        <v>226</v>
      </c>
      <c r="C124" s="18" t="s">
        <v>229</v>
      </c>
      <c r="D124" s="18" t="s">
        <v>97</v>
      </c>
      <c r="E124" s="18">
        <v>27</v>
      </c>
      <c r="F124" s="17" t="s">
        <v>124</v>
      </c>
      <c r="G124" s="19">
        <v>38</v>
      </c>
    </row>
    <row r="125" spans="1:7" s="12" customFormat="1" ht="26" customHeight="1">
      <c r="A125" s="13" t="s">
        <v>225</v>
      </c>
      <c r="B125" s="13" t="s">
        <v>226</v>
      </c>
      <c r="C125" s="13" t="s">
        <v>229</v>
      </c>
      <c r="D125" s="13" t="s">
        <v>97</v>
      </c>
      <c r="E125" s="13">
        <v>28</v>
      </c>
      <c r="F125" s="2" t="s">
        <v>125</v>
      </c>
      <c r="G125" s="7">
        <v>40</v>
      </c>
    </row>
    <row r="126" spans="1:7" s="12" customFormat="1" ht="26" customHeight="1">
      <c r="A126" s="18" t="s">
        <v>225</v>
      </c>
      <c r="B126" s="18" t="s">
        <v>226</v>
      </c>
      <c r="C126" s="18" t="s">
        <v>229</v>
      </c>
      <c r="D126" s="18" t="s">
        <v>97</v>
      </c>
      <c r="E126" s="18">
        <v>29</v>
      </c>
      <c r="F126" s="17" t="s">
        <v>126</v>
      </c>
      <c r="G126" s="19">
        <v>41</v>
      </c>
    </row>
    <row r="127" spans="1:7" s="12" customFormat="1" ht="26" customHeight="1">
      <c r="A127" s="13" t="s">
        <v>225</v>
      </c>
      <c r="B127" s="13" t="s">
        <v>226</v>
      </c>
      <c r="C127" s="13" t="s">
        <v>229</v>
      </c>
      <c r="D127" s="13" t="s">
        <v>97</v>
      </c>
      <c r="E127" s="13">
        <v>30</v>
      </c>
      <c r="F127" s="2" t="s">
        <v>127</v>
      </c>
      <c r="G127" s="7">
        <v>41</v>
      </c>
    </row>
    <row r="128" spans="1:7" s="12" customFormat="1" ht="26" customHeight="1">
      <c r="A128" s="18" t="s">
        <v>225</v>
      </c>
      <c r="B128" s="18" t="s">
        <v>226</v>
      </c>
      <c r="C128" s="18" t="s">
        <v>229</v>
      </c>
      <c r="D128" s="18" t="s">
        <v>128</v>
      </c>
      <c r="E128" s="18">
        <v>31</v>
      </c>
      <c r="F128" s="17" t="s">
        <v>129</v>
      </c>
      <c r="G128" s="19">
        <v>22</v>
      </c>
    </row>
    <row r="129" spans="1:7" s="12" customFormat="1" ht="26" customHeight="1">
      <c r="A129" s="13" t="s">
        <v>225</v>
      </c>
      <c r="B129" s="13" t="s">
        <v>226</v>
      </c>
      <c r="C129" s="13" t="s">
        <v>229</v>
      </c>
      <c r="D129" s="13" t="s">
        <v>128</v>
      </c>
      <c r="E129" s="13">
        <v>32</v>
      </c>
      <c r="F129" s="2" t="s">
        <v>130</v>
      </c>
      <c r="G129" s="7">
        <v>22</v>
      </c>
    </row>
    <row r="130" spans="1:7" s="12" customFormat="1" ht="26" customHeight="1">
      <c r="A130" s="18" t="s">
        <v>225</v>
      </c>
      <c r="B130" s="18" t="s">
        <v>226</v>
      </c>
      <c r="C130" s="18" t="s">
        <v>229</v>
      </c>
      <c r="D130" s="18" t="s">
        <v>128</v>
      </c>
      <c r="E130" s="18">
        <v>33</v>
      </c>
      <c r="F130" s="17" t="s">
        <v>131</v>
      </c>
      <c r="G130" s="19">
        <v>22</v>
      </c>
    </row>
    <row r="131" spans="1:7" s="12" customFormat="1" ht="26" customHeight="1">
      <c r="A131" s="13" t="s">
        <v>225</v>
      </c>
      <c r="B131" s="13" t="s">
        <v>226</v>
      </c>
      <c r="C131" s="13" t="s">
        <v>229</v>
      </c>
      <c r="D131" s="13" t="s">
        <v>128</v>
      </c>
      <c r="E131" s="13">
        <v>34</v>
      </c>
      <c r="F131" s="2" t="s">
        <v>132</v>
      </c>
      <c r="G131" s="7">
        <v>22</v>
      </c>
    </row>
    <row r="132" spans="1:7" s="12" customFormat="1" ht="26" customHeight="1">
      <c r="A132" s="18" t="s">
        <v>225</v>
      </c>
      <c r="B132" s="18" t="s">
        <v>226</v>
      </c>
      <c r="C132" s="18" t="s">
        <v>229</v>
      </c>
      <c r="D132" s="18" t="s">
        <v>128</v>
      </c>
      <c r="E132" s="18">
        <v>35</v>
      </c>
      <c r="F132" s="17" t="s">
        <v>133</v>
      </c>
      <c r="G132" s="19">
        <v>24</v>
      </c>
    </row>
    <row r="133" spans="1:7" s="12" customFormat="1" ht="26" customHeight="1">
      <c r="A133" s="13" t="s">
        <v>225</v>
      </c>
      <c r="B133" s="13" t="s">
        <v>226</v>
      </c>
      <c r="C133" s="13" t="s">
        <v>229</v>
      </c>
      <c r="D133" s="13" t="s">
        <v>128</v>
      </c>
      <c r="E133" s="13">
        <v>36</v>
      </c>
      <c r="F133" s="2" t="s">
        <v>134</v>
      </c>
      <c r="G133" s="7">
        <v>25</v>
      </c>
    </row>
    <row r="134" spans="1:7" s="12" customFormat="1" ht="26" customHeight="1">
      <c r="A134" s="18" t="s">
        <v>225</v>
      </c>
      <c r="B134" s="18" t="s">
        <v>226</v>
      </c>
      <c r="C134" s="18" t="s">
        <v>229</v>
      </c>
      <c r="D134" s="18" t="s">
        <v>128</v>
      </c>
      <c r="E134" s="18">
        <v>37</v>
      </c>
      <c r="F134" s="17" t="s">
        <v>135</v>
      </c>
      <c r="G134" s="19">
        <v>28</v>
      </c>
    </row>
    <row r="135" spans="1:7" s="12" customFormat="1" ht="26" customHeight="1">
      <c r="A135" s="13" t="s">
        <v>225</v>
      </c>
      <c r="B135" s="13" t="s">
        <v>226</v>
      </c>
      <c r="C135" s="13" t="s">
        <v>229</v>
      </c>
      <c r="D135" s="13" t="s">
        <v>128</v>
      </c>
      <c r="E135" s="13">
        <v>38</v>
      </c>
      <c r="F135" s="2" t="s">
        <v>136</v>
      </c>
      <c r="G135" s="7">
        <v>29</v>
      </c>
    </row>
    <row r="136" spans="1:7" s="12" customFormat="1" ht="26" customHeight="1">
      <c r="A136" s="18" t="s">
        <v>225</v>
      </c>
      <c r="B136" s="18" t="s">
        <v>226</v>
      </c>
      <c r="C136" s="18" t="s">
        <v>229</v>
      </c>
      <c r="D136" s="18" t="s">
        <v>128</v>
      </c>
      <c r="E136" s="18">
        <v>39</v>
      </c>
      <c r="F136" s="17" t="s">
        <v>137</v>
      </c>
      <c r="G136" s="19">
        <v>30</v>
      </c>
    </row>
    <row r="137" spans="1:7" s="12" customFormat="1" ht="26" customHeight="1">
      <c r="A137" s="13" t="s">
        <v>225</v>
      </c>
      <c r="B137" s="13" t="s">
        <v>226</v>
      </c>
      <c r="C137" s="13" t="s">
        <v>229</v>
      </c>
      <c r="D137" s="13" t="s">
        <v>128</v>
      </c>
      <c r="E137" s="13">
        <v>40</v>
      </c>
      <c r="F137" s="2" t="s">
        <v>138</v>
      </c>
      <c r="G137" s="7">
        <v>30</v>
      </c>
    </row>
    <row r="138" spans="1:7" s="12" customFormat="1" ht="26" customHeight="1">
      <c r="A138" s="18" t="s">
        <v>225</v>
      </c>
      <c r="B138" s="18" t="s">
        <v>226</v>
      </c>
      <c r="C138" s="18" t="s">
        <v>229</v>
      </c>
      <c r="D138" s="18" t="s">
        <v>128</v>
      </c>
      <c r="E138" s="18">
        <v>41</v>
      </c>
      <c r="F138" s="17" t="s">
        <v>139</v>
      </c>
      <c r="G138" s="19">
        <v>32</v>
      </c>
    </row>
    <row r="139" spans="1:7" s="12" customFormat="1" ht="26" customHeight="1">
      <c r="A139" s="13" t="s">
        <v>225</v>
      </c>
      <c r="B139" s="13" t="s">
        <v>226</v>
      </c>
      <c r="C139" s="13" t="s">
        <v>229</v>
      </c>
      <c r="D139" s="13" t="s">
        <v>128</v>
      </c>
      <c r="E139" s="13">
        <v>42</v>
      </c>
      <c r="F139" s="2" t="s">
        <v>140</v>
      </c>
      <c r="G139" s="7">
        <v>34</v>
      </c>
    </row>
    <row r="140" spans="1:7" s="12" customFormat="1" ht="26" customHeight="1">
      <c r="A140" s="18" t="s">
        <v>225</v>
      </c>
      <c r="B140" s="18" t="s">
        <v>226</v>
      </c>
      <c r="C140" s="18" t="s">
        <v>229</v>
      </c>
      <c r="D140" s="18" t="s">
        <v>128</v>
      </c>
      <c r="E140" s="18">
        <v>43</v>
      </c>
      <c r="F140" s="17" t="s">
        <v>141</v>
      </c>
      <c r="G140" s="19">
        <v>34</v>
      </c>
    </row>
    <row r="141" spans="1:7" s="12" customFormat="1" ht="26" customHeight="1">
      <c r="A141" s="13" t="s">
        <v>225</v>
      </c>
      <c r="B141" s="13" t="s">
        <v>226</v>
      </c>
      <c r="C141" s="13" t="s">
        <v>229</v>
      </c>
      <c r="D141" s="13" t="s">
        <v>128</v>
      </c>
      <c r="E141" s="13">
        <v>44</v>
      </c>
      <c r="F141" s="2" t="s">
        <v>142</v>
      </c>
      <c r="G141" s="7">
        <v>34</v>
      </c>
    </row>
    <row r="142" spans="1:7" s="12" customFormat="1" ht="26" customHeight="1">
      <c r="A142" s="18" t="s">
        <v>225</v>
      </c>
      <c r="B142" s="18" t="s">
        <v>226</v>
      </c>
      <c r="C142" s="18" t="s">
        <v>229</v>
      </c>
      <c r="D142" s="18" t="s">
        <v>128</v>
      </c>
      <c r="E142" s="18">
        <v>45</v>
      </c>
      <c r="F142" s="17" t="s">
        <v>143</v>
      </c>
      <c r="G142" s="19">
        <v>34</v>
      </c>
    </row>
    <row r="143" spans="1:7" s="12" customFormat="1" ht="26" customHeight="1">
      <c r="A143" s="13" t="s">
        <v>225</v>
      </c>
      <c r="B143" s="13" t="s">
        <v>226</v>
      </c>
      <c r="C143" s="13" t="s">
        <v>229</v>
      </c>
      <c r="D143" s="13" t="s">
        <v>128</v>
      </c>
      <c r="E143" s="13">
        <v>46</v>
      </c>
      <c r="F143" s="2" t="s">
        <v>144</v>
      </c>
      <c r="G143" s="7">
        <v>34</v>
      </c>
    </row>
    <row r="144" spans="1:7" s="12" customFormat="1" ht="26" customHeight="1">
      <c r="A144" s="18" t="s">
        <v>225</v>
      </c>
      <c r="B144" s="18" t="s">
        <v>226</v>
      </c>
      <c r="C144" s="18" t="s">
        <v>229</v>
      </c>
      <c r="D144" s="18" t="s">
        <v>128</v>
      </c>
      <c r="E144" s="18">
        <v>47</v>
      </c>
      <c r="F144" s="17" t="s">
        <v>145</v>
      </c>
      <c r="G144" s="19">
        <v>35</v>
      </c>
    </row>
    <row r="145" spans="1:7" s="12" customFormat="1" ht="26" customHeight="1">
      <c r="A145" s="13" t="s">
        <v>225</v>
      </c>
      <c r="B145" s="13" t="s">
        <v>226</v>
      </c>
      <c r="C145" s="13" t="s">
        <v>229</v>
      </c>
      <c r="D145" s="13" t="s">
        <v>128</v>
      </c>
      <c r="E145" s="13">
        <v>48</v>
      </c>
      <c r="F145" s="2" t="s">
        <v>146</v>
      </c>
      <c r="G145" s="7">
        <v>35</v>
      </c>
    </row>
    <row r="146" spans="1:7" s="12" customFormat="1" ht="26" customHeight="1">
      <c r="A146" s="18" t="s">
        <v>225</v>
      </c>
      <c r="B146" s="18" t="s">
        <v>226</v>
      </c>
      <c r="C146" s="18" t="s">
        <v>230</v>
      </c>
      <c r="D146" s="18" t="s">
        <v>97</v>
      </c>
      <c r="E146" s="18">
        <v>1</v>
      </c>
      <c r="F146" s="17" t="s">
        <v>98</v>
      </c>
      <c r="G146" s="19">
        <v>34</v>
      </c>
    </row>
    <row r="147" spans="1:7" s="12" customFormat="1" ht="26" customHeight="1">
      <c r="A147" s="13" t="s">
        <v>225</v>
      </c>
      <c r="B147" s="13" t="s">
        <v>226</v>
      </c>
      <c r="C147" s="13" t="s">
        <v>230</v>
      </c>
      <c r="D147" s="13" t="s">
        <v>97</v>
      </c>
      <c r="E147" s="13">
        <v>2</v>
      </c>
      <c r="F147" s="2" t="s">
        <v>99</v>
      </c>
      <c r="G147" s="7">
        <v>34</v>
      </c>
    </row>
    <row r="148" spans="1:7" s="12" customFormat="1" ht="26" customHeight="1">
      <c r="A148" s="18" t="s">
        <v>225</v>
      </c>
      <c r="B148" s="18" t="s">
        <v>226</v>
      </c>
      <c r="C148" s="18" t="s">
        <v>230</v>
      </c>
      <c r="D148" s="18" t="s">
        <v>97</v>
      </c>
      <c r="E148" s="18">
        <v>3</v>
      </c>
      <c r="F148" s="17" t="s">
        <v>100</v>
      </c>
      <c r="G148" s="19">
        <v>35</v>
      </c>
    </row>
    <row r="149" spans="1:7" s="12" customFormat="1" ht="26" customHeight="1">
      <c r="A149" s="13" t="s">
        <v>225</v>
      </c>
      <c r="B149" s="13" t="s">
        <v>226</v>
      </c>
      <c r="C149" s="13" t="s">
        <v>230</v>
      </c>
      <c r="D149" s="13" t="s">
        <v>97</v>
      </c>
      <c r="E149" s="13">
        <v>4</v>
      </c>
      <c r="F149" s="2" t="s">
        <v>101</v>
      </c>
      <c r="G149" s="7">
        <v>36</v>
      </c>
    </row>
    <row r="150" spans="1:7" s="12" customFormat="1" ht="26" customHeight="1">
      <c r="A150" s="18" t="s">
        <v>225</v>
      </c>
      <c r="B150" s="18" t="s">
        <v>226</v>
      </c>
      <c r="C150" s="18" t="s">
        <v>230</v>
      </c>
      <c r="D150" s="18" t="s">
        <v>97</v>
      </c>
      <c r="E150" s="18">
        <v>5</v>
      </c>
      <c r="F150" s="17" t="s">
        <v>102</v>
      </c>
      <c r="G150" s="19">
        <v>36</v>
      </c>
    </row>
    <row r="151" spans="1:7" s="12" customFormat="1" ht="26" customHeight="1">
      <c r="A151" s="13" t="s">
        <v>225</v>
      </c>
      <c r="B151" s="13" t="s">
        <v>226</v>
      </c>
      <c r="C151" s="13" t="s">
        <v>230</v>
      </c>
      <c r="D151" s="13" t="s">
        <v>97</v>
      </c>
      <c r="E151" s="13">
        <v>6</v>
      </c>
      <c r="F151" s="2" t="s">
        <v>103</v>
      </c>
      <c r="G151" s="7">
        <v>36</v>
      </c>
    </row>
    <row r="152" spans="1:7" s="12" customFormat="1" ht="26" customHeight="1">
      <c r="A152" s="18" t="s">
        <v>225</v>
      </c>
      <c r="B152" s="18" t="s">
        <v>226</v>
      </c>
      <c r="C152" s="18" t="s">
        <v>230</v>
      </c>
      <c r="D152" s="18" t="s">
        <v>97</v>
      </c>
      <c r="E152" s="18">
        <v>7</v>
      </c>
      <c r="F152" s="17" t="s">
        <v>104</v>
      </c>
      <c r="G152" s="19">
        <v>36</v>
      </c>
    </row>
    <row r="153" spans="1:7" s="12" customFormat="1" ht="26" customHeight="1">
      <c r="A153" s="13" t="s">
        <v>225</v>
      </c>
      <c r="B153" s="13" t="s">
        <v>226</v>
      </c>
      <c r="C153" s="13" t="s">
        <v>230</v>
      </c>
      <c r="D153" s="13" t="s">
        <v>97</v>
      </c>
      <c r="E153" s="13">
        <v>8</v>
      </c>
      <c r="F153" s="2" t="s">
        <v>105</v>
      </c>
      <c r="G153" s="7">
        <v>36</v>
      </c>
    </row>
    <row r="154" spans="1:7" s="12" customFormat="1" ht="26" customHeight="1">
      <c r="A154" s="18" t="s">
        <v>225</v>
      </c>
      <c r="B154" s="18" t="s">
        <v>226</v>
      </c>
      <c r="C154" s="18" t="s">
        <v>230</v>
      </c>
      <c r="D154" s="18" t="s">
        <v>97</v>
      </c>
      <c r="E154" s="18">
        <v>9</v>
      </c>
      <c r="F154" s="17" t="s">
        <v>106</v>
      </c>
      <c r="G154" s="19">
        <v>36</v>
      </c>
    </row>
    <row r="155" spans="1:7" s="12" customFormat="1" ht="26" customHeight="1">
      <c r="A155" s="13" t="s">
        <v>225</v>
      </c>
      <c r="B155" s="13" t="s">
        <v>226</v>
      </c>
      <c r="C155" s="13" t="s">
        <v>230</v>
      </c>
      <c r="D155" s="13" t="s">
        <v>97</v>
      </c>
      <c r="E155" s="13">
        <v>10</v>
      </c>
      <c r="F155" s="2" t="s">
        <v>107</v>
      </c>
      <c r="G155" s="7">
        <v>36</v>
      </c>
    </row>
    <row r="156" spans="1:7" s="12" customFormat="1" ht="26" customHeight="1">
      <c r="A156" s="18" t="s">
        <v>225</v>
      </c>
      <c r="B156" s="18" t="s">
        <v>226</v>
      </c>
      <c r="C156" s="18" t="s">
        <v>230</v>
      </c>
      <c r="D156" s="18" t="s">
        <v>97</v>
      </c>
      <c r="E156" s="18">
        <v>11</v>
      </c>
      <c r="F156" s="17" t="s">
        <v>108</v>
      </c>
      <c r="G156" s="19">
        <v>36</v>
      </c>
    </row>
    <row r="157" spans="1:7" s="12" customFormat="1" ht="26" customHeight="1">
      <c r="A157" s="13" t="s">
        <v>225</v>
      </c>
      <c r="B157" s="13" t="s">
        <v>226</v>
      </c>
      <c r="C157" s="13" t="s">
        <v>230</v>
      </c>
      <c r="D157" s="13" t="s">
        <v>97</v>
      </c>
      <c r="E157" s="13">
        <v>12</v>
      </c>
      <c r="F157" s="2" t="s">
        <v>109</v>
      </c>
      <c r="G157" s="7">
        <v>36</v>
      </c>
    </row>
    <row r="158" spans="1:7" s="12" customFormat="1" ht="26" customHeight="1">
      <c r="A158" s="18" t="s">
        <v>225</v>
      </c>
      <c r="B158" s="18" t="s">
        <v>226</v>
      </c>
      <c r="C158" s="18" t="s">
        <v>230</v>
      </c>
      <c r="D158" s="18" t="s">
        <v>97</v>
      </c>
      <c r="E158" s="18">
        <v>13</v>
      </c>
      <c r="F158" s="17" t="s">
        <v>110</v>
      </c>
      <c r="G158" s="19">
        <v>36</v>
      </c>
    </row>
    <row r="159" spans="1:7" s="12" customFormat="1" ht="26" customHeight="1">
      <c r="A159" s="13" t="s">
        <v>225</v>
      </c>
      <c r="B159" s="13" t="s">
        <v>226</v>
      </c>
      <c r="C159" s="13" t="s">
        <v>230</v>
      </c>
      <c r="D159" s="13" t="s">
        <v>97</v>
      </c>
      <c r="E159" s="13">
        <v>14</v>
      </c>
      <c r="F159" s="2" t="s">
        <v>111</v>
      </c>
      <c r="G159" s="7">
        <v>36</v>
      </c>
    </row>
    <row r="160" spans="1:7" s="12" customFormat="1" ht="26" customHeight="1">
      <c r="A160" s="18" t="s">
        <v>225</v>
      </c>
      <c r="B160" s="18" t="s">
        <v>226</v>
      </c>
      <c r="C160" s="18" t="s">
        <v>230</v>
      </c>
      <c r="D160" s="18" t="s">
        <v>97</v>
      </c>
      <c r="E160" s="18">
        <v>15</v>
      </c>
      <c r="F160" s="17" t="s">
        <v>112</v>
      </c>
      <c r="G160" s="19">
        <v>36</v>
      </c>
    </row>
    <row r="161" spans="1:7" s="12" customFormat="1" ht="26" customHeight="1">
      <c r="A161" s="13" t="s">
        <v>225</v>
      </c>
      <c r="B161" s="13" t="s">
        <v>226</v>
      </c>
      <c r="C161" s="13" t="s">
        <v>230</v>
      </c>
      <c r="D161" s="13" t="s">
        <v>97</v>
      </c>
      <c r="E161" s="13">
        <v>16</v>
      </c>
      <c r="F161" s="2" t="s">
        <v>113</v>
      </c>
      <c r="G161" s="7">
        <v>36</v>
      </c>
    </row>
    <row r="162" spans="1:7" s="12" customFormat="1" ht="26" customHeight="1">
      <c r="A162" s="18" t="s">
        <v>225</v>
      </c>
      <c r="B162" s="18" t="s">
        <v>226</v>
      </c>
      <c r="C162" s="18" t="s">
        <v>230</v>
      </c>
      <c r="D162" s="18" t="s">
        <v>97</v>
      </c>
      <c r="E162" s="18">
        <v>17</v>
      </c>
      <c r="F162" s="17" t="s">
        <v>114</v>
      </c>
      <c r="G162" s="19">
        <v>36</v>
      </c>
    </row>
    <row r="163" spans="1:7" s="12" customFormat="1" ht="26" customHeight="1">
      <c r="A163" s="13" t="s">
        <v>225</v>
      </c>
      <c r="B163" s="13" t="s">
        <v>226</v>
      </c>
      <c r="C163" s="13" t="s">
        <v>230</v>
      </c>
      <c r="D163" s="13" t="s">
        <v>97</v>
      </c>
      <c r="E163" s="13">
        <v>18</v>
      </c>
      <c r="F163" s="2" t="s">
        <v>115</v>
      </c>
      <c r="G163" s="7">
        <v>36</v>
      </c>
    </row>
    <row r="164" spans="1:7" s="12" customFormat="1" ht="26" customHeight="1">
      <c r="A164" s="18" t="s">
        <v>225</v>
      </c>
      <c r="B164" s="18" t="s">
        <v>226</v>
      </c>
      <c r="C164" s="18" t="s">
        <v>230</v>
      </c>
      <c r="D164" s="18" t="s">
        <v>97</v>
      </c>
      <c r="E164" s="18">
        <v>19</v>
      </c>
      <c r="F164" s="17" t="s">
        <v>116</v>
      </c>
      <c r="G164" s="19">
        <v>36</v>
      </c>
    </row>
    <row r="165" spans="1:7" s="12" customFormat="1" ht="26" customHeight="1">
      <c r="A165" s="13" t="s">
        <v>225</v>
      </c>
      <c r="B165" s="13" t="s">
        <v>226</v>
      </c>
      <c r="C165" s="13" t="s">
        <v>230</v>
      </c>
      <c r="D165" s="13" t="s">
        <v>97</v>
      </c>
      <c r="E165" s="13">
        <v>20</v>
      </c>
      <c r="F165" s="2" t="s">
        <v>117</v>
      </c>
      <c r="G165" s="7">
        <v>36</v>
      </c>
    </row>
    <row r="166" spans="1:7" s="12" customFormat="1" ht="26" customHeight="1">
      <c r="A166" s="18" t="s">
        <v>225</v>
      </c>
      <c r="B166" s="18" t="s">
        <v>226</v>
      </c>
      <c r="C166" s="18" t="s">
        <v>230</v>
      </c>
      <c r="D166" s="18" t="s">
        <v>97</v>
      </c>
      <c r="E166" s="18">
        <v>21</v>
      </c>
      <c r="F166" s="17" t="s">
        <v>118</v>
      </c>
      <c r="G166" s="19">
        <v>37</v>
      </c>
    </row>
    <row r="167" spans="1:7" s="12" customFormat="1" ht="26" customHeight="1">
      <c r="A167" s="13" t="s">
        <v>225</v>
      </c>
      <c r="B167" s="13" t="s">
        <v>226</v>
      </c>
      <c r="C167" s="13" t="s">
        <v>230</v>
      </c>
      <c r="D167" s="13" t="s">
        <v>97</v>
      </c>
      <c r="E167" s="13">
        <v>22</v>
      </c>
      <c r="F167" s="2" t="s">
        <v>119</v>
      </c>
      <c r="G167" s="7">
        <v>37</v>
      </c>
    </row>
    <row r="168" spans="1:7" s="12" customFormat="1" ht="26" customHeight="1">
      <c r="A168" s="18" t="s">
        <v>225</v>
      </c>
      <c r="B168" s="18" t="s">
        <v>226</v>
      </c>
      <c r="C168" s="18" t="s">
        <v>230</v>
      </c>
      <c r="D168" s="18" t="s">
        <v>97</v>
      </c>
      <c r="E168" s="18">
        <v>23</v>
      </c>
      <c r="F168" s="17" t="s">
        <v>120</v>
      </c>
      <c r="G168" s="19">
        <v>37</v>
      </c>
    </row>
    <row r="169" spans="1:7" s="12" customFormat="1" ht="26" customHeight="1">
      <c r="A169" s="13" t="s">
        <v>225</v>
      </c>
      <c r="B169" s="13" t="s">
        <v>226</v>
      </c>
      <c r="C169" s="13" t="s">
        <v>230</v>
      </c>
      <c r="D169" s="13" t="s">
        <v>97</v>
      </c>
      <c r="E169" s="13">
        <v>24</v>
      </c>
      <c r="F169" s="2" t="s">
        <v>121</v>
      </c>
      <c r="G169" s="7">
        <v>37</v>
      </c>
    </row>
    <row r="170" spans="1:7" s="12" customFormat="1" ht="26" customHeight="1">
      <c r="A170" s="18" t="s">
        <v>225</v>
      </c>
      <c r="B170" s="18" t="s">
        <v>226</v>
      </c>
      <c r="C170" s="18" t="s">
        <v>230</v>
      </c>
      <c r="D170" s="18" t="s">
        <v>97</v>
      </c>
      <c r="E170" s="18">
        <v>25</v>
      </c>
      <c r="F170" s="17" t="s">
        <v>122</v>
      </c>
      <c r="G170" s="19">
        <v>37</v>
      </c>
    </row>
    <row r="171" spans="1:7" s="12" customFormat="1" ht="26" customHeight="1">
      <c r="A171" s="13" t="s">
        <v>225</v>
      </c>
      <c r="B171" s="13" t="s">
        <v>226</v>
      </c>
      <c r="C171" s="13" t="s">
        <v>230</v>
      </c>
      <c r="D171" s="13" t="s">
        <v>97</v>
      </c>
      <c r="E171" s="13">
        <v>26</v>
      </c>
      <c r="F171" s="2" t="s">
        <v>123</v>
      </c>
      <c r="G171" s="7">
        <v>37</v>
      </c>
    </row>
    <row r="172" spans="1:7" s="12" customFormat="1" ht="26" customHeight="1">
      <c r="A172" s="18" t="s">
        <v>225</v>
      </c>
      <c r="B172" s="18" t="s">
        <v>226</v>
      </c>
      <c r="C172" s="18" t="s">
        <v>230</v>
      </c>
      <c r="D172" s="18" t="s">
        <v>97</v>
      </c>
      <c r="E172" s="18">
        <v>27</v>
      </c>
      <c r="F172" s="17" t="s">
        <v>124</v>
      </c>
      <c r="G172" s="19">
        <v>38</v>
      </c>
    </row>
    <row r="173" spans="1:7" s="12" customFormat="1" ht="26" customHeight="1">
      <c r="A173" s="13" t="s">
        <v>225</v>
      </c>
      <c r="B173" s="13" t="s">
        <v>226</v>
      </c>
      <c r="C173" s="13" t="s">
        <v>230</v>
      </c>
      <c r="D173" s="13" t="s">
        <v>97</v>
      </c>
      <c r="E173" s="13">
        <v>28</v>
      </c>
      <c r="F173" s="2" t="s">
        <v>125</v>
      </c>
      <c r="G173" s="7">
        <v>40</v>
      </c>
    </row>
    <row r="174" spans="1:7" s="12" customFormat="1" ht="26" customHeight="1">
      <c r="A174" s="18" t="s">
        <v>225</v>
      </c>
      <c r="B174" s="18" t="s">
        <v>226</v>
      </c>
      <c r="C174" s="18" t="s">
        <v>230</v>
      </c>
      <c r="D174" s="18" t="s">
        <v>97</v>
      </c>
      <c r="E174" s="18">
        <v>29</v>
      </c>
      <c r="F174" s="17" t="s">
        <v>126</v>
      </c>
      <c r="G174" s="19">
        <v>41</v>
      </c>
    </row>
    <row r="175" spans="1:7" s="12" customFormat="1" ht="26" customHeight="1">
      <c r="A175" s="13" t="s">
        <v>225</v>
      </c>
      <c r="B175" s="13" t="s">
        <v>226</v>
      </c>
      <c r="C175" s="13" t="s">
        <v>230</v>
      </c>
      <c r="D175" s="13" t="s">
        <v>97</v>
      </c>
      <c r="E175" s="13">
        <v>30</v>
      </c>
      <c r="F175" s="2" t="s">
        <v>127</v>
      </c>
      <c r="G175" s="7">
        <v>41</v>
      </c>
    </row>
    <row r="176" spans="1:7" s="12" customFormat="1" ht="26" customHeight="1">
      <c r="A176" s="18" t="s">
        <v>225</v>
      </c>
      <c r="B176" s="18" t="s">
        <v>226</v>
      </c>
      <c r="C176" s="18" t="s">
        <v>230</v>
      </c>
      <c r="D176" s="18" t="s">
        <v>128</v>
      </c>
      <c r="E176" s="18">
        <v>31</v>
      </c>
      <c r="F176" s="17" t="s">
        <v>129</v>
      </c>
      <c r="G176" s="19">
        <v>24</v>
      </c>
    </row>
    <row r="177" spans="1:7" s="12" customFormat="1" ht="26" customHeight="1">
      <c r="A177" s="13" t="s">
        <v>225</v>
      </c>
      <c r="B177" s="13" t="s">
        <v>226</v>
      </c>
      <c r="C177" s="13" t="s">
        <v>230</v>
      </c>
      <c r="D177" s="13" t="s">
        <v>128</v>
      </c>
      <c r="E177" s="13">
        <v>32</v>
      </c>
      <c r="F177" s="2" t="s">
        <v>130</v>
      </c>
      <c r="G177" s="7">
        <v>24</v>
      </c>
    </row>
    <row r="178" spans="1:7" s="12" customFormat="1" ht="26" customHeight="1">
      <c r="A178" s="18" t="s">
        <v>225</v>
      </c>
      <c r="B178" s="18" t="s">
        <v>226</v>
      </c>
      <c r="C178" s="18" t="s">
        <v>230</v>
      </c>
      <c r="D178" s="18" t="s">
        <v>128</v>
      </c>
      <c r="E178" s="18">
        <v>33</v>
      </c>
      <c r="F178" s="17" t="s">
        <v>131</v>
      </c>
      <c r="G178" s="19">
        <v>24</v>
      </c>
    </row>
    <row r="179" spans="1:7" s="12" customFormat="1" ht="26" customHeight="1">
      <c r="A179" s="13" t="s">
        <v>225</v>
      </c>
      <c r="B179" s="13" t="s">
        <v>226</v>
      </c>
      <c r="C179" s="13" t="s">
        <v>230</v>
      </c>
      <c r="D179" s="13" t="s">
        <v>128</v>
      </c>
      <c r="E179" s="13">
        <v>34</v>
      </c>
      <c r="F179" s="2" t="s">
        <v>132</v>
      </c>
      <c r="G179" s="7">
        <v>24</v>
      </c>
    </row>
    <row r="180" spans="1:7" s="12" customFormat="1" ht="26" customHeight="1">
      <c r="A180" s="18" t="s">
        <v>225</v>
      </c>
      <c r="B180" s="18" t="s">
        <v>226</v>
      </c>
      <c r="C180" s="18" t="s">
        <v>230</v>
      </c>
      <c r="D180" s="18" t="s">
        <v>128</v>
      </c>
      <c r="E180" s="18">
        <v>35</v>
      </c>
      <c r="F180" s="17" t="s">
        <v>133</v>
      </c>
      <c r="G180" s="19">
        <v>26</v>
      </c>
    </row>
    <row r="181" spans="1:7" s="12" customFormat="1" ht="26" customHeight="1">
      <c r="A181" s="13" t="s">
        <v>225</v>
      </c>
      <c r="B181" s="13" t="s">
        <v>226</v>
      </c>
      <c r="C181" s="13" t="s">
        <v>230</v>
      </c>
      <c r="D181" s="13" t="s">
        <v>128</v>
      </c>
      <c r="E181" s="13">
        <v>36</v>
      </c>
      <c r="F181" s="2" t="s">
        <v>134</v>
      </c>
      <c r="G181" s="7">
        <v>27</v>
      </c>
    </row>
    <row r="182" spans="1:7" s="12" customFormat="1" ht="26" customHeight="1">
      <c r="A182" s="18" t="s">
        <v>225</v>
      </c>
      <c r="B182" s="18" t="s">
        <v>226</v>
      </c>
      <c r="C182" s="18" t="s">
        <v>230</v>
      </c>
      <c r="D182" s="18" t="s">
        <v>128</v>
      </c>
      <c r="E182" s="18">
        <v>37</v>
      </c>
      <c r="F182" s="17" t="s">
        <v>135</v>
      </c>
      <c r="G182" s="19">
        <v>30</v>
      </c>
    </row>
    <row r="183" spans="1:7" s="12" customFormat="1" ht="26" customHeight="1">
      <c r="A183" s="13" t="s">
        <v>225</v>
      </c>
      <c r="B183" s="13" t="s">
        <v>226</v>
      </c>
      <c r="C183" s="13" t="s">
        <v>230</v>
      </c>
      <c r="D183" s="13" t="s">
        <v>128</v>
      </c>
      <c r="E183" s="13">
        <v>38</v>
      </c>
      <c r="F183" s="2" t="s">
        <v>136</v>
      </c>
      <c r="G183" s="7">
        <v>31</v>
      </c>
    </row>
    <row r="184" spans="1:7" s="12" customFormat="1" ht="26" customHeight="1">
      <c r="A184" s="18" t="s">
        <v>225</v>
      </c>
      <c r="B184" s="18" t="s">
        <v>226</v>
      </c>
      <c r="C184" s="18" t="s">
        <v>230</v>
      </c>
      <c r="D184" s="18" t="s">
        <v>128</v>
      </c>
      <c r="E184" s="18">
        <v>39</v>
      </c>
      <c r="F184" s="17" t="s">
        <v>137</v>
      </c>
      <c r="G184" s="19">
        <v>32</v>
      </c>
    </row>
    <row r="185" spans="1:7" s="12" customFormat="1" ht="26" customHeight="1">
      <c r="A185" s="13" t="s">
        <v>225</v>
      </c>
      <c r="B185" s="13" t="s">
        <v>226</v>
      </c>
      <c r="C185" s="13" t="s">
        <v>230</v>
      </c>
      <c r="D185" s="13" t="s">
        <v>128</v>
      </c>
      <c r="E185" s="13">
        <v>40</v>
      </c>
      <c r="F185" s="2" t="s">
        <v>138</v>
      </c>
      <c r="G185" s="7">
        <v>32</v>
      </c>
    </row>
    <row r="186" spans="1:7" s="12" customFormat="1" ht="26" customHeight="1">
      <c r="A186" s="18" t="s">
        <v>225</v>
      </c>
      <c r="B186" s="18" t="s">
        <v>226</v>
      </c>
      <c r="C186" s="18" t="s">
        <v>230</v>
      </c>
      <c r="D186" s="18" t="s">
        <v>128</v>
      </c>
      <c r="E186" s="18">
        <v>41</v>
      </c>
      <c r="F186" s="17" t="s">
        <v>139</v>
      </c>
      <c r="G186" s="19">
        <v>34</v>
      </c>
    </row>
    <row r="187" spans="1:7" s="12" customFormat="1" ht="26" customHeight="1">
      <c r="A187" s="13" t="s">
        <v>225</v>
      </c>
      <c r="B187" s="13" t="s">
        <v>226</v>
      </c>
      <c r="C187" s="13" t="s">
        <v>230</v>
      </c>
      <c r="D187" s="13" t="s">
        <v>128</v>
      </c>
      <c r="E187" s="13">
        <v>42</v>
      </c>
      <c r="F187" s="2" t="s">
        <v>140</v>
      </c>
      <c r="G187" s="7">
        <v>36</v>
      </c>
    </row>
    <row r="188" spans="1:7" s="12" customFormat="1" ht="26" customHeight="1">
      <c r="A188" s="18" t="s">
        <v>225</v>
      </c>
      <c r="B188" s="18" t="s">
        <v>226</v>
      </c>
      <c r="C188" s="18" t="s">
        <v>230</v>
      </c>
      <c r="D188" s="18" t="s">
        <v>128</v>
      </c>
      <c r="E188" s="18">
        <v>43</v>
      </c>
      <c r="F188" s="17" t="s">
        <v>141</v>
      </c>
      <c r="G188" s="19">
        <v>36</v>
      </c>
    </row>
    <row r="189" spans="1:7" s="12" customFormat="1" ht="26" customHeight="1">
      <c r="A189" s="13" t="s">
        <v>225</v>
      </c>
      <c r="B189" s="13" t="s">
        <v>226</v>
      </c>
      <c r="C189" s="13" t="s">
        <v>230</v>
      </c>
      <c r="D189" s="13" t="s">
        <v>128</v>
      </c>
      <c r="E189" s="13">
        <v>44</v>
      </c>
      <c r="F189" s="2" t="s">
        <v>142</v>
      </c>
      <c r="G189" s="7">
        <v>36</v>
      </c>
    </row>
    <row r="190" spans="1:7" s="12" customFormat="1" ht="26" customHeight="1">
      <c r="A190" s="18" t="s">
        <v>225</v>
      </c>
      <c r="B190" s="18" t="s">
        <v>226</v>
      </c>
      <c r="C190" s="18" t="s">
        <v>230</v>
      </c>
      <c r="D190" s="18" t="s">
        <v>128</v>
      </c>
      <c r="E190" s="18">
        <v>45</v>
      </c>
      <c r="F190" s="17" t="s">
        <v>143</v>
      </c>
      <c r="G190" s="19">
        <v>36</v>
      </c>
    </row>
    <row r="191" spans="1:7" s="12" customFormat="1" ht="26" customHeight="1">
      <c r="A191" s="13" t="s">
        <v>225</v>
      </c>
      <c r="B191" s="13" t="s">
        <v>226</v>
      </c>
      <c r="C191" s="13" t="s">
        <v>230</v>
      </c>
      <c r="D191" s="13" t="s">
        <v>128</v>
      </c>
      <c r="E191" s="13">
        <v>46</v>
      </c>
      <c r="F191" s="2" t="s">
        <v>144</v>
      </c>
      <c r="G191" s="7">
        <v>36</v>
      </c>
    </row>
    <row r="192" spans="1:7" s="12" customFormat="1" ht="26" customHeight="1">
      <c r="A192" s="18" t="s">
        <v>225</v>
      </c>
      <c r="B192" s="18" t="s">
        <v>226</v>
      </c>
      <c r="C192" s="18" t="s">
        <v>230</v>
      </c>
      <c r="D192" s="18" t="s">
        <v>128</v>
      </c>
      <c r="E192" s="18">
        <v>47</v>
      </c>
      <c r="F192" s="17" t="s">
        <v>145</v>
      </c>
      <c r="G192" s="19">
        <v>37</v>
      </c>
    </row>
    <row r="193" spans="1:7" s="12" customFormat="1" ht="26" customHeight="1">
      <c r="A193" s="13" t="s">
        <v>225</v>
      </c>
      <c r="B193" s="13" t="s">
        <v>226</v>
      </c>
      <c r="C193" s="13" t="s">
        <v>230</v>
      </c>
      <c r="D193" s="13" t="s">
        <v>128</v>
      </c>
      <c r="E193" s="13">
        <v>48</v>
      </c>
      <c r="F193" s="2" t="s">
        <v>146</v>
      </c>
      <c r="G193" s="7">
        <v>37</v>
      </c>
    </row>
    <row r="194" spans="1:7" s="12" customFormat="1" ht="26" customHeight="1">
      <c r="A194" s="18" t="s">
        <v>225</v>
      </c>
      <c r="B194" s="18" t="s">
        <v>231</v>
      </c>
      <c r="C194" s="18" t="s">
        <v>232</v>
      </c>
      <c r="D194" s="18" t="s">
        <v>97</v>
      </c>
      <c r="E194" s="18">
        <v>1</v>
      </c>
      <c r="F194" s="17" t="s">
        <v>98</v>
      </c>
      <c r="G194" s="19">
        <v>133</v>
      </c>
    </row>
    <row r="195" spans="1:7" s="12" customFormat="1" ht="26" customHeight="1">
      <c r="A195" s="13" t="s">
        <v>225</v>
      </c>
      <c r="B195" s="13" t="s">
        <v>231</v>
      </c>
      <c r="C195" s="13" t="s">
        <v>232</v>
      </c>
      <c r="D195" s="13" t="s">
        <v>97</v>
      </c>
      <c r="E195" s="13">
        <v>2</v>
      </c>
      <c r="F195" s="2" t="s">
        <v>99</v>
      </c>
      <c r="G195" s="7">
        <v>133</v>
      </c>
    </row>
    <row r="196" spans="1:7" s="12" customFormat="1" ht="26" customHeight="1">
      <c r="A196" s="18" t="s">
        <v>225</v>
      </c>
      <c r="B196" s="18" t="s">
        <v>231</v>
      </c>
      <c r="C196" s="18" t="s">
        <v>232</v>
      </c>
      <c r="D196" s="18" t="s">
        <v>97</v>
      </c>
      <c r="E196" s="18">
        <v>3</v>
      </c>
      <c r="F196" s="17" t="s">
        <v>100</v>
      </c>
      <c r="G196" s="19">
        <v>142</v>
      </c>
    </row>
    <row r="197" spans="1:7" s="12" customFormat="1" ht="26" customHeight="1">
      <c r="A197" s="13" t="s">
        <v>225</v>
      </c>
      <c r="B197" s="13" t="s">
        <v>231</v>
      </c>
      <c r="C197" s="13" t="s">
        <v>232</v>
      </c>
      <c r="D197" s="13" t="s">
        <v>97</v>
      </c>
      <c r="E197" s="13">
        <v>4</v>
      </c>
      <c r="F197" s="2" t="s">
        <v>101</v>
      </c>
      <c r="G197" s="7">
        <v>144</v>
      </c>
    </row>
    <row r="198" spans="1:7" s="12" customFormat="1" ht="26" customHeight="1">
      <c r="A198" s="18" t="s">
        <v>225</v>
      </c>
      <c r="B198" s="18" t="s">
        <v>231</v>
      </c>
      <c r="C198" s="18" t="s">
        <v>232</v>
      </c>
      <c r="D198" s="18" t="s">
        <v>97</v>
      </c>
      <c r="E198" s="18">
        <v>5</v>
      </c>
      <c r="F198" s="17" t="s">
        <v>102</v>
      </c>
      <c r="G198" s="19">
        <v>144</v>
      </c>
    </row>
    <row r="199" spans="1:7" s="12" customFormat="1" ht="26" customHeight="1">
      <c r="A199" s="13" t="s">
        <v>225</v>
      </c>
      <c r="B199" s="13" t="s">
        <v>231</v>
      </c>
      <c r="C199" s="13" t="s">
        <v>232</v>
      </c>
      <c r="D199" s="13" t="s">
        <v>97</v>
      </c>
      <c r="E199" s="13">
        <v>6</v>
      </c>
      <c r="F199" s="2" t="s">
        <v>103</v>
      </c>
      <c r="G199" s="7">
        <v>144</v>
      </c>
    </row>
    <row r="200" spans="1:7" s="12" customFormat="1" ht="26" customHeight="1">
      <c r="A200" s="18" t="s">
        <v>225</v>
      </c>
      <c r="B200" s="18" t="s">
        <v>231</v>
      </c>
      <c r="C200" s="18" t="s">
        <v>232</v>
      </c>
      <c r="D200" s="18" t="s">
        <v>97</v>
      </c>
      <c r="E200" s="18">
        <v>7</v>
      </c>
      <c r="F200" s="17" t="s">
        <v>104</v>
      </c>
      <c r="G200" s="19">
        <v>144</v>
      </c>
    </row>
    <row r="201" spans="1:7" s="12" customFormat="1" ht="26" customHeight="1">
      <c r="A201" s="13" t="s">
        <v>225</v>
      </c>
      <c r="B201" s="13" t="s">
        <v>231</v>
      </c>
      <c r="C201" s="13" t="s">
        <v>232</v>
      </c>
      <c r="D201" s="13" t="s">
        <v>97</v>
      </c>
      <c r="E201" s="13">
        <v>8</v>
      </c>
      <c r="F201" s="2" t="s">
        <v>105</v>
      </c>
      <c r="G201" s="7">
        <v>144</v>
      </c>
    </row>
    <row r="202" spans="1:7" s="12" customFormat="1" ht="26" customHeight="1">
      <c r="A202" s="18" t="s">
        <v>225</v>
      </c>
      <c r="B202" s="18" t="s">
        <v>231</v>
      </c>
      <c r="C202" s="18" t="s">
        <v>232</v>
      </c>
      <c r="D202" s="18" t="s">
        <v>97</v>
      </c>
      <c r="E202" s="18">
        <v>9</v>
      </c>
      <c r="F202" s="17" t="s">
        <v>106</v>
      </c>
      <c r="G202" s="19">
        <v>144</v>
      </c>
    </row>
    <row r="203" spans="1:7" s="12" customFormat="1" ht="26" customHeight="1">
      <c r="A203" s="13" t="s">
        <v>225</v>
      </c>
      <c r="B203" s="13" t="s">
        <v>231</v>
      </c>
      <c r="C203" s="13" t="s">
        <v>232</v>
      </c>
      <c r="D203" s="13" t="s">
        <v>97</v>
      </c>
      <c r="E203" s="13">
        <v>10</v>
      </c>
      <c r="F203" s="2" t="s">
        <v>107</v>
      </c>
      <c r="G203" s="7">
        <v>144</v>
      </c>
    </row>
    <row r="204" spans="1:7" s="12" customFormat="1" ht="26" customHeight="1">
      <c r="A204" s="18" t="s">
        <v>225</v>
      </c>
      <c r="B204" s="18" t="s">
        <v>231</v>
      </c>
      <c r="C204" s="18" t="s">
        <v>232</v>
      </c>
      <c r="D204" s="18" t="s">
        <v>97</v>
      </c>
      <c r="E204" s="18">
        <v>11</v>
      </c>
      <c r="F204" s="17" t="s">
        <v>108</v>
      </c>
      <c r="G204" s="19">
        <v>144</v>
      </c>
    </row>
    <row r="205" spans="1:7" s="12" customFormat="1" ht="26" customHeight="1">
      <c r="A205" s="13" t="s">
        <v>225</v>
      </c>
      <c r="B205" s="13" t="s">
        <v>231</v>
      </c>
      <c r="C205" s="13" t="s">
        <v>232</v>
      </c>
      <c r="D205" s="13" t="s">
        <v>97</v>
      </c>
      <c r="E205" s="13">
        <v>12</v>
      </c>
      <c r="F205" s="2" t="s">
        <v>109</v>
      </c>
      <c r="G205" s="7">
        <v>146</v>
      </c>
    </row>
    <row r="206" spans="1:7" s="12" customFormat="1" ht="26" customHeight="1">
      <c r="A206" s="18" t="s">
        <v>225</v>
      </c>
      <c r="B206" s="18" t="s">
        <v>231</v>
      </c>
      <c r="C206" s="18" t="s">
        <v>232</v>
      </c>
      <c r="D206" s="18" t="s">
        <v>97</v>
      </c>
      <c r="E206" s="18">
        <v>13</v>
      </c>
      <c r="F206" s="17" t="s">
        <v>110</v>
      </c>
      <c r="G206" s="19">
        <v>146</v>
      </c>
    </row>
    <row r="207" spans="1:7" s="12" customFormat="1" ht="26" customHeight="1">
      <c r="A207" s="13" t="s">
        <v>225</v>
      </c>
      <c r="B207" s="13" t="s">
        <v>231</v>
      </c>
      <c r="C207" s="13" t="s">
        <v>232</v>
      </c>
      <c r="D207" s="13" t="s">
        <v>97</v>
      </c>
      <c r="E207" s="13">
        <v>14</v>
      </c>
      <c r="F207" s="2" t="s">
        <v>111</v>
      </c>
      <c r="G207" s="7">
        <v>146</v>
      </c>
    </row>
    <row r="208" spans="1:7" s="12" customFormat="1" ht="26" customHeight="1">
      <c r="A208" s="18" t="s">
        <v>225</v>
      </c>
      <c r="B208" s="18" t="s">
        <v>231</v>
      </c>
      <c r="C208" s="18" t="s">
        <v>232</v>
      </c>
      <c r="D208" s="18" t="s">
        <v>97</v>
      </c>
      <c r="E208" s="18">
        <v>15</v>
      </c>
      <c r="F208" s="17" t="s">
        <v>112</v>
      </c>
      <c r="G208" s="19">
        <v>146</v>
      </c>
    </row>
    <row r="209" spans="1:7" s="12" customFormat="1" ht="26" customHeight="1">
      <c r="A209" s="13" t="s">
        <v>225</v>
      </c>
      <c r="B209" s="13" t="s">
        <v>231</v>
      </c>
      <c r="C209" s="13" t="s">
        <v>232</v>
      </c>
      <c r="D209" s="13" t="s">
        <v>97</v>
      </c>
      <c r="E209" s="13">
        <v>16</v>
      </c>
      <c r="F209" s="2" t="s">
        <v>113</v>
      </c>
      <c r="G209" s="7">
        <v>146</v>
      </c>
    </row>
    <row r="210" spans="1:7" s="12" customFormat="1" ht="26" customHeight="1">
      <c r="A210" s="18" t="s">
        <v>225</v>
      </c>
      <c r="B210" s="18" t="s">
        <v>231</v>
      </c>
      <c r="C210" s="18" t="s">
        <v>232</v>
      </c>
      <c r="D210" s="18" t="s">
        <v>97</v>
      </c>
      <c r="E210" s="18">
        <v>17</v>
      </c>
      <c r="F210" s="17" t="s">
        <v>114</v>
      </c>
      <c r="G210" s="19">
        <v>148</v>
      </c>
    </row>
    <row r="211" spans="1:7" s="12" customFormat="1" ht="26" customHeight="1">
      <c r="A211" s="13" t="s">
        <v>225</v>
      </c>
      <c r="B211" s="13" t="s">
        <v>231</v>
      </c>
      <c r="C211" s="13" t="s">
        <v>232</v>
      </c>
      <c r="D211" s="13" t="s">
        <v>97</v>
      </c>
      <c r="E211" s="13">
        <v>18</v>
      </c>
      <c r="F211" s="2" t="s">
        <v>115</v>
      </c>
      <c r="G211" s="7">
        <v>148</v>
      </c>
    </row>
    <row r="212" spans="1:7" s="12" customFormat="1" ht="26" customHeight="1">
      <c r="A212" s="18" t="s">
        <v>225</v>
      </c>
      <c r="B212" s="18" t="s">
        <v>231</v>
      </c>
      <c r="C212" s="18" t="s">
        <v>232</v>
      </c>
      <c r="D212" s="18" t="s">
        <v>97</v>
      </c>
      <c r="E212" s="18">
        <v>19</v>
      </c>
      <c r="F212" s="17" t="s">
        <v>116</v>
      </c>
      <c r="G212" s="19">
        <v>148</v>
      </c>
    </row>
    <row r="213" spans="1:7" s="12" customFormat="1" ht="26" customHeight="1">
      <c r="A213" s="13" t="s">
        <v>225</v>
      </c>
      <c r="B213" s="13" t="s">
        <v>231</v>
      </c>
      <c r="C213" s="13" t="s">
        <v>232</v>
      </c>
      <c r="D213" s="13" t="s">
        <v>97</v>
      </c>
      <c r="E213" s="13">
        <v>20</v>
      </c>
      <c r="F213" s="2" t="s">
        <v>117</v>
      </c>
      <c r="G213" s="7">
        <v>148</v>
      </c>
    </row>
    <row r="214" spans="1:7" s="12" customFormat="1" ht="26" customHeight="1">
      <c r="A214" s="18" t="s">
        <v>225</v>
      </c>
      <c r="B214" s="18" t="s">
        <v>231</v>
      </c>
      <c r="C214" s="18" t="s">
        <v>232</v>
      </c>
      <c r="D214" s="18" t="s">
        <v>97</v>
      </c>
      <c r="E214" s="18">
        <v>21</v>
      </c>
      <c r="F214" s="17" t="s">
        <v>118</v>
      </c>
      <c r="G214" s="19">
        <v>149</v>
      </c>
    </row>
    <row r="215" spans="1:7" s="12" customFormat="1" ht="26" customHeight="1">
      <c r="A215" s="13" t="s">
        <v>225</v>
      </c>
      <c r="B215" s="13" t="s">
        <v>231</v>
      </c>
      <c r="C215" s="13" t="s">
        <v>232</v>
      </c>
      <c r="D215" s="13" t="s">
        <v>97</v>
      </c>
      <c r="E215" s="13">
        <v>22</v>
      </c>
      <c r="F215" s="2" t="s">
        <v>119</v>
      </c>
      <c r="G215" s="7">
        <v>149</v>
      </c>
    </row>
    <row r="216" spans="1:7" s="12" customFormat="1" ht="26" customHeight="1">
      <c r="A216" s="18" t="s">
        <v>225</v>
      </c>
      <c r="B216" s="18" t="s">
        <v>231</v>
      </c>
      <c r="C216" s="18" t="s">
        <v>232</v>
      </c>
      <c r="D216" s="18" t="s">
        <v>97</v>
      </c>
      <c r="E216" s="18">
        <v>23</v>
      </c>
      <c r="F216" s="17" t="s">
        <v>120</v>
      </c>
      <c r="G216" s="19">
        <v>151</v>
      </c>
    </row>
    <row r="217" spans="1:7" s="12" customFormat="1" ht="26" customHeight="1">
      <c r="A217" s="13" t="s">
        <v>225</v>
      </c>
      <c r="B217" s="13" t="s">
        <v>231</v>
      </c>
      <c r="C217" s="13" t="s">
        <v>232</v>
      </c>
      <c r="D217" s="13" t="s">
        <v>97</v>
      </c>
      <c r="E217" s="13">
        <v>24</v>
      </c>
      <c r="F217" s="2" t="s">
        <v>121</v>
      </c>
      <c r="G217" s="7">
        <v>151</v>
      </c>
    </row>
    <row r="218" spans="1:7" s="12" customFormat="1" ht="26" customHeight="1">
      <c r="A218" s="18" t="s">
        <v>225</v>
      </c>
      <c r="B218" s="18" t="s">
        <v>231</v>
      </c>
      <c r="C218" s="18" t="s">
        <v>232</v>
      </c>
      <c r="D218" s="18" t="s">
        <v>97</v>
      </c>
      <c r="E218" s="18">
        <v>25</v>
      </c>
      <c r="F218" s="17" t="s">
        <v>122</v>
      </c>
      <c r="G218" s="19">
        <v>151</v>
      </c>
    </row>
    <row r="219" spans="1:7" s="12" customFormat="1" ht="26" customHeight="1">
      <c r="A219" s="13" t="s">
        <v>225</v>
      </c>
      <c r="B219" s="13" t="s">
        <v>231</v>
      </c>
      <c r="C219" s="13" t="s">
        <v>232</v>
      </c>
      <c r="D219" s="13" t="s">
        <v>97</v>
      </c>
      <c r="E219" s="13">
        <v>26</v>
      </c>
      <c r="F219" s="2" t="s">
        <v>123</v>
      </c>
      <c r="G219" s="7">
        <v>152</v>
      </c>
    </row>
    <row r="220" spans="1:7" s="12" customFormat="1" ht="26" customHeight="1">
      <c r="A220" s="18" t="s">
        <v>225</v>
      </c>
      <c r="B220" s="18" t="s">
        <v>231</v>
      </c>
      <c r="C220" s="18" t="s">
        <v>232</v>
      </c>
      <c r="D220" s="18" t="s">
        <v>97</v>
      </c>
      <c r="E220" s="18">
        <v>27</v>
      </c>
      <c r="F220" s="17" t="s">
        <v>124</v>
      </c>
      <c r="G220" s="19">
        <v>159</v>
      </c>
    </row>
    <row r="221" spans="1:7" s="12" customFormat="1" ht="26" customHeight="1">
      <c r="A221" s="13" t="s">
        <v>225</v>
      </c>
      <c r="B221" s="13" t="s">
        <v>231</v>
      </c>
      <c r="C221" s="13" t="s">
        <v>232</v>
      </c>
      <c r="D221" s="13" t="s">
        <v>97</v>
      </c>
      <c r="E221" s="13">
        <v>28</v>
      </c>
      <c r="F221" s="2" t="s">
        <v>125</v>
      </c>
      <c r="G221" s="7">
        <v>171</v>
      </c>
    </row>
    <row r="222" spans="1:7" s="12" customFormat="1" ht="26" customHeight="1">
      <c r="A222" s="18" t="s">
        <v>225</v>
      </c>
      <c r="B222" s="18" t="s">
        <v>231</v>
      </c>
      <c r="C222" s="18" t="s">
        <v>232</v>
      </c>
      <c r="D222" s="18" t="s">
        <v>97</v>
      </c>
      <c r="E222" s="18">
        <v>29</v>
      </c>
      <c r="F222" s="17" t="s">
        <v>126</v>
      </c>
      <c r="G222" s="19">
        <v>176</v>
      </c>
    </row>
    <row r="223" spans="1:7" s="12" customFormat="1" ht="26" customHeight="1">
      <c r="A223" s="13" t="s">
        <v>225</v>
      </c>
      <c r="B223" s="13" t="s">
        <v>231</v>
      </c>
      <c r="C223" s="13" t="s">
        <v>232</v>
      </c>
      <c r="D223" s="13" t="s">
        <v>97</v>
      </c>
      <c r="E223" s="13">
        <v>30</v>
      </c>
      <c r="F223" s="2" t="s">
        <v>127</v>
      </c>
      <c r="G223" s="7">
        <v>176</v>
      </c>
    </row>
    <row r="224" spans="1:7" s="12" customFormat="1" ht="26" customHeight="1">
      <c r="A224" s="18" t="s">
        <v>225</v>
      </c>
      <c r="B224" s="18" t="s">
        <v>231</v>
      </c>
      <c r="C224" s="18" t="s">
        <v>232</v>
      </c>
      <c r="D224" s="18" t="s">
        <v>128</v>
      </c>
      <c r="E224" s="18">
        <v>31</v>
      </c>
      <c r="F224" s="17" t="s">
        <v>129</v>
      </c>
      <c r="G224" s="19">
        <v>96</v>
      </c>
    </row>
    <row r="225" spans="1:7" s="12" customFormat="1" ht="26" customHeight="1">
      <c r="A225" s="13" t="s">
        <v>225</v>
      </c>
      <c r="B225" s="13" t="s">
        <v>231</v>
      </c>
      <c r="C225" s="13" t="s">
        <v>232</v>
      </c>
      <c r="D225" s="13" t="s">
        <v>128</v>
      </c>
      <c r="E225" s="13">
        <v>32</v>
      </c>
      <c r="F225" s="2" t="s">
        <v>130</v>
      </c>
      <c r="G225" s="7">
        <v>97</v>
      </c>
    </row>
    <row r="226" spans="1:7" s="12" customFormat="1" ht="26" customHeight="1">
      <c r="A226" s="18" t="s">
        <v>225</v>
      </c>
      <c r="B226" s="18" t="s">
        <v>231</v>
      </c>
      <c r="C226" s="18" t="s">
        <v>232</v>
      </c>
      <c r="D226" s="18" t="s">
        <v>128</v>
      </c>
      <c r="E226" s="18">
        <v>33</v>
      </c>
      <c r="F226" s="17" t="s">
        <v>131</v>
      </c>
      <c r="G226" s="19">
        <v>97</v>
      </c>
    </row>
    <row r="227" spans="1:7" s="12" customFormat="1" ht="26" customHeight="1">
      <c r="A227" s="13" t="s">
        <v>225</v>
      </c>
      <c r="B227" s="13" t="s">
        <v>231</v>
      </c>
      <c r="C227" s="13" t="s">
        <v>232</v>
      </c>
      <c r="D227" s="13" t="s">
        <v>128</v>
      </c>
      <c r="E227" s="13">
        <v>34</v>
      </c>
      <c r="F227" s="2" t="s">
        <v>132</v>
      </c>
      <c r="G227" s="7">
        <v>98</v>
      </c>
    </row>
    <row r="228" spans="1:7" s="12" customFormat="1" ht="26" customHeight="1">
      <c r="A228" s="18" t="s">
        <v>225</v>
      </c>
      <c r="B228" s="18" t="s">
        <v>231</v>
      </c>
      <c r="C228" s="18" t="s">
        <v>232</v>
      </c>
      <c r="D228" s="18" t="s">
        <v>128</v>
      </c>
      <c r="E228" s="18">
        <v>35</v>
      </c>
      <c r="F228" s="17" t="s">
        <v>133</v>
      </c>
      <c r="G228" s="19">
        <v>112</v>
      </c>
    </row>
    <row r="229" spans="1:7" s="12" customFormat="1" ht="26" customHeight="1">
      <c r="A229" s="13" t="s">
        <v>225</v>
      </c>
      <c r="B229" s="13" t="s">
        <v>231</v>
      </c>
      <c r="C229" s="13" t="s">
        <v>232</v>
      </c>
      <c r="D229" s="13" t="s">
        <v>128</v>
      </c>
      <c r="E229" s="13">
        <v>36</v>
      </c>
      <c r="F229" s="2" t="s">
        <v>134</v>
      </c>
      <c r="G229" s="7">
        <v>115</v>
      </c>
    </row>
    <row r="230" spans="1:7" s="12" customFormat="1" ht="26" customHeight="1">
      <c r="A230" s="18" t="s">
        <v>225</v>
      </c>
      <c r="B230" s="18" t="s">
        <v>231</v>
      </c>
      <c r="C230" s="18" t="s">
        <v>232</v>
      </c>
      <c r="D230" s="18" t="s">
        <v>128</v>
      </c>
      <c r="E230" s="18">
        <v>37</v>
      </c>
      <c r="F230" s="17" t="s">
        <v>135</v>
      </c>
      <c r="G230" s="19">
        <v>136</v>
      </c>
    </row>
    <row r="231" spans="1:7" s="12" customFormat="1" ht="26" customHeight="1">
      <c r="A231" s="13" t="s">
        <v>225</v>
      </c>
      <c r="B231" s="13" t="s">
        <v>231</v>
      </c>
      <c r="C231" s="13" t="s">
        <v>232</v>
      </c>
      <c r="D231" s="13" t="s">
        <v>128</v>
      </c>
      <c r="E231" s="13">
        <v>38</v>
      </c>
      <c r="F231" s="2" t="s">
        <v>136</v>
      </c>
      <c r="G231" s="7">
        <v>143</v>
      </c>
    </row>
    <row r="232" spans="1:7" s="12" customFormat="1" ht="26" customHeight="1">
      <c r="A232" s="18" t="s">
        <v>225</v>
      </c>
      <c r="B232" s="18" t="s">
        <v>231</v>
      </c>
      <c r="C232" s="18" t="s">
        <v>232</v>
      </c>
      <c r="D232" s="18" t="s">
        <v>128</v>
      </c>
      <c r="E232" s="18">
        <v>39</v>
      </c>
      <c r="F232" s="17" t="s">
        <v>137</v>
      </c>
      <c r="G232" s="19">
        <v>146</v>
      </c>
    </row>
    <row r="233" spans="1:7" s="12" customFormat="1" ht="26" customHeight="1">
      <c r="A233" s="13" t="s">
        <v>225</v>
      </c>
      <c r="B233" s="13" t="s">
        <v>231</v>
      </c>
      <c r="C233" s="13" t="s">
        <v>232</v>
      </c>
      <c r="D233" s="13" t="s">
        <v>128</v>
      </c>
      <c r="E233" s="13">
        <v>40</v>
      </c>
      <c r="F233" s="2" t="s">
        <v>138</v>
      </c>
      <c r="G233" s="7">
        <v>149</v>
      </c>
    </row>
    <row r="234" spans="1:7" s="12" customFormat="1" ht="26" customHeight="1">
      <c r="A234" s="18" t="s">
        <v>225</v>
      </c>
      <c r="B234" s="18" t="s">
        <v>231</v>
      </c>
      <c r="C234" s="18" t="s">
        <v>232</v>
      </c>
      <c r="D234" s="18" t="s">
        <v>128</v>
      </c>
      <c r="E234" s="18">
        <v>41</v>
      </c>
      <c r="F234" s="17" t="s">
        <v>139</v>
      </c>
      <c r="G234" s="19">
        <v>157</v>
      </c>
    </row>
    <row r="235" spans="1:7" s="12" customFormat="1" ht="26" customHeight="1">
      <c r="A235" s="13" t="s">
        <v>225</v>
      </c>
      <c r="B235" s="13" t="s">
        <v>231</v>
      </c>
      <c r="C235" s="13" t="s">
        <v>232</v>
      </c>
      <c r="D235" s="13" t="s">
        <v>128</v>
      </c>
      <c r="E235" s="13">
        <v>42</v>
      </c>
      <c r="F235" s="2" t="s">
        <v>140</v>
      </c>
      <c r="G235" s="7">
        <v>169</v>
      </c>
    </row>
    <row r="236" spans="1:7" s="12" customFormat="1" ht="26" customHeight="1">
      <c r="A236" s="18" t="s">
        <v>225</v>
      </c>
      <c r="B236" s="18" t="s">
        <v>231</v>
      </c>
      <c r="C236" s="18" t="s">
        <v>232</v>
      </c>
      <c r="D236" s="18" t="s">
        <v>128</v>
      </c>
      <c r="E236" s="18">
        <v>43</v>
      </c>
      <c r="F236" s="17" t="s">
        <v>141</v>
      </c>
      <c r="G236" s="19">
        <v>169</v>
      </c>
    </row>
    <row r="237" spans="1:7" s="12" customFormat="1" ht="26" customHeight="1">
      <c r="A237" s="13" t="s">
        <v>225</v>
      </c>
      <c r="B237" s="13" t="s">
        <v>231</v>
      </c>
      <c r="C237" s="13" t="s">
        <v>232</v>
      </c>
      <c r="D237" s="13" t="s">
        <v>128</v>
      </c>
      <c r="E237" s="13">
        <v>44</v>
      </c>
      <c r="F237" s="2" t="s">
        <v>142</v>
      </c>
      <c r="G237" s="7">
        <v>171</v>
      </c>
    </row>
    <row r="238" spans="1:7" s="12" customFormat="1" ht="26" customHeight="1">
      <c r="A238" s="18" t="s">
        <v>225</v>
      </c>
      <c r="B238" s="18" t="s">
        <v>231</v>
      </c>
      <c r="C238" s="18" t="s">
        <v>232</v>
      </c>
      <c r="D238" s="18" t="s">
        <v>128</v>
      </c>
      <c r="E238" s="18">
        <v>45</v>
      </c>
      <c r="F238" s="17" t="s">
        <v>143</v>
      </c>
      <c r="G238" s="19">
        <v>173</v>
      </c>
    </row>
    <row r="239" spans="1:7" s="12" customFormat="1" ht="26" customHeight="1">
      <c r="A239" s="13" t="s">
        <v>225</v>
      </c>
      <c r="B239" s="13" t="s">
        <v>231</v>
      </c>
      <c r="C239" s="13" t="s">
        <v>232</v>
      </c>
      <c r="D239" s="13" t="s">
        <v>128</v>
      </c>
      <c r="E239" s="13">
        <v>46</v>
      </c>
      <c r="F239" s="2" t="s">
        <v>144</v>
      </c>
      <c r="G239" s="7">
        <v>173</v>
      </c>
    </row>
    <row r="240" spans="1:7" s="12" customFormat="1" ht="26" customHeight="1">
      <c r="A240" s="18" t="s">
        <v>225</v>
      </c>
      <c r="B240" s="18" t="s">
        <v>231</v>
      </c>
      <c r="C240" s="18" t="s">
        <v>232</v>
      </c>
      <c r="D240" s="18" t="s">
        <v>128</v>
      </c>
      <c r="E240" s="18">
        <v>47</v>
      </c>
      <c r="F240" s="17" t="s">
        <v>145</v>
      </c>
      <c r="G240" s="19">
        <v>176</v>
      </c>
    </row>
    <row r="241" spans="1:7" s="12" customFormat="1" ht="26" customHeight="1">
      <c r="A241" s="13" t="s">
        <v>225</v>
      </c>
      <c r="B241" s="13" t="s">
        <v>231</v>
      </c>
      <c r="C241" s="13" t="s">
        <v>232</v>
      </c>
      <c r="D241" s="13" t="s">
        <v>128</v>
      </c>
      <c r="E241" s="13">
        <v>48</v>
      </c>
      <c r="F241" s="2" t="s">
        <v>146</v>
      </c>
      <c r="G241" s="7">
        <v>178</v>
      </c>
    </row>
    <row r="242" spans="1:7" s="12" customFormat="1" ht="26" customHeight="1">
      <c r="A242" s="18" t="s">
        <v>225</v>
      </c>
      <c r="B242" s="18" t="s">
        <v>231</v>
      </c>
      <c r="C242" s="18" t="s">
        <v>233</v>
      </c>
      <c r="D242" s="18" t="s">
        <v>97</v>
      </c>
      <c r="E242" s="18">
        <v>1</v>
      </c>
      <c r="F242" s="17" t="s">
        <v>98</v>
      </c>
      <c r="G242" s="19">
        <v>134</v>
      </c>
    </row>
    <row r="243" spans="1:7" s="12" customFormat="1" ht="26" customHeight="1">
      <c r="A243" s="13" t="s">
        <v>225</v>
      </c>
      <c r="B243" s="13" t="s">
        <v>231</v>
      </c>
      <c r="C243" s="13" t="s">
        <v>233</v>
      </c>
      <c r="D243" s="13" t="s">
        <v>97</v>
      </c>
      <c r="E243" s="13">
        <v>2</v>
      </c>
      <c r="F243" s="2" t="s">
        <v>99</v>
      </c>
      <c r="G243" s="7">
        <v>134</v>
      </c>
    </row>
    <row r="244" spans="1:7" s="12" customFormat="1" ht="26" customHeight="1">
      <c r="A244" s="18" t="s">
        <v>225</v>
      </c>
      <c r="B244" s="18" t="s">
        <v>231</v>
      </c>
      <c r="C244" s="18" t="s">
        <v>233</v>
      </c>
      <c r="D244" s="18" t="s">
        <v>97</v>
      </c>
      <c r="E244" s="18">
        <v>3</v>
      </c>
      <c r="F244" s="17" t="s">
        <v>100</v>
      </c>
      <c r="G244" s="19">
        <v>143</v>
      </c>
    </row>
    <row r="245" spans="1:7" s="12" customFormat="1" ht="26" customHeight="1">
      <c r="A245" s="13" t="s">
        <v>225</v>
      </c>
      <c r="B245" s="13" t="s">
        <v>231</v>
      </c>
      <c r="C245" s="13" t="s">
        <v>233</v>
      </c>
      <c r="D245" s="13" t="s">
        <v>97</v>
      </c>
      <c r="E245" s="13">
        <v>4</v>
      </c>
      <c r="F245" s="2" t="s">
        <v>101</v>
      </c>
      <c r="G245" s="7">
        <v>145</v>
      </c>
    </row>
    <row r="246" spans="1:7" s="12" customFormat="1" ht="26" customHeight="1">
      <c r="A246" s="18" t="s">
        <v>225</v>
      </c>
      <c r="B246" s="18" t="s">
        <v>231</v>
      </c>
      <c r="C246" s="18" t="s">
        <v>233</v>
      </c>
      <c r="D246" s="18" t="s">
        <v>97</v>
      </c>
      <c r="E246" s="18">
        <v>5</v>
      </c>
      <c r="F246" s="17" t="s">
        <v>102</v>
      </c>
      <c r="G246" s="19">
        <v>145</v>
      </c>
    </row>
    <row r="247" spans="1:7" s="12" customFormat="1" ht="26" customHeight="1">
      <c r="A247" s="13" t="s">
        <v>225</v>
      </c>
      <c r="B247" s="13" t="s">
        <v>231</v>
      </c>
      <c r="C247" s="13" t="s">
        <v>233</v>
      </c>
      <c r="D247" s="13" t="s">
        <v>97</v>
      </c>
      <c r="E247" s="13">
        <v>6</v>
      </c>
      <c r="F247" s="2" t="s">
        <v>103</v>
      </c>
      <c r="G247" s="7">
        <v>146</v>
      </c>
    </row>
    <row r="248" spans="1:7" s="12" customFormat="1" ht="26" customHeight="1">
      <c r="A248" s="18" t="s">
        <v>225</v>
      </c>
      <c r="B248" s="18" t="s">
        <v>231</v>
      </c>
      <c r="C248" s="18" t="s">
        <v>233</v>
      </c>
      <c r="D248" s="18" t="s">
        <v>97</v>
      </c>
      <c r="E248" s="18">
        <v>7</v>
      </c>
      <c r="F248" s="17" t="s">
        <v>104</v>
      </c>
      <c r="G248" s="19">
        <v>146</v>
      </c>
    </row>
    <row r="249" spans="1:7" s="12" customFormat="1" ht="26" customHeight="1">
      <c r="A249" s="13" t="s">
        <v>225</v>
      </c>
      <c r="B249" s="13" t="s">
        <v>231</v>
      </c>
      <c r="C249" s="13" t="s">
        <v>233</v>
      </c>
      <c r="D249" s="13" t="s">
        <v>97</v>
      </c>
      <c r="E249" s="13">
        <v>8</v>
      </c>
      <c r="F249" s="2" t="s">
        <v>105</v>
      </c>
      <c r="G249" s="7">
        <v>146</v>
      </c>
    </row>
    <row r="250" spans="1:7" s="12" customFormat="1" ht="26" customHeight="1">
      <c r="A250" s="18" t="s">
        <v>225</v>
      </c>
      <c r="B250" s="18" t="s">
        <v>231</v>
      </c>
      <c r="C250" s="18" t="s">
        <v>233</v>
      </c>
      <c r="D250" s="18" t="s">
        <v>97</v>
      </c>
      <c r="E250" s="18">
        <v>9</v>
      </c>
      <c r="F250" s="17" t="s">
        <v>106</v>
      </c>
      <c r="G250" s="19">
        <v>146</v>
      </c>
    </row>
    <row r="251" spans="1:7" s="12" customFormat="1" ht="26" customHeight="1">
      <c r="A251" s="13" t="s">
        <v>225</v>
      </c>
      <c r="B251" s="13" t="s">
        <v>231</v>
      </c>
      <c r="C251" s="13" t="s">
        <v>233</v>
      </c>
      <c r="D251" s="13" t="s">
        <v>97</v>
      </c>
      <c r="E251" s="13">
        <v>10</v>
      </c>
      <c r="F251" s="2" t="s">
        <v>107</v>
      </c>
      <c r="G251" s="7">
        <v>146</v>
      </c>
    </row>
    <row r="252" spans="1:7" s="12" customFormat="1" ht="26" customHeight="1">
      <c r="A252" s="18" t="s">
        <v>225</v>
      </c>
      <c r="B252" s="18" t="s">
        <v>231</v>
      </c>
      <c r="C252" s="18" t="s">
        <v>233</v>
      </c>
      <c r="D252" s="18" t="s">
        <v>97</v>
      </c>
      <c r="E252" s="18">
        <v>11</v>
      </c>
      <c r="F252" s="17" t="s">
        <v>108</v>
      </c>
      <c r="G252" s="19">
        <v>146</v>
      </c>
    </row>
    <row r="253" spans="1:7" s="12" customFormat="1" ht="26" customHeight="1">
      <c r="A253" s="13" t="s">
        <v>225</v>
      </c>
      <c r="B253" s="13" t="s">
        <v>231</v>
      </c>
      <c r="C253" s="13" t="s">
        <v>233</v>
      </c>
      <c r="D253" s="13" t="s">
        <v>97</v>
      </c>
      <c r="E253" s="13">
        <v>12</v>
      </c>
      <c r="F253" s="2" t="s">
        <v>109</v>
      </c>
      <c r="G253" s="7">
        <v>147</v>
      </c>
    </row>
    <row r="254" spans="1:7" s="12" customFormat="1" ht="26" customHeight="1">
      <c r="A254" s="18" t="s">
        <v>225</v>
      </c>
      <c r="B254" s="18" t="s">
        <v>231</v>
      </c>
      <c r="C254" s="18" t="s">
        <v>233</v>
      </c>
      <c r="D254" s="18" t="s">
        <v>97</v>
      </c>
      <c r="E254" s="18">
        <v>13</v>
      </c>
      <c r="F254" s="17" t="s">
        <v>110</v>
      </c>
      <c r="G254" s="19">
        <v>147</v>
      </c>
    </row>
    <row r="255" spans="1:7" s="12" customFormat="1" ht="26" customHeight="1">
      <c r="A255" s="13" t="s">
        <v>225</v>
      </c>
      <c r="B255" s="13" t="s">
        <v>231</v>
      </c>
      <c r="C255" s="13" t="s">
        <v>233</v>
      </c>
      <c r="D255" s="13" t="s">
        <v>97</v>
      </c>
      <c r="E255" s="13">
        <v>14</v>
      </c>
      <c r="F255" s="2" t="s">
        <v>111</v>
      </c>
      <c r="G255" s="7">
        <v>147</v>
      </c>
    </row>
    <row r="256" spans="1:7" s="12" customFormat="1" ht="26" customHeight="1">
      <c r="A256" s="18" t="s">
        <v>225</v>
      </c>
      <c r="B256" s="18" t="s">
        <v>231</v>
      </c>
      <c r="C256" s="18" t="s">
        <v>233</v>
      </c>
      <c r="D256" s="18" t="s">
        <v>97</v>
      </c>
      <c r="E256" s="18">
        <v>15</v>
      </c>
      <c r="F256" s="17" t="s">
        <v>112</v>
      </c>
      <c r="G256" s="19">
        <v>147</v>
      </c>
    </row>
    <row r="257" spans="1:7" s="12" customFormat="1" ht="26" customHeight="1">
      <c r="A257" s="13" t="s">
        <v>225</v>
      </c>
      <c r="B257" s="13" t="s">
        <v>231</v>
      </c>
      <c r="C257" s="13" t="s">
        <v>233</v>
      </c>
      <c r="D257" s="13" t="s">
        <v>97</v>
      </c>
      <c r="E257" s="13">
        <v>16</v>
      </c>
      <c r="F257" s="2" t="s">
        <v>113</v>
      </c>
      <c r="G257" s="7">
        <v>147</v>
      </c>
    </row>
    <row r="258" spans="1:7" s="12" customFormat="1" ht="26" customHeight="1">
      <c r="A258" s="18" t="s">
        <v>225</v>
      </c>
      <c r="B258" s="18" t="s">
        <v>231</v>
      </c>
      <c r="C258" s="18" t="s">
        <v>233</v>
      </c>
      <c r="D258" s="18" t="s">
        <v>97</v>
      </c>
      <c r="E258" s="18">
        <v>17</v>
      </c>
      <c r="F258" s="17" t="s">
        <v>114</v>
      </c>
      <c r="G258" s="19">
        <v>149</v>
      </c>
    </row>
    <row r="259" spans="1:7" s="12" customFormat="1" ht="26" customHeight="1">
      <c r="A259" s="13" t="s">
        <v>225</v>
      </c>
      <c r="B259" s="13" t="s">
        <v>231</v>
      </c>
      <c r="C259" s="13" t="s">
        <v>233</v>
      </c>
      <c r="D259" s="13" t="s">
        <v>97</v>
      </c>
      <c r="E259" s="13">
        <v>18</v>
      </c>
      <c r="F259" s="2" t="s">
        <v>115</v>
      </c>
      <c r="G259" s="7">
        <v>149</v>
      </c>
    </row>
    <row r="260" spans="1:7" s="12" customFormat="1" ht="26" customHeight="1">
      <c r="A260" s="18" t="s">
        <v>225</v>
      </c>
      <c r="B260" s="18" t="s">
        <v>231</v>
      </c>
      <c r="C260" s="18" t="s">
        <v>233</v>
      </c>
      <c r="D260" s="18" t="s">
        <v>97</v>
      </c>
      <c r="E260" s="18">
        <v>19</v>
      </c>
      <c r="F260" s="17" t="s">
        <v>116</v>
      </c>
      <c r="G260" s="19">
        <v>149</v>
      </c>
    </row>
    <row r="261" spans="1:7" s="12" customFormat="1" ht="26" customHeight="1">
      <c r="A261" s="13" t="s">
        <v>225</v>
      </c>
      <c r="B261" s="13" t="s">
        <v>231</v>
      </c>
      <c r="C261" s="13" t="s">
        <v>233</v>
      </c>
      <c r="D261" s="13" t="s">
        <v>97</v>
      </c>
      <c r="E261" s="13">
        <v>20</v>
      </c>
      <c r="F261" s="2" t="s">
        <v>117</v>
      </c>
      <c r="G261" s="7">
        <v>150</v>
      </c>
    </row>
    <row r="262" spans="1:7" s="12" customFormat="1" ht="26" customHeight="1">
      <c r="A262" s="18" t="s">
        <v>225</v>
      </c>
      <c r="B262" s="18" t="s">
        <v>231</v>
      </c>
      <c r="C262" s="18" t="s">
        <v>233</v>
      </c>
      <c r="D262" s="18" t="s">
        <v>97</v>
      </c>
      <c r="E262" s="18">
        <v>21</v>
      </c>
      <c r="F262" s="17" t="s">
        <v>118</v>
      </c>
      <c r="G262" s="19">
        <v>150</v>
      </c>
    </row>
    <row r="263" spans="1:7" s="12" customFormat="1" ht="26" customHeight="1">
      <c r="A263" s="13" t="s">
        <v>225</v>
      </c>
      <c r="B263" s="13" t="s">
        <v>231</v>
      </c>
      <c r="C263" s="13" t="s">
        <v>233</v>
      </c>
      <c r="D263" s="13" t="s">
        <v>97</v>
      </c>
      <c r="E263" s="13">
        <v>22</v>
      </c>
      <c r="F263" s="2" t="s">
        <v>119</v>
      </c>
      <c r="G263" s="7">
        <v>150</v>
      </c>
    </row>
    <row r="264" spans="1:7" s="12" customFormat="1" ht="26" customHeight="1">
      <c r="A264" s="18" t="s">
        <v>225</v>
      </c>
      <c r="B264" s="18" t="s">
        <v>231</v>
      </c>
      <c r="C264" s="18" t="s">
        <v>233</v>
      </c>
      <c r="D264" s="18" t="s">
        <v>97</v>
      </c>
      <c r="E264" s="18">
        <v>23</v>
      </c>
      <c r="F264" s="17" t="s">
        <v>120</v>
      </c>
      <c r="G264" s="19">
        <v>152</v>
      </c>
    </row>
    <row r="265" spans="1:7" s="12" customFormat="1" ht="26" customHeight="1">
      <c r="A265" s="13" t="s">
        <v>225</v>
      </c>
      <c r="B265" s="13" t="s">
        <v>231</v>
      </c>
      <c r="C265" s="13" t="s">
        <v>233</v>
      </c>
      <c r="D265" s="13" t="s">
        <v>97</v>
      </c>
      <c r="E265" s="13">
        <v>24</v>
      </c>
      <c r="F265" s="2" t="s">
        <v>121</v>
      </c>
      <c r="G265" s="7">
        <v>152</v>
      </c>
    </row>
    <row r="266" spans="1:7" s="12" customFormat="1" ht="26" customHeight="1">
      <c r="A266" s="18" t="s">
        <v>225</v>
      </c>
      <c r="B266" s="18" t="s">
        <v>231</v>
      </c>
      <c r="C266" s="18" t="s">
        <v>233</v>
      </c>
      <c r="D266" s="18" t="s">
        <v>97</v>
      </c>
      <c r="E266" s="18">
        <v>25</v>
      </c>
      <c r="F266" s="17" t="s">
        <v>122</v>
      </c>
      <c r="G266" s="19">
        <v>152</v>
      </c>
    </row>
    <row r="267" spans="1:7" s="12" customFormat="1" ht="26" customHeight="1">
      <c r="A267" s="13" t="s">
        <v>225</v>
      </c>
      <c r="B267" s="13" t="s">
        <v>231</v>
      </c>
      <c r="C267" s="13" t="s">
        <v>233</v>
      </c>
      <c r="D267" s="13" t="s">
        <v>97</v>
      </c>
      <c r="E267" s="13">
        <v>26</v>
      </c>
      <c r="F267" s="2" t="s">
        <v>123</v>
      </c>
      <c r="G267" s="7">
        <v>153</v>
      </c>
    </row>
    <row r="268" spans="1:7" s="12" customFormat="1" ht="26" customHeight="1">
      <c r="A268" s="18" t="s">
        <v>225</v>
      </c>
      <c r="B268" s="18" t="s">
        <v>231</v>
      </c>
      <c r="C268" s="18" t="s">
        <v>233</v>
      </c>
      <c r="D268" s="18" t="s">
        <v>97</v>
      </c>
      <c r="E268" s="18">
        <v>27</v>
      </c>
      <c r="F268" s="17" t="s">
        <v>124</v>
      </c>
      <c r="G268" s="19">
        <v>160</v>
      </c>
    </row>
    <row r="269" spans="1:7" s="12" customFormat="1" ht="26" customHeight="1">
      <c r="A269" s="13" t="s">
        <v>225</v>
      </c>
      <c r="B269" s="13" t="s">
        <v>231</v>
      </c>
      <c r="C269" s="13" t="s">
        <v>233</v>
      </c>
      <c r="D269" s="13" t="s">
        <v>97</v>
      </c>
      <c r="E269" s="13">
        <v>28</v>
      </c>
      <c r="F269" s="2" t="s">
        <v>125</v>
      </c>
      <c r="G269" s="7">
        <v>172</v>
      </c>
    </row>
    <row r="270" spans="1:7" s="12" customFormat="1" ht="26" customHeight="1">
      <c r="A270" s="18" t="s">
        <v>225</v>
      </c>
      <c r="B270" s="18" t="s">
        <v>231</v>
      </c>
      <c r="C270" s="18" t="s">
        <v>233</v>
      </c>
      <c r="D270" s="18" t="s">
        <v>97</v>
      </c>
      <c r="E270" s="18">
        <v>29</v>
      </c>
      <c r="F270" s="17" t="s">
        <v>126</v>
      </c>
      <c r="G270" s="19">
        <v>177</v>
      </c>
    </row>
    <row r="271" spans="1:7" s="12" customFormat="1" ht="26" customHeight="1">
      <c r="A271" s="13" t="s">
        <v>225</v>
      </c>
      <c r="B271" s="13" t="s">
        <v>231</v>
      </c>
      <c r="C271" s="13" t="s">
        <v>233</v>
      </c>
      <c r="D271" s="13" t="s">
        <v>97</v>
      </c>
      <c r="E271" s="13">
        <v>30</v>
      </c>
      <c r="F271" s="2" t="s">
        <v>127</v>
      </c>
      <c r="G271" s="7">
        <v>177</v>
      </c>
    </row>
    <row r="272" spans="1:7" s="12" customFormat="1" ht="26" customHeight="1">
      <c r="A272" s="18" t="s">
        <v>225</v>
      </c>
      <c r="B272" s="18" t="s">
        <v>231</v>
      </c>
      <c r="C272" s="18" t="s">
        <v>233</v>
      </c>
      <c r="D272" s="18" t="s">
        <v>128</v>
      </c>
      <c r="E272" s="18">
        <v>31</v>
      </c>
      <c r="F272" s="17" t="s">
        <v>129</v>
      </c>
      <c r="G272" s="19">
        <v>92</v>
      </c>
    </row>
    <row r="273" spans="1:7" s="12" customFormat="1" ht="26" customHeight="1">
      <c r="A273" s="13" t="s">
        <v>225</v>
      </c>
      <c r="B273" s="13" t="s">
        <v>231</v>
      </c>
      <c r="C273" s="13" t="s">
        <v>233</v>
      </c>
      <c r="D273" s="13" t="s">
        <v>128</v>
      </c>
      <c r="E273" s="13">
        <v>32</v>
      </c>
      <c r="F273" s="2" t="s">
        <v>130</v>
      </c>
      <c r="G273" s="7">
        <v>93</v>
      </c>
    </row>
    <row r="274" spans="1:7" s="12" customFormat="1" ht="26" customHeight="1">
      <c r="A274" s="18" t="s">
        <v>225</v>
      </c>
      <c r="B274" s="18" t="s">
        <v>231</v>
      </c>
      <c r="C274" s="18" t="s">
        <v>233</v>
      </c>
      <c r="D274" s="18" t="s">
        <v>128</v>
      </c>
      <c r="E274" s="18">
        <v>33</v>
      </c>
      <c r="F274" s="17" t="s">
        <v>131</v>
      </c>
      <c r="G274" s="19">
        <v>93</v>
      </c>
    </row>
    <row r="275" spans="1:7" s="12" customFormat="1" ht="26" customHeight="1">
      <c r="A275" s="13" t="s">
        <v>225</v>
      </c>
      <c r="B275" s="13" t="s">
        <v>231</v>
      </c>
      <c r="C275" s="13" t="s">
        <v>233</v>
      </c>
      <c r="D275" s="13" t="s">
        <v>128</v>
      </c>
      <c r="E275" s="13">
        <v>34</v>
      </c>
      <c r="F275" s="2" t="s">
        <v>132</v>
      </c>
      <c r="G275" s="7">
        <v>94</v>
      </c>
    </row>
    <row r="276" spans="1:7" s="12" customFormat="1" ht="26" customHeight="1">
      <c r="A276" s="18" t="s">
        <v>225</v>
      </c>
      <c r="B276" s="18" t="s">
        <v>231</v>
      </c>
      <c r="C276" s="18" t="s">
        <v>233</v>
      </c>
      <c r="D276" s="18" t="s">
        <v>128</v>
      </c>
      <c r="E276" s="18">
        <v>35</v>
      </c>
      <c r="F276" s="17" t="s">
        <v>133</v>
      </c>
      <c r="G276" s="19">
        <v>108</v>
      </c>
    </row>
    <row r="277" spans="1:7" s="12" customFormat="1" ht="26" customHeight="1">
      <c r="A277" s="13" t="s">
        <v>225</v>
      </c>
      <c r="B277" s="13" t="s">
        <v>231</v>
      </c>
      <c r="C277" s="13" t="s">
        <v>233</v>
      </c>
      <c r="D277" s="13" t="s">
        <v>128</v>
      </c>
      <c r="E277" s="13">
        <v>36</v>
      </c>
      <c r="F277" s="2" t="s">
        <v>134</v>
      </c>
      <c r="G277" s="7">
        <v>111</v>
      </c>
    </row>
    <row r="278" spans="1:7" s="12" customFormat="1" ht="26" customHeight="1">
      <c r="A278" s="18" t="s">
        <v>225</v>
      </c>
      <c r="B278" s="18" t="s">
        <v>231</v>
      </c>
      <c r="C278" s="18" t="s">
        <v>233</v>
      </c>
      <c r="D278" s="18" t="s">
        <v>128</v>
      </c>
      <c r="E278" s="18">
        <v>37</v>
      </c>
      <c r="F278" s="17" t="s">
        <v>135</v>
      </c>
      <c r="G278" s="19">
        <v>133</v>
      </c>
    </row>
    <row r="279" spans="1:7" s="12" customFormat="1" ht="26" customHeight="1">
      <c r="A279" s="13" t="s">
        <v>225</v>
      </c>
      <c r="B279" s="13" t="s">
        <v>231</v>
      </c>
      <c r="C279" s="13" t="s">
        <v>233</v>
      </c>
      <c r="D279" s="13" t="s">
        <v>128</v>
      </c>
      <c r="E279" s="13">
        <v>38</v>
      </c>
      <c r="F279" s="2" t="s">
        <v>136</v>
      </c>
      <c r="G279" s="7">
        <v>139</v>
      </c>
    </row>
    <row r="280" spans="1:7" s="12" customFormat="1" ht="26" customHeight="1">
      <c r="A280" s="18" t="s">
        <v>225</v>
      </c>
      <c r="B280" s="18" t="s">
        <v>231</v>
      </c>
      <c r="C280" s="18" t="s">
        <v>233</v>
      </c>
      <c r="D280" s="18" t="s">
        <v>128</v>
      </c>
      <c r="E280" s="18">
        <v>39</v>
      </c>
      <c r="F280" s="17" t="s">
        <v>137</v>
      </c>
      <c r="G280" s="19">
        <v>142</v>
      </c>
    </row>
    <row r="281" spans="1:7" s="12" customFormat="1" ht="26" customHeight="1">
      <c r="A281" s="13" t="s">
        <v>225</v>
      </c>
      <c r="B281" s="13" t="s">
        <v>231</v>
      </c>
      <c r="C281" s="13" t="s">
        <v>233</v>
      </c>
      <c r="D281" s="13" t="s">
        <v>128</v>
      </c>
      <c r="E281" s="13">
        <v>40</v>
      </c>
      <c r="F281" s="2" t="s">
        <v>138</v>
      </c>
      <c r="G281" s="7">
        <v>145</v>
      </c>
    </row>
    <row r="282" spans="1:7" s="12" customFormat="1" ht="26" customHeight="1">
      <c r="A282" s="18" t="s">
        <v>225</v>
      </c>
      <c r="B282" s="18" t="s">
        <v>231</v>
      </c>
      <c r="C282" s="18" t="s">
        <v>233</v>
      </c>
      <c r="D282" s="18" t="s">
        <v>128</v>
      </c>
      <c r="E282" s="18">
        <v>41</v>
      </c>
      <c r="F282" s="17" t="s">
        <v>139</v>
      </c>
      <c r="G282" s="19">
        <v>153</v>
      </c>
    </row>
    <row r="283" spans="1:7" s="12" customFormat="1" ht="26" customHeight="1">
      <c r="A283" s="13" t="s">
        <v>225</v>
      </c>
      <c r="B283" s="13" t="s">
        <v>231</v>
      </c>
      <c r="C283" s="13" t="s">
        <v>233</v>
      </c>
      <c r="D283" s="13" t="s">
        <v>128</v>
      </c>
      <c r="E283" s="13">
        <v>42</v>
      </c>
      <c r="F283" s="2" t="s">
        <v>140</v>
      </c>
      <c r="G283" s="7">
        <v>166</v>
      </c>
    </row>
    <row r="284" spans="1:7" s="12" customFormat="1" ht="26" customHeight="1">
      <c r="A284" s="18" t="s">
        <v>225</v>
      </c>
      <c r="B284" s="18" t="s">
        <v>231</v>
      </c>
      <c r="C284" s="18" t="s">
        <v>233</v>
      </c>
      <c r="D284" s="18" t="s">
        <v>128</v>
      </c>
      <c r="E284" s="18">
        <v>43</v>
      </c>
      <c r="F284" s="17" t="s">
        <v>141</v>
      </c>
      <c r="G284" s="19">
        <v>166</v>
      </c>
    </row>
    <row r="285" spans="1:7" s="12" customFormat="1" ht="26" customHeight="1">
      <c r="A285" s="13" t="s">
        <v>225</v>
      </c>
      <c r="B285" s="13" t="s">
        <v>231</v>
      </c>
      <c r="C285" s="13" t="s">
        <v>233</v>
      </c>
      <c r="D285" s="13" t="s">
        <v>128</v>
      </c>
      <c r="E285" s="13">
        <v>44</v>
      </c>
      <c r="F285" s="2" t="s">
        <v>142</v>
      </c>
      <c r="G285" s="7">
        <v>168</v>
      </c>
    </row>
    <row r="286" spans="1:7" s="12" customFormat="1" ht="26" customHeight="1">
      <c r="A286" s="18" t="s">
        <v>225</v>
      </c>
      <c r="B286" s="18" t="s">
        <v>231</v>
      </c>
      <c r="C286" s="18" t="s">
        <v>233</v>
      </c>
      <c r="D286" s="18" t="s">
        <v>128</v>
      </c>
      <c r="E286" s="18">
        <v>45</v>
      </c>
      <c r="F286" s="17" t="s">
        <v>143</v>
      </c>
      <c r="G286" s="19">
        <v>170</v>
      </c>
    </row>
    <row r="287" spans="1:7" s="12" customFormat="1" ht="26" customHeight="1">
      <c r="A287" s="13" t="s">
        <v>225</v>
      </c>
      <c r="B287" s="13" t="s">
        <v>231</v>
      </c>
      <c r="C287" s="13" t="s">
        <v>233</v>
      </c>
      <c r="D287" s="13" t="s">
        <v>128</v>
      </c>
      <c r="E287" s="13">
        <v>46</v>
      </c>
      <c r="F287" s="2" t="s">
        <v>144</v>
      </c>
      <c r="G287" s="7">
        <v>170</v>
      </c>
    </row>
    <row r="288" spans="1:7" s="12" customFormat="1" ht="26" customHeight="1">
      <c r="A288" s="18" t="s">
        <v>225</v>
      </c>
      <c r="B288" s="18" t="s">
        <v>231</v>
      </c>
      <c r="C288" s="18" t="s">
        <v>233</v>
      </c>
      <c r="D288" s="18" t="s">
        <v>128</v>
      </c>
      <c r="E288" s="18">
        <v>47</v>
      </c>
      <c r="F288" s="17" t="s">
        <v>145</v>
      </c>
      <c r="G288" s="19">
        <v>173</v>
      </c>
    </row>
    <row r="289" spans="1:7" s="12" customFormat="1" ht="26" customHeight="1">
      <c r="A289" s="13" t="s">
        <v>225</v>
      </c>
      <c r="B289" s="13" t="s">
        <v>231</v>
      </c>
      <c r="C289" s="13" t="s">
        <v>233</v>
      </c>
      <c r="D289" s="13" t="s">
        <v>128</v>
      </c>
      <c r="E289" s="13">
        <v>48</v>
      </c>
      <c r="F289" s="2" t="s">
        <v>146</v>
      </c>
      <c r="G289" s="7">
        <v>174</v>
      </c>
    </row>
    <row r="290" spans="1:7" s="12" customFormat="1" ht="26" customHeight="1">
      <c r="A290" s="18" t="s">
        <v>225</v>
      </c>
      <c r="B290" s="18" t="s">
        <v>231</v>
      </c>
      <c r="C290" s="18" t="s">
        <v>234</v>
      </c>
      <c r="D290" s="18" t="s">
        <v>97</v>
      </c>
      <c r="E290" s="18">
        <v>1</v>
      </c>
      <c r="F290" s="17" t="s">
        <v>98</v>
      </c>
      <c r="G290" s="19">
        <v>132</v>
      </c>
    </row>
    <row r="291" spans="1:7" s="12" customFormat="1" ht="26" customHeight="1">
      <c r="A291" s="13" t="s">
        <v>225</v>
      </c>
      <c r="B291" s="13" t="s">
        <v>231</v>
      </c>
      <c r="C291" s="13" t="s">
        <v>234</v>
      </c>
      <c r="D291" s="13" t="s">
        <v>97</v>
      </c>
      <c r="E291" s="13">
        <v>2</v>
      </c>
      <c r="F291" s="2" t="s">
        <v>99</v>
      </c>
      <c r="G291" s="7">
        <v>132</v>
      </c>
    </row>
    <row r="292" spans="1:7" s="12" customFormat="1" ht="26" customHeight="1">
      <c r="A292" s="18" t="s">
        <v>225</v>
      </c>
      <c r="B292" s="18" t="s">
        <v>231</v>
      </c>
      <c r="C292" s="18" t="s">
        <v>234</v>
      </c>
      <c r="D292" s="18" t="s">
        <v>97</v>
      </c>
      <c r="E292" s="18">
        <v>3</v>
      </c>
      <c r="F292" s="17" t="s">
        <v>100</v>
      </c>
      <c r="G292" s="19">
        <v>141</v>
      </c>
    </row>
    <row r="293" spans="1:7" s="12" customFormat="1" ht="26" customHeight="1">
      <c r="A293" s="13" t="s">
        <v>225</v>
      </c>
      <c r="B293" s="13" t="s">
        <v>231</v>
      </c>
      <c r="C293" s="13" t="s">
        <v>234</v>
      </c>
      <c r="D293" s="13" t="s">
        <v>97</v>
      </c>
      <c r="E293" s="13">
        <v>4</v>
      </c>
      <c r="F293" s="2" t="s">
        <v>101</v>
      </c>
      <c r="G293" s="7">
        <v>142</v>
      </c>
    </row>
    <row r="294" spans="1:7" s="12" customFormat="1" ht="26" customHeight="1">
      <c r="A294" s="18" t="s">
        <v>225</v>
      </c>
      <c r="B294" s="18" t="s">
        <v>231</v>
      </c>
      <c r="C294" s="18" t="s">
        <v>234</v>
      </c>
      <c r="D294" s="18" t="s">
        <v>97</v>
      </c>
      <c r="E294" s="18">
        <v>5</v>
      </c>
      <c r="F294" s="17" t="s">
        <v>102</v>
      </c>
      <c r="G294" s="19">
        <v>142</v>
      </c>
    </row>
    <row r="295" spans="1:7" s="12" customFormat="1" ht="26" customHeight="1">
      <c r="A295" s="13" t="s">
        <v>225</v>
      </c>
      <c r="B295" s="13" t="s">
        <v>231</v>
      </c>
      <c r="C295" s="13" t="s">
        <v>234</v>
      </c>
      <c r="D295" s="13" t="s">
        <v>97</v>
      </c>
      <c r="E295" s="13">
        <v>6</v>
      </c>
      <c r="F295" s="2" t="s">
        <v>103</v>
      </c>
      <c r="G295" s="7">
        <v>143</v>
      </c>
    </row>
    <row r="296" spans="1:7" s="12" customFormat="1" ht="26" customHeight="1">
      <c r="A296" s="18" t="s">
        <v>225</v>
      </c>
      <c r="B296" s="18" t="s">
        <v>231</v>
      </c>
      <c r="C296" s="18" t="s">
        <v>234</v>
      </c>
      <c r="D296" s="18" t="s">
        <v>97</v>
      </c>
      <c r="E296" s="18">
        <v>7</v>
      </c>
      <c r="F296" s="17" t="s">
        <v>104</v>
      </c>
      <c r="G296" s="19">
        <v>143</v>
      </c>
    </row>
    <row r="297" spans="1:7" s="12" customFormat="1" ht="26" customHeight="1">
      <c r="A297" s="13" t="s">
        <v>225</v>
      </c>
      <c r="B297" s="13" t="s">
        <v>231</v>
      </c>
      <c r="C297" s="13" t="s">
        <v>234</v>
      </c>
      <c r="D297" s="13" t="s">
        <v>97</v>
      </c>
      <c r="E297" s="13">
        <v>8</v>
      </c>
      <c r="F297" s="2" t="s">
        <v>105</v>
      </c>
      <c r="G297" s="7">
        <v>143</v>
      </c>
    </row>
    <row r="298" spans="1:7" s="12" customFormat="1" ht="26" customHeight="1">
      <c r="A298" s="18" t="s">
        <v>225</v>
      </c>
      <c r="B298" s="18" t="s">
        <v>231</v>
      </c>
      <c r="C298" s="18" t="s">
        <v>234</v>
      </c>
      <c r="D298" s="18" t="s">
        <v>97</v>
      </c>
      <c r="E298" s="18">
        <v>9</v>
      </c>
      <c r="F298" s="17" t="s">
        <v>106</v>
      </c>
      <c r="G298" s="19">
        <v>143</v>
      </c>
    </row>
    <row r="299" spans="1:7" s="12" customFormat="1" ht="26" customHeight="1">
      <c r="A299" s="13" t="s">
        <v>225</v>
      </c>
      <c r="B299" s="13" t="s">
        <v>231</v>
      </c>
      <c r="C299" s="13" t="s">
        <v>234</v>
      </c>
      <c r="D299" s="13" t="s">
        <v>97</v>
      </c>
      <c r="E299" s="13">
        <v>10</v>
      </c>
      <c r="F299" s="2" t="s">
        <v>107</v>
      </c>
      <c r="G299" s="7">
        <v>143</v>
      </c>
    </row>
    <row r="300" spans="1:7" s="12" customFormat="1" ht="26" customHeight="1">
      <c r="A300" s="18" t="s">
        <v>225</v>
      </c>
      <c r="B300" s="18" t="s">
        <v>231</v>
      </c>
      <c r="C300" s="18" t="s">
        <v>234</v>
      </c>
      <c r="D300" s="18" t="s">
        <v>97</v>
      </c>
      <c r="E300" s="18">
        <v>11</v>
      </c>
      <c r="F300" s="17" t="s">
        <v>108</v>
      </c>
      <c r="G300" s="19">
        <v>143</v>
      </c>
    </row>
    <row r="301" spans="1:7" s="12" customFormat="1" ht="26" customHeight="1">
      <c r="A301" s="13" t="s">
        <v>225</v>
      </c>
      <c r="B301" s="13" t="s">
        <v>231</v>
      </c>
      <c r="C301" s="13" t="s">
        <v>234</v>
      </c>
      <c r="D301" s="13" t="s">
        <v>97</v>
      </c>
      <c r="E301" s="13">
        <v>12</v>
      </c>
      <c r="F301" s="2" t="s">
        <v>109</v>
      </c>
      <c r="G301" s="7">
        <v>144</v>
      </c>
    </row>
    <row r="302" spans="1:7" s="12" customFormat="1" ht="26" customHeight="1">
      <c r="A302" s="18" t="s">
        <v>225</v>
      </c>
      <c r="B302" s="18" t="s">
        <v>231</v>
      </c>
      <c r="C302" s="18" t="s">
        <v>234</v>
      </c>
      <c r="D302" s="18" t="s">
        <v>97</v>
      </c>
      <c r="E302" s="18">
        <v>13</v>
      </c>
      <c r="F302" s="17" t="s">
        <v>110</v>
      </c>
      <c r="G302" s="19">
        <v>144</v>
      </c>
    </row>
    <row r="303" spans="1:7" s="12" customFormat="1" ht="26" customHeight="1">
      <c r="A303" s="13" t="s">
        <v>225</v>
      </c>
      <c r="B303" s="13" t="s">
        <v>231</v>
      </c>
      <c r="C303" s="13" t="s">
        <v>234</v>
      </c>
      <c r="D303" s="13" t="s">
        <v>97</v>
      </c>
      <c r="E303" s="13">
        <v>14</v>
      </c>
      <c r="F303" s="2" t="s">
        <v>111</v>
      </c>
      <c r="G303" s="7">
        <v>144</v>
      </c>
    </row>
    <row r="304" spans="1:7" s="12" customFormat="1" ht="26" customHeight="1">
      <c r="A304" s="18" t="s">
        <v>225</v>
      </c>
      <c r="B304" s="18" t="s">
        <v>231</v>
      </c>
      <c r="C304" s="18" t="s">
        <v>234</v>
      </c>
      <c r="D304" s="18" t="s">
        <v>97</v>
      </c>
      <c r="E304" s="18">
        <v>15</v>
      </c>
      <c r="F304" s="17" t="s">
        <v>112</v>
      </c>
      <c r="G304" s="19">
        <v>144</v>
      </c>
    </row>
    <row r="305" spans="1:7" s="12" customFormat="1" ht="26" customHeight="1">
      <c r="A305" s="13" t="s">
        <v>225</v>
      </c>
      <c r="B305" s="13" t="s">
        <v>231</v>
      </c>
      <c r="C305" s="13" t="s">
        <v>234</v>
      </c>
      <c r="D305" s="13" t="s">
        <v>97</v>
      </c>
      <c r="E305" s="13">
        <v>16</v>
      </c>
      <c r="F305" s="2" t="s">
        <v>113</v>
      </c>
      <c r="G305" s="7">
        <v>144</v>
      </c>
    </row>
    <row r="306" spans="1:7" s="12" customFormat="1" ht="26" customHeight="1">
      <c r="A306" s="18" t="s">
        <v>225</v>
      </c>
      <c r="B306" s="18" t="s">
        <v>231</v>
      </c>
      <c r="C306" s="18" t="s">
        <v>234</v>
      </c>
      <c r="D306" s="18" t="s">
        <v>97</v>
      </c>
      <c r="E306" s="18">
        <v>17</v>
      </c>
      <c r="F306" s="17" t="s">
        <v>114</v>
      </c>
      <c r="G306" s="19">
        <v>146</v>
      </c>
    </row>
    <row r="307" spans="1:7" s="12" customFormat="1" ht="26" customHeight="1">
      <c r="A307" s="13" t="s">
        <v>225</v>
      </c>
      <c r="B307" s="13" t="s">
        <v>231</v>
      </c>
      <c r="C307" s="13" t="s">
        <v>234</v>
      </c>
      <c r="D307" s="13" t="s">
        <v>97</v>
      </c>
      <c r="E307" s="13">
        <v>18</v>
      </c>
      <c r="F307" s="2" t="s">
        <v>115</v>
      </c>
      <c r="G307" s="7">
        <v>146</v>
      </c>
    </row>
    <row r="308" spans="1:7" s="12" customFormat="1" ht="26" customHeight="1">
      <c r="A308" s="18" t="s">
        <v>225</v>
      </c>
      <c r="B308" s="18" t="s">
        <v>231</v>
      </c>
      <c r="C308" s="18" t="s">
        <v>234</v>
      </c>
      <c r="D308" s="18" t="s">
        <v>97</v>
      </c>
      <c r="E308" s="18">
        <v>19</v>
      </c>
      <c r="F308" s="17" t="s">
        <v>116</v>
      </c>
      <c r="G308" s="19">
        <v>146</v>
      </c>
    </row>
    <row r="309" spans="1:7" s="12" customFormat="1" ht="26" customHeight="1">
      <c r="A309" s="13" t="s">
        <v>225</v>
      </c>
      <c r="B309" s="13" t="s">
        <v>231</v>
      </c>
      <c r="C309" s="13" t="s">
        <v>234</v>
      </c>
      <c r="D309" s="13" t="s">
        <v>97</v>
      </c>
      <c r="E309" s="13">
        <v>20</v>
      </c>
      <c r="F309" s="2" t="s">
        <v>117</v>
      </c>
      <c r="G309" s="7">
        <v>147</v>
      </c>
    </row>
    <row r="310" spans="1:7" s="12" customFormat="1" ht="26" customHeight="1">
      <c r="A310" s="18" t="s">
        <v>225</v>
      </c>
      <c r="B310" s="18" t="s">
        <v>231</v>
      </c>
      <c r="C310" s="18" t="s">
        <v>234</v>
      </c>
      <c r="D310" s="18" t="s">
        <v>97</v>
      </c>
      <c r="E310" s="18">
        <v>21</v>
      </c>
      <c r="F310" s="17" t="s">
        <v>118</v>
      </c>
      <c r="G310" s="19">
        <v>147</v>
      </c>
    </row>
    <row r="311" spans="1:7" s="12" customFormat="1" ht="26" customHeight="1">
      <c r="A311" s="13" t="s">
        <v>225</v>
      </c>
      <c r="B311" s="13" t="s">
        <v>231</v>
      </c>
      <c r="C311" s="13" t="s">
        <v>234</v>
      </c>
      <c r="D311" s="13" t="s">
        <v>97</v>
      </c>
      <c r="E311" s="13">
        <v>22</v>
      </c>
      <c r="F311" s="2" t="s">
        <v>119</v>
      </c>
      <c r="G311" s="7">
        <v>147</v>
      </c>
    </row>
    <row r="312" spans="1:7" s="12" customFormat="1" ht="26" customHeight="1">
      <c r="A312" s="18" t="s">
        <v>225</v>
      </c>
      <c r="B312" s="18" t="s">
        <v>231</v>
      </c>
      <c r="C312" s="18" t="s">
        <v>234</v>
      </c>
      <c r="D312" s="18" t="s">
        <v>97</v>
      </c>
      <c r="E312" s="18">
        <v>23</v>
      </c>
      <c r="F312" s="17" t="s">
        <v>120</v>
      </c>
      <c r="G312" s="19">
        <v>149</v>
      </c>
    </row>
    <row r="313" spans="1:7" s="12" customFormat="1" ht="26" customHeight="1">
      <c r="A313" s="13" t="s">
        <v>225</v>
      </c>
      <c r="B313" s="13" t="s">
        <v>231</v>
      </c>
      <c r="C313" s="13" t="s">
        <v>234</v>
      </c>
      <c r="D313" s="13" t="s">
        <v>97</v>
      </c>
      <c r="E313" s="13">
        <v>24</v>
      </c>
      <c r="F313" s="2" t="s">
        <v>121</v>
      </c>
      <c r="G313" s="7">
        <v>149</v>
      </c>
    </row>
    <row r="314" spans="1:7" s="12" customFormat="1" ht="26" customHeight="1">
      <c r="A314" s="18" t="s">
        <v>225</v>
      </c>
      <c r="B314" s="18" t="s">
        <v>231</v>
      </c>
      <c r="C314" s="18" t="s">
        <v>234</v>
      </c>
      <c r="D314" s="18" t="s">
        <v>97</v>
      </c>
      <c r="E314" s="18">
        <v>25</v>
      </c>
      <c r="F314" s="17" t="s">
        <v>122</v>
      </c>
      <c r="G314" s="19">
        <v>149</v>
      </c>
    </row>
    <row r="315" spans="1:7" s="12" customFormat="1" ht="26" customHeight="1">
      <c r="A315" s="13" t="s">
        <v>225</v>
      </c>
      <c r="B315" s="13" t="s">
        <v>231</v>
      </c>
      <c r="C315" s="13" t="s">
        <v>234</v>
      </c>
      <c r="D315" s="13" t="s">
        <v>97</v>
      </c>
      <c r="E315" s="13">
        <v>26</v>
      </c>
      <c r="F315" s="2" t="s">
        <v>123</v>
      </c>
      <c r="G315" s="7">
        <v>150</v>
      </c>
    </row>
    <row r="316" spans="1:7" s="12" customFormat="1" ht="26" customHeight="1">
      <c r="A316" s="18" t="s">
        <v>225</v>
      </c>
      <c r="B316" s="18" t="s">
        <v>231</v>
      </c>
      <c r="C316" s="18" t="s">
        <v>234</v>
      </c>
      <c r="D316" s="18" t="s">
        <v>97</v>
      </c>
      <c r="E316" s="18">
        <v>27</v>
      </c>
      <c r="F316" s="17" t="s">
        <v>124</v>
      </c>
      <c r="G316" s="19">
        <v>157</v>
      </c>
    </row>
    <row r="317" spans="1:7" s="12" customFormat="1" ht="26" customHeight="1">
      <c r="A317" s="13" t="s">
        <v>225</v>
      </c>
      <c r="B317" s="13" t="s">
        <v>231</v>
      </c>
      <c r="C317" s="13" t="s">
        <v>234</v>
      </c>
      <c r="D317" s="13" t="s">
        <v>97</v>
      </c>
      <c r="E317" s="13">
        <v>28</v>
      </c>
      <c r="F317" s="2" t="s">
        <v>125</v>
      </c>
      <c r="G317" s="7">
        <v>169</v>
      </c>
    </row>
    <row r="318" spans="1:7" s="12" customFormat="1" ht="26" customHeight="1">
      <c r="A318" s="18" t="s">
        <v>225</v>
      </c>
      <c r="B318" s="18" t="s">
        <v>231</v>
      </c>
      <c r="C318" s="18" t="s">
        <v>234</v>
      </c>
      <c r="D318" s="18" t="s">
        <v>97</v>
      </c>
      <c r="E318" s="18">
        <v>29</v>
      </c>
      <c r="F318" s="17" t="s">
        <v>126</v>
      </c>
      <c r="G318" s="19">
        <v>174</v>
      </c>
    </row>
    <row r="319" spans="1:7" s="12" customFormat="1" ht="26" customHeight="1">
      <c r="A319" s="13" t="s">
        <v>225</v>
      </c>
      <c r="B319" s="13" t="s">
        <v>231</v>
      </c>
      <c r="C319" s="13" t="s">
        <v>234</v>
      </c>
      <c r="D319" s="13" t="s">
        <v>97</v>
      </c>
      <c r="E319" s="13">
        <v>30</v>
      </c>
      <c r="F319" s="2" t="s">
        <v>127</v>
      </c>
      <c r="G319" s="7">
        <v>174</v>
      </c>
    </row>
    <row r="320" spans="1:7" s="12" customFormat="1" ht="26" customHeight="1">
      <c r="A320" s="18" t="s">
        <v>225</v>
      </c>
      <c r="B320" s="18" t="s">
        <v>231</v>
      </c>
      <c r="C320" s="18" t="s">
        <v>234</v>
      </c>
      <c r="D320" s="18" t="s">
        <v>128</v>
      </c>
      <c r="E320" s="18">
        <v>31</v>
      </c>
      <c r="F320" s="17" t="s">
        <v>129</v>
      </c>
      <c r="G320" s="19">
        <v>90</v>
      </c>
    </row>
    <row r="321" spans="1:7" s="12" customFormat="1" ht="26" customHeight="1">
      <c r="A321" s="13" t="s">
        <v>225</v>
      </c>
      <c r="B321" s="13" t="s">
        <v>231</v>
      </c>
      <c r="C321" s="13" t="s">
        <v>234</v>
      </c>
      <c r="D321" s="13" t="s">
        <v>128</v>
      </c>
      <c r="E321" s="13">
        <v>32</v>
      </c>
      <c r="F321" s="2" t="s">
        <v>130</v>
      </c>
      <c r="G321" s="7">
        <v>91</v>
      </c>
    </row>
    <row r="322" spans="1:7" s="12" customFormat="1" ht="26" customHeight="1">
      <c r="A322" s="18" t="s">
        <v>225</v>
      </c>
      <c r="B322" s="18" t="s">
        <v>231</v>
      </c>
      <c r="C322" s="18" t="s">
        <v>234</v>
      </c>
      <c r="D322" s="18" t="s">
        <v>128</v>
      </c>
      <c r="E322" s="18">
        <v>33</v>
      </c>
      <c r="F322" s="17" t="s">
        <v>131</v>
      </c>
      <c r="G322" s="19">
        <v>91</v>
      </c>
    </row>
    <row r="323" spans="1:7" s="12" customFormat="1" ht="26" customHeight="1">
      <c r="A323" s="13" t="s">
        <v>225</v>
      </c>
      <c r="B323" s="13" t="s">
        <v>231</v>
      </c>
      <c r="C323" s="13" t="s">
        <v>234</v>
      </c>
      <c r="D323" s="13" t="s">
        <v>128</v>
      </c>
      <c r="E323" s="13">
        <v>34</v>
      </c>
      <c r="F323" s="2" t="s">
        <v>132</v>
      </c>
      <c r="G323" s="7">
        <v>92</v>
      </c>
    </row>
    <row r="324" spans="1:7" s="12" customFormat="1" ht="26" customHeight="1">
      <c r="A324" s="18" t="s">
        <v>225</v>
      </c>
      <c r="B324" s="18" t="s">
        <v>231</v>
      </c>
      <c r="C324" s="18" t="s">
        <v>234</v>
      </c>
      <c r="D324" s="18" t="s">
        <v>128</v>
      </c>
      <c r="E324" s="18">
        <v>35</v>
      </c>
      <c r="F324" s="17" t="s">
        <v>133</v>
      </c>
      <c r="G324" s="19">
        <v>106</v>
      </c>
    </row>
    <row r="325" spans="1:7" s="12" customFormat="1" ht="26" customHeight="1">
      <c r="A325" s="13" t="s">
        <v>225</v>
      </c>
      <c r="B325" s="13" t="s">
        <v>231</v>
      </c>
      <c r="C325" s="13" t="s">
        <v>234</v>
      </c>
      <c r="D325" s="13" t="s">
        <v>128</v>
      </c>
      <c r="E325" s="13">
        <v>36</v>
      </c>
      <c r="F325" s="2" t="s">
        <v>134</v>
      </c>
      <c r="G325" s="7">
        <v>109</v>
      </c>
    </row>
    <row r="326" spans="1:7" s="12" customFormat="1" ht="26" customHeight="1">
      <c r="A326" s="18" t="s">
        <v>225</v>
      </c>
      <c r="B326" s="18" t="s">
        <v>231</v>
      </c>
      <c r="C326" s="18" t="s">
        <v>234</v>
      </c>
      <c r="D326" s="18" t="s">
        <v>128</v>
      </c>
      <c r="E326" s="18">
        <v>37</v>
      </c>
      <c r="F326" s="17" t="s">
        <v>135</v>
      </c>
      <c r="G326" s="19">
        <v>129</v>
      </c>
    </row>
    <row r="327" spans="1:7" s="12" customFormat="1" ht="26" customHeight="1">
      <c r="A327" s="13" t="s">
        <v>225</v>
      </c>
      <c r="B327" s="13" t="s">
        <v>231</v>
      </c>
      <c r="C327" s="13" t="s">
        <v>234</v>
      </c>
      <c r="D327" s="13" t="s">
        <v>128</v>
      </c>
      <c r="E327" s="13">
        <v>38</v>
      </c>
      <c r="F327" s="2" t="s">
        <v>136</v>
      </c>
      <c r="G327" s="7">
        <v>136</v>
      </c>
    </row>
    <row r="328" spans="1:7" s="12" customFormat="1" ht="26" customHeight="1">
      <c r="A328" s="18" t="s">
        <v>225</v>
      </c>
      <c r="B328" s="18" t="s">
        <v>231</v>
      </c>
      <c r="C328" s="18" t="s">
        <v>234</v>
      </c>
      <c r="D328" s="18" t="s">
        <v>128</v>
      </c>
      <c r="E328" s="18">
        <v>39</v>
      </c>
      <c r="F328" s="17" t="s">
        <v>137</v>
      </c>
      <c r="G328" s="19">
        <v>139</v>
      </c>
    </row>
    <row r="329" spans="1:7" s="12" customFormat="1" ht="26" customHeight="1">
      <c r="A329" s="13" t="s">
        <v>225</v>
      </c>
      <c r="B329" s="13" t="s">
        <v>231</v>
      </c>
      <c r="C329" s="13" t="s">
        <v>234</v>
      </c>
      <c r="D329" s="13" t="s">
        <v>128</v>
      </c>
      <c r="E329" s="13">
        <v>40</v>
      </c>
      <c r="F329" s="2" t="s">
        <v>138</v>
      </c>
      <c r="G329" s="7">
        <v>142</v>
      </c>
    </row>
    <row r="330" spans="1:7" s="12" customFormat="1" ht="26" customHeight="1">
      <c r="A330" s="18" t="s">
        <v>225</v>
      </c>
      <c r="B330" s="18" t="s">
        <v>231</v>
      </c>
      <c r="C330" s="18" t="s">
        <v>234</v>
      </c>
      <c r="D330" s="18" t="s">
        <v>128</v>
      </c>
      <c r="E330" s="18">
        <v>41</v>
      </c>
      <c r="F330" s="17" t="s">
        <v>139</v>
      </c>
      <c r="G330" s="19">
        <v>149</v>
      </c>
    </row>
    <row r="331" spans="1:7" s="12" customFormat="1" ht="26" customHeight="1">
      <c r="A331" s="13" t="s">
        <v>225</v>
      </c>
      <c r="B331" s="13" t="s">
        <v>231</v>
      </c>
      <c r="C331" s="13" t="s">
        <v>234</v>
      </c>
      <c r="D331" s="13" t="s">
        <v>128</v>
      </c>
      <c r="E331" s="13">
        <v>42</v>
      </c>
      <c r="F331" s="2" t="s">
        <v>140</v>
      </c>
      <c r="G331" s="7">
        <v>162</v>
      </c>
    </row>
    <row r="332" spans="1:7" s="12" customFormat="1" ht="26" customHeight="1">
      <c r="A332" s="18" t="s">
        <v>225</v>
      </c>
      <c r="B332" s="18" t="s">
        <v>231</v>
      </c>
      <c r="C332" s="18" t="s">
        <v>234</v>
      </c>
      <c r="D332" s="18" t="s">
        <v>128</v>
      </c>
      <c r="E332" s="18">
        <v>43</v>
      </c>
      <c r="F332" s="17" t="s">
        <v>141</v>
      </c>
      <c r="G332" s="19">
        <v>162</v>
      </c>
    </row>
    <row r="333" spans="1:7" s="12" customFormat="1" ht="26" customHeight="1">
      <c r="A333" s="13" t="s">
        <v>225</v>
      </c>
      <c r="B333" s="13" t="s">
        <v>231</v>
      </c>
      <c r="C333" s="13" t="s">
        <v>234</v>
      </c>
      <c r="D333" s="13" t="s">
        <v>128</v>
      </c>
      <c r="E333" s="13">
        <v>44</v>
      </c>
      <c r="F333" s="2" t="s">
        <v>142</v>
      </c>
      <c r="G333" s="7">
        <v>164</v>
      </c>
    </row>
    <row r="334" spans="1:7" s="12" customFormat="1" ht="26" customHeight="1">
      <c r="A334" s="18" t="s">
        <v>225</v>
      </c>
      <c r="B334" s="18" t="s">
        <v>231</v>
      </c>
      <c r="C334" s="18" t="s">
        <v>234</v>
      </c>
      <c r="D334" s="18" t="s">
        <v>128</v>
      </c>
      <c r="E334" s="18">
        <v>45</v>
      </c>
      <c r="F334" s="17" t="s">
        <v>143</v>
      </c>
      <c r="G334" s="19">
        <v>165</v>
      </c>
    </row>
    <row r="335" spans="1:7" s="12" customFormat="1" ht="26" customHeight="1">
      <c r="A335" s="13" t="s">
        <v>225</v>
      </c>
      <c r="B335" s="13" t="s">
        <v>231</v>
      </c>
      <c r="C335" s="13" t="s">
        <v>234</v>
      </c>
      <c r="D335" s="13" t="s">
        <v>128</v>
      </c>
      <c r="E335" s="13">
        <v>46</v>
      </c>
      <c r="F335" s="2" t="s">
        <v>144</v>
      </c>
      <c r="G335" s="7">
        <v>165</v>
      </c>
    </row>
    <row r="336" spans="1:7" s="12" customFormat="1" ht="26" customHeight="1">
      <c r="A336" s="18" t="s">
        <v>225</v>
      </c>
      <c r="B336" s="18" t="s">
        <v>231</v>
      </c>
      <c r="C336" s="18" t="s">
        <v>234</v>
      </c>
      <c r="D336" s="18" t="s">
        <v>128</v>
      </c>
      <c r="E336" s="18">
        <v>47</v>
      </c>
      <c r="F336" s="17" t="s">
        <v>145</v>
      </c>
      <c r="G336" s="19">
        <v>168</v>
      </c>
    </row>
    <row r="337" spans="1:7" s="12" customFormat="1" ht="26" customHeight="1">
      <c r="A337" s="13" t="s">
        <v>225</v>
      </c>
      <c r="B337" s="13" t="s">
        <v>231</v>
      </c>
      <c r="C337" s="13" t="s">
        <v>234</v>
      </c>
      <c r="D337" s="13" t="s">
        <v>128</v>
      </c>
      <c r="E337" s="13">
        <v>48</v>
      </c>
      <c r="F337" s="2" t="s">
        <v>146</v>
      </c>
      <c r="G337" s="7">
        <v>170</v>
      </c>
    </row>
    <row r="338" spans="1:7" s="12" customFormat="1" ht="26" customHeight="1">
      <c r="A338" s="18" t="s">
        <v>225</v>
      </c>
      <c r="B338" s="18" t="s">
        <v>231</v>
      </c>
      <c r="C338" s="18" t="s">
        <v>235</v>
      </c>
      <c r="D338" s="18" t="s">
        <v>97</v>
      </c>
      <c r="E338" s="18">
        <v>1</v>
      </c>
      <c r="F338" s="17" t="s">
        <v>98</v>
      </c>
      <c r="G338" s="19">
        <v>132</v>
      </c>
    </row>
    <row r="339" spans="1:7" s="12" customFormat="1" ht="26" customHeight="1">
      <c r="A339" s="13" t="s">
        <v>225</v>
      </c>
      <c r="B339" s="13" t="s">
        <v>231</v>
      </c>
      <c r="C339" s="13" t="s">
        <v>235</v>
      </c>
      <c r="D339" s="13" t="s">
        <v>97</v>
      </c>
      <c r="E339" s="13">
        <v>2</v>
      </c>
      <c r="F339" s="2" t="s">
        <v>99</v>
      </c>
      <c r="G339" s="7">
        <v>132</v>
      </c>
    </row>
    <row r="340" spans="1:7" s="12" customFormat="1" ht="26" customHeight="1">
      <c r="A340" s="18" t="s">
        <v>225</v>
      </c>
      <c r="B340" s="18" t="s">
        <v>231</v>
      </c>
      <c r="C340" s="18" t="s">
        <v>235</v>
      </c>
      <c r="D340" s="18" t="s">
        <v>97</v>
      </c>
      <c r="E340" s="18">
        <v>3</v>
      </c>
      <c r="F340" s="17" t="s">
        <v>100</v>
      </c>
      <c r="G340" s="19">
        <v>141</v>
      </c>
    </row>
    <row r="341" spans="1:7" s="12" customFormat="1" ht="26" customHeight="1">
      <c r="A341" s="13" t="s">
        <v>225</v>
      </c>
      <c r="B341" s="13" t="s">
        <v>231</v>
      </c>
      <c r="C341" s="13" t="s">
        <v>235</v>
      </c>
      <c r="D341" s="13" t="s">
        <v>97</v>
      </c>
      <c r="E341" s="13">
        <v>4</v>
      </c>
      <c r="F341" s="2" t="s">
        <v>101</v>
      </c>
      <c r="G341" s="7">
        <v>142</v>
      </c>
    </row>
    <row r="342" spans="1:7" s="12" customFormat="1" ht="26" customHeight="1">
      <c r="A342" s="18" t="s">
        <v>225</v>
      </c>
      <c r="B342" s="18" t="s">
        <v>231</v>
      </c>
      <c r="C342" s="18" t="s">
        <v>235</v>
      </c>
      <c r="D342" s="18" t="s">
        <v>97</v>
      </c>
      <c r="E342" s="18">
        <v>5</v>
      </c>
      <c r="F342" s="17" t="s">
        <v>102</v>
      </c>
      <c r="G342" s="19">
        <v>142</v>
      </c>
    </row>
    <row r="343" spans="1:7" s="12" customFormat="1" ht="26" customHeight="1">
      <c r="A343" s="13" t="s">
        <v>225</v>
      </c>
      <c r="B343" s="13" t="s">
        <v>231</v>
      </c>
      <c r="C343" s="13" t="s">
        <v>235</v>
      </c>
      <c r="D343" s="13" t="s">
        <v>97</v>
      </c>
      <c r="E343" s="13">
        <v>6</v>
      </c>
      <c r="F343" s="2" t="s">
        <v>103</v>
      </c>
      <c r="G343" s="7">
        <v>143</v>
      </c>
    </row>
    <row r="344" spans="1:7" s="12" customFormat="1" ht="26" customHeight="1">
      <c r="A344" s="18" t="s">
        <v>225</v>
      </c>
      <c r="B344" s="18" t="s">
        <v>231</v>
      </c>
      <c r="C344" s="18" t="s">
        <v>235</v>
      </c>
      <c r="D344" s="18" t="s">
        <v>97</v>
      </c>
      <c r="E344" s="18">
        <v>7</v>
      </c>
      <c r="F344" s="17" t="s">
        <v>104</v>
      </c>
      <c r="G344" s="19">
        <v>143</v>
      </c>
    </row>
    <row r="345" spans="1:7" s="12" customFormat="1" ht="26" customHeight="1">
      <c r="A345" s="13" t="s">
        <v>225</v>
      </c>
      <c r="B345" s="13" t="s">
        <v>231</v>
      </c>
      <c r="C345" s="13" t="s">
        <v>235</v>
      </c>
      <c r="D345" s="13" t="s">
        <v>97</v>
      </c>
      <c r="E345" s="13">
        <v>8</v>
      </c>
      <c r="F345" s="2" t="s">
        <v>105</v>
      </c>
      <c r="G345" s="7">
        <v>143</v>
      </c>
    </row>
    <row r="346" spans="1:7" s="12" customFormat="1" ht="26" customHeight="1">
      <c r="A346" s="18" t="s">
        <v>225</v>
      </c>
      <c r="B346" s="18" t="s">
        <v>231</v>
      </c>
      <c r="C346" s="18" t="s">
        <v>235</v>
      </c>
      <c r="D346" s="18" t="s">
        <v>97</v>
      </c>
      <c r="E346" s="18">
        <v>9</v>
      </c>
      <c r="F346" s="17" t="s">
        <v>106</v>
      </c>
      <c r="G346" s="19">
        <v>143</v>
      </c>
    </row>
    <row r="347" spans="1:7" s="12" customFormat="1" ht="26" customHeight="1">
      <c r="A347" s="13" t="s">
        <v>225</v>
      </c>
      <c r="B347" s="13" t="s">
        <v>231</v>
      </c>
      <c r="C347" s="13" t="s">
        <v>235</v>
      </c>
      <c r="D347" s="13" t="s">
        <v>97</v>
      </c>
      <c r="E347" s="13">
        <v>10</v>
      </c>
      <c r="F347" s="2" t="s">
        <v>107</v>
      </c>
      <c r="G347" s="7">
        <v>143</v>
      </c>
    </row>
    <row r="348" spans="1:7" s="12" customFormat="1" ht="26" customHeight="1">
      <c r="A348" s="18" t="s">
        <v>225</v>
      </c>
      <c r="B348" s="18" t="s">
        <v>231</v>
      </c>
      <c r="C348" s="18" t="s">
        <v>235</v>
      </c>
      <c r="D348" s="18" t="s">
        <v>97</v>
      </c>
      <c r="E348" s="18">
        <v>11</v>
      </c>
      <c r="F348" s="17" t="s">
        <v>108</v>
      </c>
      <c r="G348" s="19">
        <v>143</v>
      </c>
    </row>
    <row r="349" spans="1:7" s="12" customFormat="1" ht="26" customHeight="1">
      <c r="A349" s="13" t="s">
        <v>225</v>
      </c>
      <c r="B349" s="13" t="s">
        <v>231</v>
      </c>
      <c r="C349" s="13" t="s">
        <v>235</v>
      </c>
      <c r="D349" s="13" t="s">
        <v>97</v>
      </c>
      <c r="E349" s="13">
        <v>12</v>
      </c>
      <c r="F349" s="2" t="s">
        <v>109</v>
      </c>
      <c r="G349" s="7">
        <v>144</v>
      </c>
    </row>
    <row r="350" spans="1:7" s="12" customFormat="1" ht="26" customHeight="1">
      <c r="A350" s="18" t="s">
        <v>225</v>
      </c>
      <c r="B350" s="18" t="s">
        <v>231</v>
      </c>
      <c r="C350" s="18" t="s">
        <v>235</v>
      </c>
      <c r="D350" s="18" t="s">
        <v>97</v>
      </c>
      <c r="E350" s="18">
        <v>13</v>
      </c>
      <c r="F350" s="17" t="s">
        <v>110</v>
      </c>
      <c r="G350" s="19">
        <v>144</v>
      </c>
    </row>
    <row r="351" spans="1:7" s="12" customFormat="1" ht="26" customHeight="1">
      <c r="A351" s="13" t="s">
        <v>225</v>
      </c>
      <c r="B351" s="13" t="s">
        <v>231</v>
      </c>
      <c r="C351" s="13" t="s">
        <v>235</v>
      </c>
      <c r="D351" s="13" t="s">
        <v>97</v>
      </c>
      <c r="E351" s="13">
        <v>14</v>
      </c>
      <c r="F351" s="2" t="s">
        <v>111</v>
      </c>
      <c r="G351" s="7">
        <v>144</v>
      </c>
    </row>
    <row r="352" spans="1:7" s="12" customFormat="1" ht="26" customHeight="1">
      <c r="A352" s="18" t="s">
        <v>225</v>
      </c>
      <c r="B352" s="18" t="s">
        <v>231</v>
      </c>
      <c r="C352" s="18" t="s">
        <v>235</v>
      </c>
      <c r="D352" s="18" t="s">
        <v>97</v>
      </c>
      <c r="E352" s="18">
        <v>15</v>
      </c>
      <c r="F352" s="17" t="s">
        <v>112</v>
      </c>
      <c r="G352" s="19">
        <v>144</v>
      </c>
    </row>
    <row r="353" spans="1:7" s="12" customFormat="1" ht="26" customHeight="1">
      <c r="A353" s="13" t="s">
        <v>225</v>
      </c>
      <c r="B353" s="13" t="s">
        <v>231</v>
      </c>
      <c r="C353" s="13" t="s">
        <v>235</v>
      </c>
      <c r="D353" s="13" t="s">
        <v>97</v>
      </c>
      <c r="E353" s="13">
        <v>16</v>
      </c>
      <c r="F353" s="2" t="s">
        <v>113</v>
      </c>
      <c r="G353" s="7">
        <v>144</v>
      </c>
    </row>
    <row r="354" spans="1:7" s="12" customFormat="1" ht="26" customHeight="1">
      <c r="A354" s="18" t="s">
        <v>225</v>
      </c>
      <c r="B354" s="18" t="s">
        <v>231</v>
      </c>
      <c r="C354" s="18" t="s">
        <v>235</v>
      </c>
      <c r="D354" s="18" t="s">
        <v>97</v>
      </c>
      <c r="E354" s="18">
        <v>17</v>
      </c>
      <c r="F354" s="17" t="s">
        <v>114</v>
      </c>
      <c r="G354" s="19">
        <v>146</v>
      </c>
    </row>
    <row r="355" spans="1:7" s="12" customFormat="1" ht="26" customHeight="1">
      <c r="A355" s="13" t="s">
        <v>225</v>
      </c>
      <c r="B355" s="13" t="s">
        <v>231</v>
      </c>
      <c r="C355" s="13" t="s">
        <v>235</v>
      </c>
      <c r="D355" s="13" t="s">
        <v>97</v>
      </c>
      <c r="E355" s="13">
        <v>18</v>
      </c>
      <c r="F355" s="2" t="s">
        <v>115</v>
      </c>
      <c r="G355" s="7">
        <v>146</v>
      </c>
    </row>
    <row r="356" spans="1:7" s="12" customFormat="1" ht="26" customHeight="1">
      <c r="A356" s="18" t="s">
        <v>225</v>
      </c>
      <c r="B356" s="18" t="s">
        <v>231</v>
      </c>
      <c r="C356" s="18" t="s">
        <v>235</v>
      </c>
      <c r="D356" s="18" t="s">
        <v>97</v>
      </c>
      <c r="E356" s="18">
        <v>19</v>
      </c>
      <c r="F356" s="17" t="s">
        <v>116</v>
      </c>
      <c r="G356" s="19">
        <v>146</v>
      </c>
    </row>
    <row r="357" spans="1:7" s="12" customFormat="1" ht="26" customHeight="1">
      <c r="A357" s="13" t="s">
        <v>225</v>
      </c>
      <c r="B357" s="13" t="s">
        <v>231</v>
      </c>
      <c r="C357" s="13" t="s">
        <v>235</v>
      </c>
      <c r="D357" s="13" t="s">
        <v>97</v>
      </c>
      <c r="E357" s="13">
        <v>20</v>
      </c>
      <c r="F357" s="2" t="s">
        <v>117</v>
      </c>
      <c r="G357" s="7">
        <v>147</v>
      </c>
    </row>
    <row r="358" spans="1:7" s="12" customFormat="1" ht="26" customHeight="1">
      <c r="A358" s="18" t="s">
        <v>225</v>
      </c>
      <c r="B358" s="18" t="s">
        <v>231</v>
      </c>
      <c r="C358" s="18" t="s">
        <v>235</v>
      </c>
      <c r="D358" s="18" t="s">
        <v>97</v>
      </c>
      <c r="E358" s="18">
        <v>21</v>
      </c>
      <c r="F358" s="17" t="s">
        <v>118</v>
      </c>
      <c r="G358" s="19">
        <v>147</v>
      </c>
    </row>
    <row r="359" spans="1:7" s="12" customFormat="1" ht="26" customHeight="1">
      <c r="A359" s="13" t="s">
        <v>225</v>
      </c>
      <c r="B359" s="13" t="s">
        <v>231</v>
      </c>
      <c r="C359" s="13" t="s">
        <v>235</v>
      </c>
      <c r="D359" s="13" t="s">
        <v>97</v>
      </c>
      <c r="E359" s="13">
        <v>22</v>
      </c>
      <c r="F359" s="2" t="s">
        <v>119</v>
      </c>
      <c r="G359" s="7">
        <v>147</v>
      </c>
    </row>
    <row r="360" spans="1:7" s="12" customFormat="1" ht="26" customHeight="1">
      <c r="A360" s="18" t="s">
        <v>225</v>
      </c>
      <c r="B360" s="18" t="s">
        <v>231</v>
      </c>
      <c r="C360" s="18" t="s">
        <v>235</v>
      </c>
      <c r="D360" s="18" t="s">
        <v>97</v>
      </c>
      <c r="E360" s="18">
        <v>23</v>
      </c>
      <c r="F360" s="17" t="s">
        <v>120</v>
      </c>
      <c r="G360" s="19">
        <v>149</v>
      </c>
    </row>
    <row r="361" spans="1:7" s="12" customFormat="1" ht="26" customHeight="1">
      <c r="A361" s="13" t="s">
        <v>225</v>
      </c>
      <c r="B361" s="13" t="s">
        <v>231</v>
      </c>
      <c r="C361" s="13" t="s">
        <v>235</v>
      </c>
      <c r="D361" s="13" t="s">
        <v>97</v>
      </c>
      <c r="E361" s="13">
        <v>24</v>
      </c>
      <c r="F361" s="2" t="s">
        <v>121</v>
      </c>
      <c r="G361" s="7">
        <v>149</v>
      </c>
    </row>
    <row r="362" spans="1:7" s="12" customFormat="1" ht="26" customHeight="1">
      <c r="A362" s="18" t="s">
        <v>225</v>
      </c>
      <c r="B362" s="18" t="s">
        <v>231</v>
      </c>
      <c r="C362" s="18" t="s">
        <v>235</v>
      </c>
      <c r="D362" s="18" t="s">
        <v>97</v>
      </c>
      <c r="E362" s="18">
        <v>25</v>
      </c>
      <c r="F362" s="17" t="s">
        <v>122</v>
      </c>
      <c r="G362" s="19">
        <v>149</v>
      </c>
    </row>
    <row r="363" spans="1:7" s="12" customFormat="1" ht="26" customHeight="1">
      <c r="A363" s="13" t="s">
        <v>225</v>
      </c>
      <c r="B363" s="13" t="s">
        <v>231</v>
      </c>
      <c r="C363" s="13" t="s">
        <v>235</v>
      </c>
      <c r="D363" s="13" t="s">
        <v>97</v>
      </c>
      <c r="E363" s="13">
        <v>26</v>
      </c>
      <c r="F363" s="2" t="s">
        <v>123</v>
      </c>
      <c r="G363" s="7">
        <v>150</v>
      </c>
    </row>
    <row r="364" spans="1:7" s="12" customFormat="1" ht="26" customHeight="1">
      <c r="A364" s="18" t="s">
        <v>225</v>
      </c>
      <c r="B364" s="18" t="s">
        <v>231</v>
      </c>
      <c r="C364" s="18" t="s">
        <v>235</v>
      </c>
      <c r="D364" s="18" t="s">
        <v>97</v>
      </c>
      <c r="E364" s="18">
        <v>27</v>
      </c>
      <c r="F364" s="17" t="s">
        <v>124</v>
      </c>
      <c r="G364" s="19">
        <v>157</v>
      </c>
    </row>
    <row r="365" spans="1:7" s="12" customFormat="1" ht="26" customHeight="1">
      <c r="A365" s="13" t="s">
        <v>225</v>
      </c>
      <c r="B365" s="13" t="s">
        <v>231</v>
      </c>
      <c r="C365" s="13" t="s">
        <v>235</v>
      </c>
      <c r="D365" s="13" t="s">
        <v>97</v>
      </c>
      <c r="E365" s="13">
        <v>28</v>
      </c>
      <c r="F365" s="2" t="s">
        <v>125</v>
      </c>
      <c r="G365" s="7">
        <v>169</v>
      </c>
    </row>
    <row r="366" spans="1:7" s="12" customFormat="1" ht="26" customHeight="1">
      <c r="A366" s="18" t="s">
        <v>225</v>
      </c>
      <c r="B366" s="18" t="s">
        <v>231</v>
      </c>
      <c r="C366" s="18" t="s">
        <v>235</v>
      </c>
      <c r="D366" s="18" t="s">
        <v>97</v>
      </c>
      <c r="E366" s="18">
        <v>29</v>
      </c>
      <c r="F366" s="17" t="s">
        <v>126</v>
      </c>
      <c r="G366" s="19">
        <v>174</v>
      </c>
    </row>
    <row r="367" spans="1:7" s="12" customFormat="1" ht="26" customHeight="1">
      <c r="A367" s="13" t="s">
        <v>225</v>
      </c>
      <c r="B367" s="13" t="s">
        <v>231</v>
      </c>
      <c r="C367" s="13" t="s">
        <v>235</v>
      </c>
      <c r="D367" s="13" t="s">
        <v>97</v>
      </c>
      <c r="E367" s="13">
        <v>30</v>
      </c>
      <c r="F367" s="2" t="s">
        <v>127</v>
      </c>
      <c r="G367" s="7">
        <v>174</v>
      </c>
    </row>
    <row r="368" spans="1:7" s="12" customFormat="1" ht="26" customHeight="1">
      <c r="A368" s="18" t="s">
        <v>225</v>
      </c>
      <c r="B368" s="18" t="s">
        <v>231</v>
      </c>
      <c r="C368" s="18" t="s">
        <v>235</v>
      </c>
      <c r="D368" s="18" t="s">
        <v>128</v>
      </c>
      <c r="E368" s="18">
        <v>31</v>
      </c>
      <c r="F368" s="17" t="s">
        <v>129</v>
      </c>
      <c r="G368" s="19">
        <v>95</v>
      </c>
    </row>
    <row r="369" spans="1:7" s="12" customFormat="1" ht="26" customHeight="1">
      <c r="A369" s="13" t="s">
        <v>225</v>
      </c>
      <c r="B369" s="13" t="s">
        <v>231</v>
      </c>
      <c r="C369" s="13" t="s">
        <v>235</v>
      </c>
      <c r="D369" s="13" t="s">
        <v>128</v>
      </c>
      <c r="E369" s="13">
        <v>32</v>
      </c>
      <c r="F369" s="2" t="s">
        <v>130</v>
      </c>
      <c r="G369" s="7">
        <v>96</v>
      </c>
    </row>
    <row r="370" spans="1:7" s="12" customFormat="1" ht="26" customHeight="1">
      <c r="A370" s="18" t="s">
        <v>225</v>
      </c>
      <c r="B370" s="18" t="s">
        <v>231</v>
      </c>
      <c r="C370" s="18" t="s">
        <v>235</v>
      </c>
      <c r="D370" s="18" t="s">
        <v>128</v>
      </c>
      <c r="E370" s="18">
        <v>33</v>
      </c>
      <c r="F370" s="17" t="s">
        <v>131</v>
      </c>
      <c r="G370" s="19">
        <v>96</v>
      </c>
    </row>
    <row r="371" spans="1:7" s="12" customFormat="1" ht="26" customHeight="1">
      <c r="A371" s="13" t="s">
        <v>225</v>
      </c>
      <c r="B371" s="13" t="s">
        <v>231</v>
      </c>
      <c r="C371" s="13" t="s">
        <v>235</v>
      </c>
      <c r="D371" s="13" t="s">
        <v>128</v>
      </c>
      <c r="E371" s="13">
        <v>34</v>
      </c>
      <c r="F371" s="2" t="s">
        <v>132</v>
      </c>
      <c r="G371" s="7">
        <v>97</v>
      </c>
    </row>
    <row r="372" spans="1:7" s="12" customFormat="1" ht="26" customHeight="1">
      <c r="A372" s="18" t="s">
        <v>225</v>
      </c>
      <c r="B372" s="18" t="s">
        <v>231</v>
      </c>
      <c r="C372" s="18" t="s">
        <v>235</v>
      </c>
      <c r="D372" s="18" t="s">
        <v>128</v>
      </c>
      <c r="E372" s="18">
        <v>35</v>
      </c>
      <c r="F372" s="17" t="s">
        <v>133</v>
      </c>
      <c r="G372" s="19">
        <v>111</v>
      </c>
    </row>
    <row r="373" spans="1:7" s="12" customFormat="1" ht="26" customHeight="1">
      <c r="A373" s="13" t="s">
        <v>225</v>
      </c>
      <c r="B373" s="13" t="s">
        <v>231</v>
      </c>
      <c r="C373" s="13" t="s">
        <v>235</v>
      </c>
      <c r="D373" s="13" t="s">
        <v>128</v>
      </c>
      <c r="E373" s="13">
        <v>36</v>
      </c>
      <c r="F373" s="2" t="s">
        <v>134</v>
      </c>
      <c r="G373" s="7">
        <v>114</v>
      </c>
    </row>
    <row r="374" spans="1:7" s="12" customFormat="1" ht="26" customHeight="1">
      <c r="A374" s="18" t="s">
        <v>225</v>
      </c>
      <c r="B374" s="18" t="s">
        <v>231</v>
      </c>
      <c r="C374" s="18" t="s">
        <v>235</v>
      </c>
      <c r="D374" s="18" t="s">
        <v>128</v>
      </c>
      <c r="E374" s="18">
        <v>37</v>
      </c>
      <c r="F374" s="17" t="s">
        <v>135</v>
      </c>
      <c r="G374" s="19">
        <v>134</v>
      </c>
    </row>
    <row r="375" spans="1:7" s="12" customFormat="1" ht="26" customHeight="1">
      <c r="A375" s="13" t="s">
        <v>225</v>
      </c>
      <c r="B375" s="13" t="s">
        <v>231</v>
      </c>
      <c r="C375" s="13" t="s">
        <v>235</v>
      </c>
      <c r="D375" s="13" t="s">
        <v>128</v>
      </c>
      <c r="E375" s="13">
        <v>38</v>
      </c>
      <c r="F375" s="2" t="s">
        <v>136</v>
      </c>
      <c r="G375" s="7">
        <v>141</v>
      </c>
    </row>
    <row r="376" spans="1:7" s="12" customFormat="1" ht="26" customHeight="1">
      <c r="A376" s="18" t="s">
        <v>225</v>
      </c>
      <c r="B376" s="18" t="s">
        <v>231</v>
      </c>
      <c r="C376" s="18" t="s">
        <v>235</v>
      </c>
      <c r="D376" s="18" t="s">
        <v>128</v>
      </c>
      <c r="E376" s="18">
        <v>39</v>
      </c>
      <c r="F376" s="17" t="s">
        <v>137</v>
      </c>
      <c r="G376" s="19">
        <v>144</v>
      </c>
    </row>
    <row r="377" spans="1:7" s="12" customFormat="1" ht="26" customHeight="1">
      <c r="A377" s="13" t="s">
        <v>225</v>
      </c>
      <c r="B377" s="13" t="s">
        <v>231</v>
      </c>
      <c r="C377" s="13" t="s">
        <v>235</v>
      </c>
      <c r="D377" s="13" t="s">
        <v>128</v>
      </c>
      <c r="E377" s="13">
        <v>40</v>
      </c>
      <c r="F377" s="2" t="s">
        <v>138</v>
      </c>
      <c r="G377" s="7">
        <v>147</v>
      </c>
    </row>
    <row r="378" spans="1:7" s="12" customFormat="1" ht="26" customHeight="1">
      <c r="A378" s="18" t="s">
        <v>225</v>
      </c>
      <c r="B378" s="18" t="s">
        <v>231</v>
      </c>
      <c r="C378" s="18" t="s">
        <v>235</v>
      </c>
      <c r="D378" s="18" t="s">
        <v>128</v>
      </c>
      <c r="E378" s="18">
        <v>41</v>
      </c>
      <c r="F378" s="17" t="s">
        <v>139</v>
      </c>
      <c r="G378" s="19">
        <v>154</v>
      </c>
    </row>
    <row r="379" spans="1:7" s="12" customFormat="1" ht="26" customHeight="1">
      <c r="A379" s="13" t="s">
        <v>225</v>
      </c>
      <c r="B379" s="13" t="s">
        <v>231</v>
      </c>
      <c r="C379" s="13" t="s">
        <v>235</v>
      </c>
      <c r="D379" s="13" t="s">
        <v>128</v>
      </c>
      <c r="E379" s="13">
        <v>42</v>
      </c>
      <c r="F379" s="2" t="s">
        <v>140</v>
      </c>
      <c r="G379" s="7">
        <v>167</v>
      </c>
    </row>
    <row r="380" spans="1:7" s="12" customFormat="1" ht="26" customHeight="1">
      <c r="A380" s="18" t="s">
        <v>225</v>
      </c>
      <c r="B380" s="18" t="s">
        <v>231</v>
      </c>
      <c r="C380" s="18" t="s">
        <v>235</v>
      </c>
      <c r="D380" s="18" t="s">
        <v>128</v>
      </c>
      <c r="E380" s="18">
        <v>43</v>
      </c>
      <c r="F380" s="17" t="s">
        <v>141</v>
      </c>
      <c r="G380" s="19">
        <v>167</v>
      </c>
    </row>
    <row r="381" spans="1:7" s="12" customFormat="1" ht="26" customHeight="1">
      <c r="A381" s="13" t="s">
        <v>225</v>
      </c>
      <c r="B381" s="13" t="s">
        <v>231</v>
      </c>
      <c r="C381" s="13" t="s">
        <v>235</v>
      </c>
      <c r="D381" s="13" t="s">
        <v>128</v>
      </c>
      <c r="E381" s="13">
        <v>44</v>
      </c>
      <c r="F381" s="2" t="s">
        <v>142</v>
      </c>
      <c r="G381" s="7">
        <v>169</v>
      </c>
    </row>
    <row r="382" spans="1:7" s="12" customFormat="1" ht="26" customHeight="1">
      <c r="A382" s="18" t="s">
        <v>225</v>
      </c>
      <c r="B382" s="18" t="s">
        <v>231</v>
      </c>
      <c r="C382" s="18" t="s">
        <v>235</v>
      </c>
      <c r="D382" s="18" t="s">
        <v>128</v>
      </c>
      <c r="E382" s="18">
        <v>45</v>
      </c>
      <c r="F382" s="17" t="s">
        <v>143</v>
      </c>
      <c r="G382" s="19">
        <v>170</v>
      </c>
    </row>
    <row r="383" spans="1:7" s="12" customFormat="1" ht="26" customHeight="1">
      <c r="A383" s="13" t="s">
        <v>225</v>
      </c>
      <c r="B383" s="13" t="s">
        <v>231</v>
      </c>
      <c r="C383" s="13" t="s">
        <v>235</v>
      </c>
      <c r="D383" s="13" t="s">
        <v>128</v>
      </c>
      <c r="E383" s="13">
        <v>46</v>
      </c>
      <c r="F383" s="2" t="s">
        <v>144</v>
      </c>
      <c r="G383" s="7">
        <v>170</v>
      </c>
    </row>
    <row r="384" spans="1:7" s="12" customFormat="1" ht="26" customHeight="1">
      <c r="A384" s="18" t="s">
        <v>225</v>
      </c>
      <c r="B384" s="18" t="s">
        <v>231</v>
      </c>
      <c r="C384" s="18" t="s">
        <v>235</v>
      </c>
      <c r="D384" s="18" t="s">
        <v>128</v>
      </c>
      <c r="E384" s="18">
        <v>47</v>
      </c>
      <c r="F384" s="17" t="s">
        <v>145</v>
      </c>
      <c r="G384" s="19">
        <v>173</v>
      </c>
    </row>
    <row r="385" spans="1:7" s="12" customFormat="1" ht="26" customHeight="1">
      <c r="A385" s="13" t="s">
        <v>225</v>
      </c>
      <c r="B385" s="13" t="s">
        <v>231</v>
      </c>
      <c r="C385" s="13" t="s">
        <v>235</v>
      </c>
      <c r="D385" s="13" t="s">
        <v>128</v>
      </c>
      <c r="E385" s="13">
        <v>48</v>
      </c>
      <c r="F385" s="2" t="s">
        <v>146</v>
      </c>
      <c r="G385" s="7">
        <v>175</v>
      </c>
    </row>
  </sheetData>
  <sheetProtection sheet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C3"/>
  <sheetViews>
    <sheetView tabSelected="1" zoomScale="55" zoomScaleNormal="55" workbookViewId="0">
      <pane ySplit="1" topLeftCell="A2" activePane="bottomLeft" state="frozen"/>
      <selection pane="bottomLeft" activeCell="I22" sqref="I22"/>
    </sheetView>
  </sheetViews>
  <sheetFormatPr baseColWidth="10" defaultRowHeight="14.25"/>
  <cols>
    <col min="1" max="1" width="25.6640625" bestFit="1" customWidth="1"/>
    <col min="2" max="2" width="32.265625" customWidth="1"/>
    <col min="3" max="3" width="25.3984375" bestFit="1" customWidth="1"/>
  </cols>
  <sheetData>
    <row r="1" spans="1:3" ht="48.75" customHeight="1">
      <c r="A1" s="8" t="s">
        <v>87</v>
      </c>
      <c r="B1" s="8" t="s">
        <v>88</v>
      </c>
      <c r="C1" s="10" t="s">
        <v>236</v>
      </c>
    </row>
    <row r="2" spans="1:3" ht="28.15" customHeight="1">
      <c r="A2" s="18" t="s">
        <v>237</v>
      </c>
      <c r="B2" s="17" t="s">
        <v>238</v>
      </c>
      <c r="C2" s="28">
        <v>2</v>
      </c>
    </row>
    <row r="3" spans="1:3" ht="28.15" customHeight="1">
      <c r="A3" s="13"/>
      <c r="B3" s="2"/>
      <c r="C3" s="29"/>
    </row>
  </sheetData>
  <sheetProtection password="DFDA" sheet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C49"/>
  <sheetViews>
    <sheetView zoomScale="55" zoomScaleNormal="55" workbookViewId="0">
      <pane ySplit="1" topLeftCell="A14" activePane="bottomLeft" state="frozen"/>
      <selection pane="bottomLeft" activeCell="O35" sqref="O35"/>
    </sheetView>
  </sheetViews>
  <sheetFormatPr baseColWidth="10" defaultRowHeight="14.25"/>
  <cols>
    <col min="1" max="1" width="20.46484375" style="26" bestFit="1" customWidth="1"/>
    <col min="2" max="2" width="33.265625" style="44" bestFit="1" customWidth="1"/>
    <col min="3" max="3" width="20.33203125" style="26" bestFit="1" customWidth="1"/>
  </cols>
  <sheetData>
    <row r="1" spans="1:3" ht="24.4" customHeight="1">
      <c r="A1" s="8" t="s">
        <v>90</v>
      </c>
      <c r="B1" s="8" t="s">
        <v>69</v>
      </c>
      <c r="C1" s="8" t="s">
        <v>239</v>
      </c>
    </row>
    <row r="2" spans="1:3" ht="24.4" customHeight="1">
      <c r="A2" s="18">
        <v>1</v>
      </c>
      <c r="B2" s="17" t="s">
        <v>98</v>
      </c>
      <c r="C2" s="18" t="s">
        <v>240</v>
      </c>
    </row>
    <row r="3" spans="1:3" ht="24.4" customHeight="1">
      <c r="A3" s="13">
        <v>2</v>
      </c>
      <c r="B3" s="2" t="s">
        <v>99</v>
      </c>
      <c r="C3" s="13" t="s">
        <v>240</v>
      </c>
    </row>
    <row r="4" spans="1:3" ht="24.4" customHeight="1">
      <c r="A4" s="18">
        <v>3</v>
      </c>
      <c r="B4" s="17" t="s">
        <v>100</v>
      </c>
      <c r="C4" s="18" t="s">
        <v>240</v>
      </c>
    </row>
    <row r="5" spans="1:3" ht="24.4" customHeight="1">
      <c r="A5" s="13">
        <v>4</v>
      </c>
      <c r="B5" s="2" t="s">
        <v>101</v>
      </c>
      <c r="C5" s="13" t="s">
        <v>240</v>
      </c>
    </row>
    <row r="6" spans="1:3" ht="24.4" customHeight="1">
      <c r="A6" s="18">
        <v>5</v>
      </c>
      <c r="B6" s="17" t="s">
        <v>102</v>
      </c>
      <c r="C6" s="18" t="s">
        <v>240</v>
      </c>
    </row>
    <row r="7" spans="1:3" ht="24.4" customHeight="1">
      <c r="A7" s="13">
        <v>6</v>
      </c>
      <c r="B7" s="2" t="s">
        <v>103</v>
      </c>
      <c r="C7" s="13" t="s">
        <v>240</v>
      </c>
    </row>
    <row r="8" spans="1:3" ht="24.4" customHeight="1">
      <c r="A8" s="18">
        <v>7</v>
      </c>
      <c r="B8" s="17" t="s">
        <v>104</v>
      </c>
      <c r="C8" s="18" t="s">
        <v>240</v>
      </c>
    </row>
    <row r="9" spans="1:3" ht="24.4" customHeight="1">
      <c r="A9" s="13">
        <v>8</v>
      </c>
      <c r="B9" s="2" t="s">
        <v>105</v>
      </c>
      <c r="C9" s="13" t="s">
        <v>240</v>
      </c>
    </row>
    <row r="10" spans="1:3" ht="24.4" customHeight="1">
      <c r="A10" s="18">
        <v>9</v>
      </c>
      <c r="B10" s="17" t="s">
        <v>106</v>
      </c>
      <c r="C10" s="18" t="s">
        <v>240</v>
      </c>
    </row>
    <row r="11" spans="1:3" ht="24.4" customHeight="1">
      <c r="A11" s="13">
        <v>10</v>
      </c>
      <c r="B11" s="2" t="s">
        <v>107</v>
      </c>
      <c r="C11" s="13" t="s">
        <v>240</v>
      </c>
    </row>
    <row r="12" spans="1:3" ht="24.4" customHeight="1">
      <c r="A12" s="18">
        <v>11</v>
      </c>
      <c r="B12" s="17" t="s">
        <v>108</v>
      </c>
      <c r="C12" s="18" t="s">
        <v>240</v>
      </c>
    </row>
    <row r="13" spans="1:3" ht="24.4" customHeight="1">
      <c r="A13" s="13">
        <v>12</v>
      </c>
      <c r="B13" s="2" t="s">
        <v>109</v>
      </c>
      <c r="C13" s="13" t="s">
        <v>240</v>
      </c>
    </row>
    <row r="14" spans="1:3" ht="24.4" customHeight="1">
      <c r="A14" s="18">
        <v>13</v>
      </c>
      <c r="B14" s="17" t="s">
        <v>110</v>
      </c>
      <c r="C14" s="18" t="s">
        <v>240</v>
      </c>
    </row>
    <row r="15" spans="1:3" ht="24.4" customHeight="1">
      <c r="A15" s="13">
        <v>14</v>
      </c>
      <c r="B15" s="2" t="s">
        <v>111</v>
      </c>
      <c r="C15" s="13" t="s">
        <v>240</v>
      </c>
    </row>
    <row r="16" spans="1:3" ht="24.4" customHeight="1">
      <c r="A16" s="18">
        <v>15</v>
      </c>
      <c r="B16" s="17" t="s">
        <v>112</v>
      </c>
      <c r="C16" s="18" t="s">
        <v>240</v>
      </c>
    </row>
    <row r="17" spans="1:3" ht="24.4" customHeight="1">
      <c r="A17" s="13">
        <v>16</v>
      </c>
      <c r="B17" s="2" t="s">
        <v>113</v>
      </c>
      <c r="C17" s="13" t="s">
        <v>240</v>
      </c>
    </row>
    <row r="18" spans="1:3" ht="24.4" customHeight="1">
      <c r="A18" s="18">
        <v>17</v>
      </c>
      <c r="B18" s="17" t="s">
        <v>114</v>
      </c>
      <c r="C18" s="18" t="s">
        <v>240</v>
      </c>
    </row>
    <row r="19" spans="1:3" ht="24.4" customHeight="1">
      <c r="A19" s="13">
        <v>18</v>
      </c>
      <c r="B19" s="2" t="s">
        <v>115</v>
      </c>
      <c r="C19" s="13" t="s">
        <v>240</v>
      </c>
    </row>
    <row r="20" spans="1:3" ht="24.4" customHeight="1">
      <c r="A20" s="18">
        <v>19</v>
      </c>
      <c r="B20" s="17" t="s">
        <v>116</v>
      </c>
      <c r="C20" s="18" t="s">
        <v>240</v>
      </c>
    </row>
    <row r="21" spans="1:3" ht="24.4" customHeight="1">
      <c r="A21" s="13">
        <v>20</v>
      </c>
      <c r="B21" s="2" t="s">
        <v>117</v>
      </c>
      <c r="C21" s="13" t="s">
        <v>240</v>
      </c>
    </row>
    <row r="22" spans="1:3" ht="24.4" customHeight="1">
      <c r="A22" s="18">
        <v>21</v>
      </c>
      <c r="B22" s="17" t="s">
        <v>118</v>
      </c>
      <c r="C22" s="18" t="s">
        <v>240</v>
      </c>
    </row>
    <row r="23" spans="1:3" ht="24.4" customHeight="1">
      <c r="A23" s="13">
        <v>22</v>
      </c>
      <c r="B23" s="2" t="s">
        <v>119</v>
      </c>
      <c r="C23" s="13" t="s">
        <v>240</v>
      </c>
    </row>
    <row r="24" spans="1:3" ht="24.4" customHeight="1">
      <c r="A24" s="18">
        <v>23</v>
      </c>
      <c r="B24" s="17" t="s">
        <v>120</v>
      </c>
      <c r="C24" s="18" t="s">
        <v>240</v>
      </c>
    </row>
    <row r="25" spans="1:3" ht="24.4" customHeight="1">
      <c r="A25" s="13">
        <v>24</v>
      </c>
      <c r="B25" s="2" t="s">
        <v>121</v>
      </c>
      <c r="C25" s="13" t="s">
        <v>240</v>
      </c>
    </row>
    <row r="26" spans="1:3" ht="24.4" customHeight="1">
      <c r="A26" s="18">
        <v>25</v>
      </c>
      <c r="B26" s="17" t="s">
        <v>122</v>
      </c>
      <c r="C26" s="18" t="s">
        <v>240</v>
      </c>
    </row>
    <row r="27" spans="1:3" ht="24.4" customHeight="1">
      <c r="A27" s="13">
        <v>26</v>
      </c>
      <c r="B27" s="2" t="s">
        <v>123</v>
      </c>
      <c r="C27" s="13" t="s">
        <v>240</v>
      </c>
    </row>
    <row r="28" spans="1:3" ht="24.4" customHeight="1">
      <c r="A28" s="18">
        <v>27</v>
      </c>
      <c r="B28" s="17" t="s">
        <v>124</v>
      </c>
      <c r="C28" s="18" t="s">
        <v>240</v>
      </c>
    </row>
    <row r="29" spans="1:3" ht="24.4" customHeight="1">
      <c r="A29" s="13">
        <v>28</v>
      </c>
      <c r="B29" s="2" t="s">
        <v>125</v>
      </c>
      <c r="C29" s="13" t="s">
        <v>240</v>
      </c>
    </row>
    <row r="30" spans="1:3" ht="24.4" customHeight="1">
      <c r="A30" s="18">
        <v>29</v>
      </c>
      <c r="B30" s="17" t="s">
        <v>126</v>
      </c>
      <c r="C30" s="18" t="s">
        <v>240</v>
      </c>
    </row>
    <row r="31" spans="1:3" ht="24.4" customHeight="1">
      <c r="A31" s="13">
        <v>30</v>
      </c>
      <c r="B31" s="2" t="s">
        <v>127</v>
      </c>
      <c r="C31" s="13" t="s">
        <v>240</v>
      </c>
    </row>
    <row r="32" spans="1:3" ht="24.4" customHeight="1">
      <c r="A32" s="18">
        <v>31</v>
      </c>
      <c r="B32" s="17" t="s">
        <v>129</v>
      </c>
      <c r="C32" s="18" t="s">
        <v>241</v>
      </c>
    </row>
    <row r="33" spans="1:3" ht="24.4" customHeight="1">
      <c r="A33" s="13">
        <v>32</v>
      </c>
      <c r="B33" s="2" t="s">
        <v>130</v>
      </c>
      <c r="C33" s="13" t="s">
        <v>241</v>
      </c>
    </row>
    <row r="34" spans="1:3" ht="24.4" customHeight="1">
      <c r="A34" s="18">
        <v>33</v>
      </c>
      <c r="B34" s="17" t="s">
        <v>131</v>
      </c>
      <c r="C34" s="18" t="s">
        <v>241</v>
      </c>
    </row>
    <row r="35" spans="1:3" ht="24.4" customHeight="1">
      <c r="A35" s="13">
        <v>34</v>
      </c>
      <c r="B35" s="2" t="s">
        <v>132</v>
      </c>
      <c r="C35" s="13" t="s">
        <v>241</v>
      </c>
    </row>
    <row r="36" spans="1:3" ht="24.4" customHeight="1">
      <c r="A36" s="18">
        <v>35</v>
      </c>
      <c r="B36" s="17" t="s">
        <v>133</v>
      </c>
      <c r="C36" s="18" t="s">
        <v>241</v>
      </c>
    </row>
    <row r="37" spans="1:3" ht="24.4" customHeight="1">
      <c r="A37" s="13">
        <v>36</v>
      </c>
      <c r="B37" s="2" t="s">
        <v>134</v>
      </c>
      <c r="C37" s="13" t="s">
        <v>241</v>
      </c>
    </row>
    <row r="38" spans="1:3" ht="24.4" customHeight="1">
      <c r="A38" s="18">
        <v>37</v>
      </c>
      <c r="B38" s="17" t="s">
        <v>135</v>
      </c>
      <c r="C38" s="18" t="s">
        <v>241</v>
      </c>
    </row>
    <row r="39" spans="1:3" ht="24.4" customHeight="1">
      <c r="A39" s="13">
        <v>38</v>
      </c>
      <c r="B39" s="2" t="s">
        <v>136</v>
      </c>
      <c r="C39" s="13" t="s">
        <v>240</v>
      </c>
    </row>
    <row r="40" spans="1:3" ht="24.4" customHeight="1">
      <c r="A40" s="18">
        <v>39</v>
      </c>
      <c r="B40" s="17" t="s">
        <v>137</v>
      </c>
      <c r="C40" s="18" t="s">
        <v>242</v>
      </c>
    </row>
    <row r="41" spans="1:3" ht="24.4" customHeight="1">
      <c r="A41" s="13">
        <v>40</v>
      </c>
      <c r="B41" s="2" t="s">
        <v>138</v>
      </c>
      <c r="C41" s="13" t="s">
        <v>241</v>
      </c>
    </row>
    <row r="42" spans="1:3" ht="24.4" customHeight="1">
      <c r="A42" s="18">
        <v>41</v>
      </c>
      <c r="B42" s="17" t="s">
        <v>139</v>
      </c>
      <c r="C42" s="18" t="s">
        <v>242</v>
      </c>
    </row>
    <row r="43" spans="1:3" ht="24.4" customHeight="1">
      <c r="A43" s="13">
        <v>42</v>
      </c>
      <c r="B43" s="2" t="s">
        <v>140</v>
      </c>
      <c r="C43" s="13" t="s">
        <v>243</v>
      </c>
    </row>
    <row r="44" spans="1:3" ht="24.4" customHeight="1">
      <c r="A44" s="18">
        <v>43</v>
      </c>
      <c r="B44" s="17" t="s">
        <v>141</v>
      </c>
      <c r="C44" s="18" t="s">
        <v>240</v>
      </c>
    </row>
    <row r="45" spans="1:3" ht="24.4" customHeight="1">
      <c r="A45" s="13">
        <v>44</v>
      </c>
      <c r="B45" s="2" t="s">
        <v>142</v>
      </c>
      <c r="C45" s="13" t="s">
        <v>243</v>
      </c>
    </row>
    <row r="46" spans="1:3" ht="24.4" customHeight="1">
      <c r="A46" s="18">
        <v>45</v>
      </c>
      <c r="B46" s="17" t="s">
        <v>143</v>
      </c>
      <c r="C46" s="18" t="s">
        <v>243</v>
      </c>
    </row>
    <row r="47" spans="1:3" ht="24.4" customHeight="1">
      <c r="A47" s="13">
        <v>46</v>
      </c>
      <c r="B47" s="2" t="s">
        <v>144</v>
      </c>
      <c r="C47" s="13" t="s">
        <v>244</v>
      </c>
    </row>
    <row r="48" spans="1:3" ht="24.4" customHeight="1">
      <c r="A48" s="18">
        <v>47</v>
      </c>
      <c r="B48" s="17" t="s">
        <v>145</v>
      </c>
      <c r="C48" s="18" t="s">
        <v>245</v>
      </c>
    </row>
    <row r="49" spans="1:3" ht="24.4" customHeight="1">
      <c r="A49" s="13">
        <v>48</v>
      </c>
      <c r="B49" s="2" t="s">
        <v>146</v>
      </c>
      <c r="C49" s="13" t="s">
        <v>245</v>
      </c>
    </row>
  </sheetData>
  <sheetProtection password="DFDA" sheet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/>
  <dimension ref="A1:G49"/>
  <sheetViews>
    <sheetView zoomScale="55" zoomScaleNormal="55" workbookViewId="0">
      <pane ySplit="1" topLeftCell="A2" activePane="bottomLeft" state="frozen"/>
      <selection pane="bottomLeft" activeCell="J50" sqref="J50"/>
    </sheetView>
  </sheetViews>
  <sheetFormatPr baseColWidth="10" defaultRowHeight="14.25"/>
  <cols>
    <col min="1" max="1" width="26.73046875" style="26" customWidth="1"/>
    <col min="2" max="3" width="10.19921875" customWidth="1"/>
    <col min="4" max="4" width="36.06640625" customWidth="1"/>
    <col min="5" max="7" width="14.59765625" customWidth="1"/>
  </cols>
  <sheetData>
    <row r="1" spans="1:7" s="8" customFormat="1" ht="24.4" customHeight="1">
      <c r="A1" s="8" t="s">
        <v>87</v>
      </c>
      <c r="B1" s="8" t="s">
        <v>89</v>
      </c>
      <c r="C1" s="8" t="s">
        <v>90</v>
      </c>
      <c r="D1" s="9" t="s">
        <v>69</v>
      </c>
      <c r="E1" s="27" t="s">
        <v>222</v>
      </c>
      <c r="F1" s="10" t="s">
        <v>223</v>
      </c>
      <c r="G1" s="11" t="s">
        <v>224</v>
      </c>
    </row>
    <row r="2" spans="1:7" s="12" customFormat="1" ht="26" customHeight="1">
      <c r="A2" s="18" t="s">
        <v>246</v>
      </c>
      <c r="B2" s="18" t="s">
        <v>97</v>
      </c>
      <c r="C2" s="18">
        <v>1</v>
      </c>
      <c r="D2" s="17" t="s">
        <v>98</v>
      </c>
      <c r="E2" s="20">
        <v>158</v>
      </c>
      <c r="F2" s="20">
        <v>204</v>
      </c>
      <c r="G2" s="21">
        <v>252</v>
      </c>
    </row>
    <row r="3" spans="1:7" s="12" customFormat="1" ht="26" customHeight="1">
      <c r="A3" s="13" t="s">
        <v>246</v>
      </c>
      <c r="B3" s="13" t="s">
        <v>97</v>
      </c>
      <c r="C3" s="13">
        <v>2</v>
      </c>
      <c r="D3" s="2" t="s">
        <v>99</v>
      </c>
      <c r="E3" s="3">
        <v>158</v>
      </c>
      <c r="F3" s="3">
        <v>204</v>
      </c>
      <c r="G3" s="4">
        <v>252</v>
      </c>
    </row>
    <row r="4" spans="1:7" s="12" customFormat="1" ht="26" customHeight="1">
      <c r="A4" s="18" t="s">
        <v>246</v>
      </c>
      <c r="B4" s="18" t="s">
        <v>97</v>
      </c>
      <c r="C4" s="18">
        <v>3</v>
      </c>
      <c r="D4" s="17" t="s">
        <v>100</v>
      </c>
      <c r="E4" s="20">
        <v>176</v>
      </c>
      <c r="F4" s="20">
        <v>227</v>
      </c>
      <c r="G4" s="21">
        <v>280</v>
      </c>
    </row>
    <row r="5" spans="1:7" s="12" customFormat="1" ht="26" customHeight="1">
      <c r="A5" s="13" t="s">
        <v>246</v>
      </c>
      <c r="B5" s="13" t="s">
        <v>97</v>
      </c>
      <c r="C5" s="13">
        <v>4</v>
      </c>
      <c r="D5" s="2" t="s">
        <v>101</v>
      </c>
      <c r="E5" s="3">
        <v>179</v>
      </c>
      <c r="F5" s="3">
        <v>231</v>
      </c>
      <c r="G5" s="4">
        <v>285</v>
      </c>
    </row>
    <row r="6" spans="1:7" s="12" customFormat="1" ht="26" customHeight="1">
      <c r="A6" s="18" t="s">
        <v>246</v>
      </c>
      <c r="B6" s="18" t="s">
        <v>97</v>
      </c>
      <c r="C6" s="18">
        <v>5</v>
      </c>
      <c r="D6" s="17" t="s">
        <v>102</v>
      </c>
      <c r="E6" s="20">
        <v>179</v>
      </c>
      <c r="F6" s="20">
        <v>231</v>
      </c>
      <c r="G6" s="21">
        <v>285</v>
      </c>
    </row>
    <row r="7" spans="1:7" s="12" customFormat="1" ht="26" customHeight="1">
      <c r="A7" s="13" t="s">
        <v>246</v>
      </c>
      <c r="B7" s="13" t="s">
        <v>97</v>
      </c>
      <c r="C7" s="13">
        <v>6</v>
      </c>
      <c r="D7" s="2" t="s">
        <v>103</v>
      </c>
      <c r="E7" s="3">
        <v>180</v>
      </c>
      <c r="F7" s="3">
        <v>232</v>
      </c>
      <c r="G7" s="4">
        <v>287</v>
      </c>
    </row>
    <row r="8" spans="1:7" s="12" customFormat="1" ht="26" customHeight="1">
      <c r="A8" s="18" t="s">
        <v>246</v>
      </c>
      <c r="B8" s="18" t="s">
        <v>97</v>
      </c>
      <c r="C8" s="18">
        <v>7</v>
      </c>
      <c r="D8" s="17" t="s">
        <v>104</v>
      </c>
      <c r="E8" s="20">
        <v>180</v>
      </c>
      <c r="F8" s="20">
        <v>232</v>
      </c>
      <c r="G8" s="21">
        <v>287</v>
      </c>
    </row>
    <row r="9" spans="1:7" s="12" customFormat="1" ht="26" customHeight="1">
      <c r="A9" s="13" t="s">
        <v>246</v>
      </c>
      <c r="B9" s="13" t="s">
        <v>97</v>
      </c>
      <c r="C9" s="13">
        <v>8</v>
      </c>
      <c r="D9" s="2" t="s">
        <v>105</v>
      </c>
      <c r="E9" s="3">
        <v>180</v>
      </c>
      <c r="F9" s="3">
        <v>232</v>
      </c>
      <c r="G9" s="4">
        <v>287</v>
      </c>
    </row>
    <row r="10" spans="1:7" s="12" customFormat="1" ht="26" customHeight="1">
      <c r="A10" s="18" t="s">
        <v>246</v>
      </c>
      <c r="B10" s="18" t="s">
        <v>97</v>
      </c>
      <c r="C10" s="18">
        <v>9</v>
      </c>
      <c r="D10" s="17" t="s">
        <v>106</v>
      </c>
      <c r="E10" s="20">
        <v>180</v>
      </c>
      <c r="F10" s="20">
        <v>232</v>
      </c>
      <c r="G10" s="21">
        <v>287</v>
      </c>
    </row>
    <row r="11" spans="1:7" s="12" customFormat="1" ht="26" customHeight="1">
      <c r="A11" s="13" t="s">
        <v>246</v>
      </c>
      <c r="B11" s="13" t="s">
        <v>97</v>
      </c>
      <c r="C11" s="13">
        <v>10</v>
      </c>
      <c r="D11" s="2" t="s">
        <v>107</v>
      </c>
      <c r="E11" s="3">
        <v>180</v>
      </c>
      <c r="F11" s="3">
        <v>232</v>
      </c>
      <c r="G11" s="4">
        <v>287</v>
      </c>
    </row>
    <row r="12" spans="1:7" s="12" customFormat="1" ht="26" customHeight="1">
      <c r="A12" s="18" t="s">
        <v>246</v>
      </c>
      <c r="B12" s="18" t="s">
        <v>97</v>
      </c>
      <c r="C12" s="18">
        <v>11</v>
      </c>
      <c r="D12" s="17" t="s">
        <v>108</v>
      </c>
      <c r="E12" s="20">
        <v>180</v>
      </c>
      <c r="F12" s="20">
        <v>232</v>
      </c>
      <c r="G12" s="21">
        <v>287</v>
      </c>
    </row>
    <row r="13" spans="1:7" s="12" customFormat="1" ht="26" customHeight="1">
      <c r="A13" s="13" t="s">
        <v>246</v>
      </c>
      <c r="B13" s="13" t="s">
        <v>97</v>
      </c>
      <c r="C13" s="13">
        <v>12</v>
      </c>
      <c r="D13" s="2" t="s">
        <v>109</v>
      </c>
      <c r="E13" s="3">
        <v>182</v>
      </c>
      <c r="F13" s="3">
        <v>235</v>
      </c>
      <c r="G13" s="4">
        <v>291</v>
      </c>
    </row>
    <row r="14" spans="1:7" s="12" customFormat="1" ht="26" customHeight="1">
      <c r="A14" s="18" t="s">
        <v>246</v>
      </c>
      <c r="B14" s="18" t="s">
        <v>97</v>
      </c>
      <c r="C14" s="18">
        <v>13</v>
      </c>
      <c r="D14" s="17" t="s">
        <v>110</v>
      </c>
      <c r="E14" s="20">
        <v>182</v>
      </c>
      <c r="F14" s="20">
        <v>235</v>
      </c>
      <c r="G14" s="21">
        <v>291</v>
      </c>
    </row>
    <row r="15" spans="1:7" s="12" customFormat="1" ht="26" customHeight="1">
      <c r="A15" s="13" t="s">
        <v>246</v>
      </c>
      <c r="B15" s="13" t="s">
        <v>97</v>
      </c>
      <c r="C15" s="13">
        <v>14</v>
      </c>
      <c r="D15" s="2" t="s">
        <v>111</v>
      </c>
      <c r="E15" s="3">
        <v>183</v>
      </c>
      <c r="F15" s="3">
        <v>236</v>
      </c>
      <c r="G15" s="4">
        <v>292</v>
      </c>
    </row>
    <row r="16" spans="1:7" s="12" customFormat="1" ht="26" customHeight="1">
      <c r="A16" s="18" t="s">
        <v>246</v>
      </c>
      <c r="B16" s="18" t="s">
        <v>97</v>
      </c>
      <c r="C16" s="18">
        <v>15</v>
      </c>
      <c r="D16" s="17" t="s">
        <v>112</v>
      </c>
      <c r="E16" s="20">
        <v>183</v>
      </c>
      <c r="F16" s="20">
        <v>236</v>
      </c>
      <c r="G16" s="21">
        <v>292</v>
      </c>
    </row>
    <row r="17" spans="1:7" s="12" customFormat="1" ht="26" customHeight="1">
      <c r="A17" s="13" t="s">
        <v>246</v>
      </c>
      <c r="B17" s="13" t="s">
        <v>97</v>
      </c>
      <c r="C17" s="13">
        <v>16</v>
      </c>
      <c r="D17" s="2" t="s">
        <v>113</v>
      </c>
      <c r="E17" s="3">
        <v>183</v>
      </c>
      <c r="F17" s="3">
        <v>236</v>
      </c>
      <c r="G17" s="4">
        <v>292</v>
      </c>
    </row>
    <row r="18" spans="1:7" s="12" customFormat="1" ht="26" customHeight="1">
      <c r="A18" s="18" t="s">
        <v>246</v>
      </c>
      <c r="B18" s="18" t="s">
        <v>97</v>
      </c>
      <c r="C18" s="18">
        <v>17</v>
      </c>
      <c r="D18" s="17" t="s">
        <v>114</v>
      </c>
      <c r="E18" s="20">
        <v>186</v>
      </c>
      <c r="F18" s="20">
        <v>240</v>
      </c>
      <c r="G18" s="21">
        <v>297</v>
      </c>
    </row>
    <row r="19" spans="1:7" s="12" customFormat="1" ht="26" customHeight="1">
      <c r="A19" s="13" t="s">
        <v>246</v>
      </c>
      <c r="B19" s="13" t="s">
        <v>97</v>
      </c>
      <c r="C19" s="13">
        <v>18</v>
      </c>
      <c r="D19" s="2" t="s">
        <v>115</v>
      </c>
      <c r="E19" s="3">
        <v>186</v>
      </c>
      <c r="F19" s="3">
        <v>240</v>
      </c>
      <c r="G19" s="4">
        <v>297</v>
      </c>
    </row>
    <row r="20" spans="1:7" s="12" customFormat="1" ht="26" customHeight="1">
      <c r="A20" s="18" t="s">
        <v>246</v>
      </c>
      <c r="B20" s="18" t="s">
        <v>97</v>
      </c>
      <c r="C20" s="18">
        <v>19</v>
      </c>
      <c r="D20" s="17" t="s">
        <v>116</v>
      </c>
      <c r="E20" s="20">
        <v>186</v>
      </c>
      <c r="F20" s="20">
        <v>240</v>
      </c>
      <c r="G20" s="21">
        <v>297</v>
      </c>
    </row>
    <row r="21" spans="1:7" s="12" customFormat="1" ht="26" customHeight="1">
      <c r="A21" s="13" t="s">
        <v>246</v>
      </c>
      <c r="B21" s="13" t="s">
        <v>97</v>
      </c>
      <c r="C21" s="13">
        <v>20</v>
      </c>
      <c r="D21" s="2" t="s">
        <v>117</v>
      </c>
      <c r="E21" s="3">
        <v>188</v>
      </c>
      <c r="F21" s="3">
        <v>242</v>
      </c>
      <c r="G21" s="4">
        <v>299</v>
      </c>
    </row>
    <row r="22" spans="1:7" s="12" customFormat="1" ht="26" customHeight="1">
      <c r="A22" s="18" t="s">
        <v>246</v>
      </c>
      <c r="B22" s="18" t="s">
        <v>97</v>
      </c>
      <c r="C22" s="18">
        <v>21</v>
      </c>
      <c r="D22" s="17" t="s">
        <v>118</v>
      </c>
      <c r="E22" s="20">
        <v>189</v>
      </c>
      <c r="F22" s="20">
        <v>243</v>
      </c>
      <c r="G22" s="21">
        <v>301</v>
      </c>
    </row>
    <row r="23" spans="1:7" s="12" customFormat="1" ht="26" customHeight="1">
      <c r="A23" s="13" t="s">
        <v>246</v>
      </c>
      <c r="B23" s="13" t="s">
        <v>97</v>
      </c>
      <c r="C23" s="13">
        <v>22</v>
      </c>
      <c r="D23" s="2" t="s">
        <v>119</v>
      </c>
      <c r="E23" s="3">
        <v>189</v>
      </c>
      <c r="F23" s="3">
        <v>243</v>
      </c>
      <c r="G23" s="4">
        <v>301</v>
      </c>
    </row>
    <row r="24" spans="1:7" s="12" customFormat="1" ht="26" customHeight="1">
      <c r="A24" s="18" t="s">
        <v>246</v>
      </c>
      <c r="B24" s="18" t="s">
        <v>97</v>
      </c>
      <c r="C24" s="18">
        <v>23</v>
      </c>
      <c r="D24" s="17" t="s">
        <v>120</v>
      </c>
      <c r="E24" s="20">
        <v>192</v>
      </c>
      <c r="F24" s="20">
        <v>247</v>
      </c>
      <c r="G24" s="21">
        <v>305</v>
      </c>
    </row>
    <row r="25" spans="1:7" s="12" customFormat="1" ht="26" customHeight="1">
      <c r="A25" s="13" t="s">
        <v>246</v>
      </c>
      <c r="B25" s="13" t="s">
        <v>97</v>
      </c>
      <c r="C25" s="13">
        <v>24</v>
      </c>
      <c r="D25" s="2" t="s">
        <v>121</v>
      </c>
      <c r="E25" s="3">
        <v>192</v>
      </c>
      <c r="F25" s="3">
        <v>247</v>
      </c>
      <c r="G25" s="4">
        <v>305</v>
      </c>
    </row>
    <row r="26" spans="1:7" s="12" customFormat="1" ht="26" customHeight="1">
      <c r="A26" s="18" t="s">
        <v>246</v>
      </c>
      <c r="B26" s="18" t="s">
        <v>97</v>
      </c>
      <c r="C26" s="18">
        <v>25</v>
      </c>
      <c r="D26" s="17" t="s">
        <v>122</v>
      </c>
      <c r="E26" s="20">
        <v>192</v>
      </c>
      <c r="F26" s="20">
        <v>247</v>
      </c>
      <c r="G26" s="21">
        <v>305</v>
      </c>
    </row>
    <row r="27" spans="1:7" s="12" customFormat="1" ht="26" customHeight="1">
      <c r="A27" s="13" t="s">
        <v>246</v>
      </c>
      <c r="B27" s="13" t="s">
        <v>97</v>
      </c>
      <c r="C27" s="13">
        <v>26</v>
      </c>
      <c r="D27" s="2" t="s">
        <v>123</v>
      </c>
      <c r="E27" s="3">
        <v>195</v>
      </c>
      <c r="F27" s="3">
        <v>251</v>
      </c>
      <c r="G27" s="4">
        <v>310</v>
      </c>
    </row>
    <row r="28" spans="1:7" s="12" customFormat="1" ht="26" customHeight="1">
      <c r="A28" s="18" t="s">
        <v>246</v>
      </c>
      <c r="B28" s="18" t="s">
        <v>97</v>
      </c>
      <c r="C28" s="18">
        <v>27</v>
      </c>
      <c r="D28" s="17" t="s">
        <v>124</v>
      </c>
      <c r="E28" s="20">
        <v>208</v>
      </c>
      <c r="F28" s="20">
        <v>268</v>
      </c>
      <c r="G28" s="21">
        <v>367</v>
      </c>
    </row>
    <row r="29" spans="1:7" s="12" customFormat="1" ht="26" customHeight="1">
      <c r="A29" s="13" t="s">
        <v>246</v>
      </c>
      <c r="B29" s="13" t="s">
        <v>97</v>
      </c>
      <c r="C29" s="13">
        <v>28</v>
      </c>
      <c r="D29" s="2" t="s">
        <v>125</v>
      </c>
      <c r="E29" s="3">
        <v>230</v>
      </c>
      <c r="F29" s="3">
        <v>297</v>
      </c>
      <c r="G29" s="4">
        <v>367</v>
      </c>
    </row>
    <row r="30" spans="1:7" s="12" customFormat="1" ht="26" customHeight="1">
      <c r="A30" s="18" t="s">
        <v>246</v>
      </c>
      <c r="B30" s="18" t="s">
        <v>97</v>
      </c>
      <c r="C30" s="18">
        <v>29</v>
      </c>
      <c r="D30" s="17" t="s">
        <v>126</v>
      </c>
      <c r="E30" s="20">
        <v>240</v>
      </c>
      <c r="F30" s="20">
        <v>309</v>
      </c>
      <c r="G30" s="21">
        <v>382</v>
      </c>
    </row>
    <row r="31" spans="1:7" s="12" customFormat="1" ht="26" customHeight="1">
      <c r="A31" s="13" t="s">
        <v>246</v>
      </c>
      <c r="B31" s="13" t="s">
        <v>97</v>
      </c>
      <c r="C31" s="13">
        <v>30</v>
      </c>
      <c r="D31" s="2" t="s">
        <v>127</v>
      </c>
      <c r="E31" s="3">
        <v>240</v>
      </c>
      <c r="F31" s="3">
        <v>309</v>
      </c>
      <c r="G31" s="4">
        <v>382</v>
      </c>
    </row>
    <row r="32" spans="1:7" s="12" customFormat="1" ht="26" customHeight="1">
      <c r="A32" s="18" t="s">
        <v>246</v>
      </c>
      <c r="B32" s="18" t="s">
        <v>128</v>
      </c>
      <c r="C32" s="18">
        <v>31</v>
      </c>
      <c r="D32" s="17" t="s">
        <v>129</v>
      </c>
      <c r="E32" s="20">
        <v>132</v>
      </c>
      <c r="F32" s="20">
        <v>170</v>
      </c>
      <c r="G32" s="21">
        <v>210</v>
      </c>
    </row>
    <row r="33" spans="1:7" s="12" customFormat="1" ht="26" customHeight="1">
      <c r="A33" s="13" t="s">
        <v>246</v>
      </c>
      <c r="B33" s="13" t="s">
        <v>128</v>
      </c>
      <c r="C33" s="13">
        <v>32</v>
      </c>
      <c r="D33" s="2" t="s">
        <v>130</v>
      </c>
      <c r="E33" s="3">
        <v>134</v>
      </c>
      <c r="F33" s="3">
        <v>173</v>
      </c>
      <c r="G33" s="4">
        <v>213</v>
      </c>
    </row>
    <row r="34" spans="1:7" s="12" customFormat="1" ht="26" customHeight="1">
      <c r="A34" s="18" t="s">
        <v>246</v>
      </c>
      <c r="B34" s="18" t="s">
        <v>128</v>
      </c>
      <c r="C34" s="18">
        <v>33</v>
      </c>
      <c r="D34" s="17" t="s">
        <v>131</v>
      </c>
      <c r="E34" s="20">
        <v>134</v>
      </c>
      <c r="F34" s="20">
        <v>173</v>
      </c>
      <c r="G34" s="21">
        <v>213</v>
      </c>
    </row>
    <row r="35" spans="1:7" s="12" customFormat="1" ht="26" customHeight="1">
      <c r="A35" s="13" t="s">
        <v>246</v>
      </c>
      <c r="B35" s="13" t="s">
        <v>128</v>
      </c>
      <c r="C35" s="13">
        <v>34</v>
      </c>
      <c r="D35" s="2" t="s">
        <v>132</v>
      </c>
      <c r="E35" s="3">
        <v>135</v>
      </c>
      <c r="F35" s="3">
        <v>174</v>
      </c>
      <c r="G35" s="4">
        <v>215</v>
      </c>
    </row>
    <row r="36" spans="1:7" s="12" customFormat="1" ht="26" customHeight="1">
      <c r="A36" s="18" t="s">
        <v>246</v>
      </c>
      <c r="B36" s="18" t="s">
        <v>128</v>
      </c>
      <c r="C36" s="18">
        <v>35</v>
      </c>
      <c r="D36" s="17" t="s">
        <v>133</v>
      </c>
      <c r="E36" s="20">
        <v>163</v>
      </c>
      <c r="F36" s="20">
        <v>210</v>
      </c>
      <c r="G36" s="21">
        <v>259</v>
      </c>
    </row>
    <row r="37" spans="1:7" s="12" customFormat="1" ht="26" customHeight="1">
      <c r="A37" s="13" t="s">
        <v>246</v>
      </c>
      <c r="B37" s="13" t="s">
        <v>128</v>
      </c>
      <c r="C37" s="13">
        <v>36</v>
      </c>
      <c r="D37" s="2" t="s">
        <v>134</v>
      </c>
      <c r="E37" s="3">
        <v>168</v>
      </c>
      <c r="F37" s="3">
        <v>217</v>
      </c>
      <c r="G37" s="4">
        <v>268</v>
      </c>
    </row>
    <row r="38" spans="1:7" s="12" customFormat="1" ht="26" customHeight="1">
      <c r="A38" s="18" t="s">
        <v>246</v>
      </c>
      <c r="B38" s="18" t="s">
        <v>128</v>
      </c>
      <c r="C38" s="18">
        <v>37</v>
      </c>
      <c r="D38" s="17" t="s">
        <v>135</v>
      </c>
      <c r="E38" s="20">
        <v>208</v>
      </c>
      <c r="F38" s="20">
        <v>268</v>
      </c>
      <c r="G38" s="21">
        <v>332</v>
      </c>
    </row>
    <row r="39" spans="1:7" s="12" customFormat="1" ht="26" customHeight="1">
      <c r="A39" s="13" t="s">
        <v>246</v>
      </c>
      <c r="B39" s="13" t="s">
        <v>128</v>
      </c>
      <c r="C39" s="13">
        <v>38</v>
      </c>
      <c r="D39" s="2" t="s">
        <v>136</v>
      </c>
      <c r="E39" s="3">
        <v>220</v>
      </c>
      <c r="F39" s="3">
        <v>284</v>
      </c>
      <c r="G39" s="4">
        <v>351</v>
      </c>
    </row>
    <row r="40" spans="1:7" s="12" customFormat="1" ht="26" customHeight="1">
      <c r="A40" s="18" t="s">
        <v>246</v>
      </c>
      <c r="B40" s="18" t="s">
        <v>128</v>
      </c>
      <c r="C40" s="18">
        <v>39</v>
      </c>
      <c r="D40" s="17" t="s">
        <v>137</v>
      </c>
      <c r="E40" s="20">
        <v>226</v>
      </c>
      <c r="F40" s="20">
        <v>291</v>
      </c>
      <c r="G40" s="21">
        <v>360</v>
      </c>
    </row>
    <row r="41" spans="1:7" s="12" customFormat="1" ht="26" customHeight="1">
      <c r="A41" s="13" t="s">
        <v>246</v>
      </c>
      <c r="B41" s="13" t="s">
        <v>128</v>
      </c>
      <c r="C41" s="13">
        <v>40</v>
      </c>
      <c r="D41" s="2" t="s">
        <v>138</v>
      </c>
      <c r="E41" s="3">
        <v>232</v>
      </c>
      <c r="F41" s="3">
        <v>300</v>
      </c>
      <c r="G41" s="4">
        <v>370</v>
      </c>
    </row>
    <row r="42" spans="1:7" s="12" customFormat="1" ht="26" customHeight="1">
      <c r="A42" s="18" t="s">
        <v>246</v>
      </c>
      <c r="B42" s="18" t="s">
        <v>128</v>
      </c>
      <c r="C42" s="18">
        <v>41</v>
      </c>
      <c r="D42" s="17" t="s">
        <v>139</v>
      </c>
      <c r="E42" s="20">
        <v>247</v>
      </c>
      <c r="F42" s="20">
        <v>319</v>
      </c>
      <c r="G42" s="21">
        <v>394</v>
      </c>
    </row>
    <row r="43" spans="1:7" s="12" customFormat="1" ht="26" customHeight="1">
      <c r="A43" s="13" t="s">
        <v>246</v>
      </c>
      <c r="B43" s="13" t="s">
        <v>128</v>
      </c>
      <c r="C43" s="13">
        <v>42</v>
      </c>
      <c r="D43" s="2" t="s">
        <v>140</v>
      </c>
      <c r="E43" s="3">
        <v>271</v>
      </c>
      <c r="F43" s="3">
        <v>350</v>
      </c>
      <c r="G43" s="4">
        <v>433</v>
      </c>
    </row>
    <row r="44" spans="1:7" s="12" customFormat="1" ht="26" customHeight="1">
      <c r="A44" s="18" t="s">
        <v>246</v>
      </c>
      <c r="B44" s="18" t="s">
        <v>128</v>
      </c>
      <c r="C44" s="18">
        <v>43</v>
      </c>
      <c r="D44" s="17" t="s">
        <v>141</v>
      </c>
      <c r="E44" s="20">
        <v>271</v>
      </c>
      <c r="F44" s="20">
        <v>350</v>
      </c>
      <c r="G44" s="21">
        <v>433</v>
      </c>
    </row>
    <row r="45" spans="1:7" s="12" customFormat="1" ht="26" customHeight="1">
      <c r="A45" s="13" t="s">
        <v>246</v>
      </c>
      <c r="B45" s="13" t="s">
        <v>128</v>
      </c>
      <c r="C45" s="13">
        <v>44</v>
      </c>
      <c r="D45" s="2" t="s">
        <v>142</v>
      </c>
      <c r="E45" s="3">
        <v>275</v>
      </c>
      <c r="F45" s="3">
        <v>354</v>
      </c>
      <c r="G45" s="4">
        <v>438</v>
      </c>
    </row>
    <row r="46" spans="1:7" s="12" customFormat="1" ht="26" customHeight="1">
      <c r="A46" s="18" t="s">
        <v>246</v>
      </c>
      <c r="B46" s="18" t="s">
        <v>128</v>
      </c>
      <c r="C46" s="18">
        <v>45</v>
      </c>
      <c r="D46" s="17" t="s">
        <v>143</v>
      </c>
      <c r="E46" s="20">
        <v>278</v>
      </c>
      <c r="F46" s="20">
        <v>358</v>
      </c>
      <c r="G46" s="21">
        <v>443</v>
      </c>
    </row>
    <row r="47" spans="1:7" s="12" customFormat="1" ht="26" customHeight="1">
      <c r="A47" s="13" t="s">
        <v>246</v>
      </c>
      <c r="B47" s="13" t="s">
        <v>128</v>
      </c>
      <c r="C47" s="13">
        <v>46</v>
      </c>
      <c r="D47" s="2" t="s">
        <v>144</v>
      </c>
      <c r="E47" s="3">
        <v>278</v>
      </c>
      <c r="F47" s="3">
        <v>358</v>
      </c>
      <c r="G47" s="4">
        <v>443</v>
      </c>
    </row>
    <row r="48" spans="1:7" s="12" customFormat="1" ht="26" customHeight="1">
      <c r="A48" s="18" t="s">
        <v>246</v>
      </c>
      <c r="B48" s="18" t="s">
        <v>128</v>
      </c>
      <c r="C48" s="18">
        <v>47</v>
      </c>
      <c r="D48" s="17" t="s">
        <v>145</v>
      </c>
      <c r="E48" s="20">
        <v>284</v>
      </c>
      <c r="F48" s="20">
        <v>366</v>
      </c>
      <c r="G48" s="21">
        <v>452</v>
      </c>
    </row>
    <row r="49" spans="1:7" s="12" customFormat="1" ht="26" customHeight="1">
      <c r="A49" s="13" t="s">
        <v>246</v>
      </c>
      <c r="B49" s="13" t="s">
        <v>128</v>
      </c>
      <c r="C49" s="13">
        <v>48</v>
      </c>
      <c r="D49" s="2" t="s">
        <v>146</v>
      </c>
      <c r="E49" s="3">
        <v>287</v>
      </c>
      <c r="F49" s="3">
        <v>370</v>
      </c>
      <c r="G49" s="4">
        <v>457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 filterMode="1"/>
  <dimension ref="A1:C73"/>
  <sheetViews>
    <sheetView zoomScale="55" zoomScaleNormal="55" workbookViewId="0">
      <pane ySplit="1" topLeftCell="A66" activePane="bottomLeft" state="frozen"/>
      <selection pane="bottomLeft" activeCell="C71" sqref="C71"/>
    </sheetView>
  </sheetViews>
  <sheetFormatPr baseColWidth="10" defaultRowHeight="24.4"/>
  <cols>
    <col min="1" max="1" width="47.33203125" style="26" customWidth="1"/>
    <col min="2" max="3" width="47.33203125" style="12" customWidth="1"/>
  </cols>
  <sheetData>
    <row r="1" spans="1:3" s="8" customFormat="1">
      <c r="A1" s="8" t="s">
        <v>87</v>
      </c>
      <c r="B1" s="8" t="s">
        <v>88</v>
      </c>
      <c r="C1" s="8" t="s">
        <v>247</v>
      </c>
    </row>
    <row r="2" spans="1:3" hidden="1">
      <c r="A2" s="18" t="s">
        <v>95</v>
      </c>
      <c r="B2" s="18" t="s">
        <v>96</v>
      </c>
      <c r="C2" s="18">
        <v>0.61599999999999999</v>
      </c>
    </row>
    <row r="3" spans="1:3" hidden="1">
      <c r="A3" s="13" t="s">
        <v>95</v>
      </c>
      <c r="B3" s="13" t="s">
        <v>147</v>
      </c>
      <c r="C3" s="13">
        <v>0.45700000000000002</v>
      </c>
    </row>
    <row r="4" spans="1:3" hidden="1">
      <c r="A4" s="18" t="s">
        <v>95</v>
      </c>
      <c r="B4" s="18" t="s">
        <v>148</v>
      </c>
      <c r="C4" s="18">
        <v>0.64800000000000002</v>
      </c>
    </row>
    <row r="5" spans="1:3" hidden="1">
      <c r="A5" s="18" t="s">
        <v>95</v>
      </c>
      <c r="B5" s="18" t="s">
        <v>149</v>
      </c>
      <c r="C5" s="18">
        <v>0.69099999999999995</v>
      </c>
    </row>
    <row r="6" spans="1:3" hidden="1">
      <c r="A6" s="13" t="s">
        <v>95</v>
      </c>
      <c r="B6" s="13" t="s">
        <v>150</v>
      </c>
      <c r="C6" s="13">
        <v>0.64800000000000002</v>
      </c>
    </row>
    <row r="7" spans="1:3" hidden="1">
      <c r="A7" s="18" t="s">
        <v>95</v>
      </c>
      <c r="B7" s="18" t="s">
        <v>151</v>
      </c>
      <c r="C7" s="18">
        <v>0.67200000000000004</v>
      </c>
    </row>
    <row r="8" spans="1:3" hidden="1">
      <c r="A8" s="13" t="s">
        <v>95</v>
      </c>
      <c r="B8" s="13" t="s">
        <v>152</v>
      </c>
      <c r="C8" s="13">
        <v>0.70799999999999996</v>
      </c>
    </row>
    <row r="9" spans="1:3" hidden="1">
      <c r="A9" s="18" t="s">
        <v>95</v>
      </c>
      <c r="B9" s="18" t="s">
        <v>153</v>
      </c>
      <c r="C9" s="18">
        <v>0.70799999999999996</v>
      </c>
    </row>
    <row r="10" spans="1:3" hidden="1">
      <c r="A10" s="13" t="s">
        <v>95</v>
      </c>
      <c r="B10" s="13" t="s">
        <v>154</v>
      </c>
      <c r="C10" s="13">
        <v>0.76600000000000001</v>
      </c>
    </row>
    <row r="11" spans="1:3" hidden="1">
      <c r="A11" s="18" t="s">
        <v>95</v>
      </c>
      <c r="B11" s="18" t="s">
        <v>155</v>
      </c>
      <c r="C11" s="18">
        <v>0.64300000000000002</v>
      </c>
    </row>
    <row r="12" spans="1:3" hidden="1">
      <c r="A12" s="13" t="s">
        <v>156</v>
      </c>
      <c r="B12" s="13" t="s">
        <v>157</v>
      </c>
      <c r="C12" s="13">
        <v>0.7</v>
      </c>
    </row>
    <row r="13" spans="1:3" hidden="1">
      <c r="A13" s="18" t="s">
        <v>156</v>
      </c>
      <c r="B13" s="18" t="s">
        <v>158</v>
      </c>
      <c r="C13" s="18">
        <v>0.77200000000000002</v>
      </c>
    </row>
    <row r="14" spans="1:3" hidden="1">
      <c r="A14" s="13" t="s">
        <v>156</v>
      </c>
      <c r="B14" s="13" t="s">
        <v>159</v>
      </c>
      <c r="C14" s="13">
        <v>0.82599999999999996</v>
      </c>
    </row>
    <row r="15" spans="1:3" hidden="1">
      <c r="A15" s="18" t="s">
        <v>156</v>
      </c>
      <c r="B15" s="18" t="s">
        <v>160</v>
      </c>
      <c r="C15" s="18">
        <v>0.70499999999999996</v>
      </c>
    </row>
    <row r="16" spans="1:3" hidden="1">
      <c r="A16" s="13" t="s">
        <v>156</v>
      </c>
      <c r="B16" s="13" t="s">
        <v>161</v>
      </c>
      <c r="C16" s="13">
        <v>0.71</v>
      </c>
    </row>
    <row r="17" spans="1:3" hidden="1">
      <c r="A17" s="18" t="s">
        <v>156</v>
      </c>
      <c r="B17" s="18" t="s">
        <v>162</v>
      </c>
      <c r="C17" s="18">
        <v>0.79400000000000004</v>
      </c>
    </row>
    <row r="18" spans="1:3" hidden="1">
      <c r="A18" s="13" t="s">
        <v>156</v>
      </c>
      <c r="B18" s="13" t="s">
        <v>163</v>
      </c>
      <c r="C18" s="13">
        <v>1.1200000000000001</v>
      </c>
    </row>
    <row r="19" spans="1:3" hidden="1">
      <c r="A19" s="18" t="s">
        <v>156</v>
      </c>
      <c r="B19" s="18" t="s">
        <v>164</v>
      </c>
      <c r="C19" s="18">
        <v>1.0149999999999999</v>
      </c>
    </row>
    <row r="20" spans="1:3" hidden="1">
      <c r="A20" s="13" t="s">
        <v>156</v>
      </c>
      <c r="B20" s="13" t="s">
        <v>166</v>
      </c>
      <c r="C20" s="13">
        <v>0.80200000000000005</v>
      </c>
    </row>
    <row r="21" spans="1:3" hidden="1">
      <c r="A21" s="18" t="s">
        <v>156</v>
      </c>
      <c r="B21" s="18" t="s">
        <v>167</v>
      </c>
      <c r="C21" s="18">
        <v>0.76100000000000001</v>
      </c>
    </row>
    <row r="22" spans="1:3" hidden="1">
      <c r="A22" s="13" t="s">
        <v>156</v>
      </c>
      <c r="B22" s="13" t="s">
        <v>168</v>
      </c>
      <c r="C22" s="13">
        <v>0.74</v>
      </c>
    </row>
    <row r="23" spans="1:3" hidden="1">
      <c r="A23" s="18" t="s">
        <v>156</v>
      </c>
      <c r="B23" s="18" t="s">
        <v>169</v>
      </c>
      <c r="C23" s="18">
        <v>0.84199999999999997</v>
      </c>
    </row>
    <row r="24" spans="1:3" hidden="1">
      <c r="A24" s="13" t="s">
        <v>156</v>
      </c>
      <c r="B24" s="13" t="s">
        <v>170</v>
      </c>
      <c r="C24" s="13">
        <v>0.77</v>
      </c>
    </row>
    <row r="25" spans="1:3" hidden="1">
      <c r="A25" s="18" t="s">
        <v>156</v>
      </c>
      <c r="B25" s="18" t="s">
        <v>171</v>
      </c>
      <c r="C25" s="18">
        <v>0.87</v>
      </c>
    </row>
    <row r="26" spans="1:3" hidden="1">
      <c r="A26" s="13" t="s">
        <v>156</v>
      </c>
      <c r="B26" s="13" t="s">
        <v>172</v>
      </c>
      <c r="C26" s="13">
        <v>0.93400000000000005</v>
      </c>
    </row>
    <row r="27" spans="1:3" hidden="1">
      <c r="A27" s="18" t="s">
        <v>156</v>
      </c>
      <c r="B27" s="18" t="s">
        <v>173</v>
      </c>
      <c r="C27" s="18">
        <v>0.879</v>
      </c>
    </row>
    <row r="28" spans="1:3" hidden="1">
      <c r="A28" s="13" t="s">
        <v>156</v>
      </c>
      <c r="B28" s="13" t="s">
        <v>174</v>
      </c>
      <c r="C28" s="13">
        <v>0.79</v>
      </c>
    </row>
    <row r="29" spans="1:3" hidden="1">
      <c r="A29" s="18" t="s">
        <v>156</v>
      </c>
      <c r="B29" s="18" t="s">
        <v>175</v>
      </c>
      <c r="C29" s="18">
        <v>1.125</v>
      </c>
    </row>
    <row r="30" spans="1:3" hidden="1">
      <c r="A30" s="13" t="s">
        <v>156</v>
      </c>
      <c r="B30" s="13" t="s">
        <v>176</v>
      </c>
      <c r="C30" s="13">
        <v>1.5149999999999999</v>
      </c>
    </row>
    <row r="31" spans="1:3" hidden="1">
      <c r="A31" s="18" t="s">
        <v>177</v>
      </c>
      <c r="B31" s="18" t="s">
        <v>178</v>
      </c>
      <c r="C31" s="18">
        <v>1.07</v>
      </c>
    </row>
    <row r="32" spans="1:3" hidden="1">
      <c r="A32" s="13" t="s">
        <v>177</v>
      </c>
      <c r="B32" s="13" t="s">
        <v>179</v>
      </c>
      <c r="C32" s="13">
        <v>0.8</v>
      </c>
    </row>
    <row r="33" spans="1:3" hidden="1">
      <c r="A33" s="18" t="s">
        <v>177</v>
      </c>
      <c r="B33" s="18" t="s">
        <v>180</v>
      </c>
      <c r="C33" s="18">
        <v>0.96599999999999997</v>
      </c>
    </row>
    <row r="34" spans="1:3" hidden="1">
      <c r="A34" s="13" t="s">
        <v>181</v>
      </c>
      <c r="B34" s="13" t="s">
        <v>182</v>
      </c>
      <c r="C34" s="13">
        <v>0.60199999999999998</v>
      </c>
    </row>
    <row r="35" spans="1:3" hidden="1">
      <c r="A35" s="18" t="s">
        <v>181</v>
      </c>
      <c r="B35" s="18" t="s">
        <v>183</v>
      </c>
      <c r="C35" s="18">
        <v>0.71</v>
      </c>
    </row>
    <row r="36" spans="1:3" hidden="1">
      <c r="A36" s="13" t="s">
        <v>181</v>
      </c>
      <c r="B36" s="13" t="s">
        <v>184</v>
      </c>
      <c r="C36" s="13">
        <v>1.242</v>
      </c>
    </row>
    <row r="37" spans="1:3" hidden="1">
      <c r="A37" s="18" t="s">
        <v>181</v>
      </c>
      <c r="B37" s="18" t="s">
        <v>185</v>
      </c>
      <c r="C37" s="18">
        <v>0.90200000000000002</v>
      </c>
    </row>
    <row r="38" spans="1:3" hidden="1">
      <c r="A38" s="13" t="s">
        <v>181</v>
      </c>
      <c r="B38" s="13" t="s">
        <v>186</v>
      </c>
      <c r="C38" s="13">
        <v>0.59</v>
      </c>
    </row>
    <row r="39" spans="1:3" hidden="1">
      <c r="A39" s="18" t="s">
        <v>181</v>
      </c>
      <c r="B39" s="18" t="s">
        <v>187</v>
      </c>
      <c r="C39" s="18">
        <v>0.61299999999999999</v>
      </c>
    </row>
    <row r="40" spans="1:3" hidden="1">
      <c r="A40" s="13" t="s">
        <v>181</v>
      </c>
      <c r="B40" s="13" t="s">
        <v>188</v>
      </c>
      <c r="C40" s="13">
        <v>1.2210000000000001</v>
      </c>
    </row>
    <row r="41" spans="1:3" hidden="1">
      <c r="A41" s="18" t="s">
        <v>181</v>
      </c>
      <c r="B41" s="18" t="s">
        <v>189</v>
      </c>
      <c r="C41" s="18">
        <v>0.67900000000000005</v>
      </c>
    </row>
    <row r="42" spans="1:3" hidden="1">
      <c r="A42" s="13" t="s">
        <v>190</v>
      </c>
      <c r="B42" s="13" t="s">
        <v>191</v>
      </c>
      <c r="C42" s="13">
        <v>0.72099999999999997</v>
      </c>
    </row>
    <row r="43" spans="1:3" hidden="1">
      <c r="A43" s="18" t="s">
        <v>190</v>
      </c>
      <c r="B43" s="18" t="s">
        <v>192</v>
      </c>
      <c r="C43" s="18">
        <v>0.441</v>
      </c>
    </row>
    <row r="44" spans="1:3" hidden="1">
      <c r="A44" s="13" t="s">
        <v>190</v>
      </c>
      <c r="B44" s="13" t="s">
        <v>193</v>
      </c>
      <c r="C44" s="13">
        <v>0.41599999999999998</v>
      </c>
    </row>
    <row r="45" spans="1:3" hidden="1">
      <c r="A45" s="18" t="s">
        <v>194</v>
      </c>
      <c r="B45" s="18" t="s">
        <v>195</v>
      </c>
      <c r="C45" s="18">
        <v>1.151</v>
      </c>
    </row>
    <row r="46" spans="1:3" hidden="1">
      <c r="A46" s="13" t="s">
        <v>194</v>
      </c>
      <c r="B46" s="13" t="s">
        <v>196</v>
      </c>
      <c r="C46" s="13">
        <v>0.88600000000000001</v>
      </c>
    </row>
    <row r="47" spans="1:3" hidden="1">
      <c r="A47" s="18" t="s">
        <v>194</v>
      </c>
      <c r="B47" s="18" t="s">
        <v>197</v>
      </c>
      <c r="C47" s="18">
        <v>2.5139999999999998</v>
      </c>
    </row>
    <row r="48" spans="1:3" hidden="1">
      <c r="A48" s="13" t="s">
        <v>194</v>
      </c>
      <c r="B48" s="13" t="s">
        <v>198</v>
      </c>
      <c r="C48" s="13">
        <v>1.2829999999999999</v>
      </c>
    </row>
    <row r="49" spans="1:3" hidden="1">
      <c r="A49" s="18" t="s">
        <v>199</v>
      </c>
      <c r="B49" s="18" t="s">
        <v>200</v>
      </c>
      <c r="C49" s="18">
        <v>0.29099999999999998</v>
      </c>
    </row>
    <row r="50" spans="1:3" hidden="1">
      <c r="A50" s="13" t="s">
        <v>199</v>
      </c>
      <c r="B50" s="13" t="s">
        <v>201</v>
      </c>
      <c r="C50" s="13">
        <v>0.28699999999999998</v>
      </c>
    </row>
    <row r="51" spans="1:3" hidden="1">
      <c r="A51" s="18" t="s">
        <v>199</v>
      </c>
      <c r="B51" s="18" t="s">
        <v>202</v>
      </c>
      <c r="C51" s="18">
        <v>0.26700000000000002</v>
      </c>
    </row>
    <row r="52" spans="1:3" hidden="1">
      <c r="A52" s="13" t="s">
        <v>199</v>
      </c>
      <c r="B52" s="13" t="s">
        <v>203</v>
      </c>
      <c r="C52" s="13">
        <v>0.245</v>
      </c>
    </row>
    <row r="53" spans="1:3" hidden="1">
      <c r="A53" s="18" t="s">
        <v>199</v>
      </c>
      <c r="B53" s="18" t="s">
        <v>204</v>
      </c>
      <c r="C53" s="18">
        <v>0.254</v>
      </c>
    </row>
    <row r="54" spans="1:3" hidden="1">
      <c r="A54" s="13" t="s">
        <v>199</v>
      </c>
      <c r="B54" s="13" t="s">
        <v>205</v>
      </c>
      <c r="C54" s="13">
        <v>0.41399999999999998</v>
      </c>
    </row>
    <row r="55" spans="1:3" hidden="1">
      <c r="A55" s="18" t="s">
        <v>199</v>
      </c>
      <c r="B55" s="18" t="s">
        <v>206</v>
      </c>
      <c r="C55" s="18">
        <v>0.32700000000000001</v>
      </c>
    </row>
    <row r="56" spans="1:3" hidden="1">
      <c r="A56" s="13" t="s">
        <v>199</v>
      </c>
      <c r="B56" s="13" t="s">
        <v>207</v>
      </c>
      <c r="C56" s="13">
        <v>0.29599999999999999</v>
      </c>
    </row>
    <row r="57" spans="1:3" hidden="1">
      <c r="A57" s="18" t="s">
        <v>199</v>
      </c>
      <c r="B57" s="18" t="s">
        <v>208</v>
      </c>
      <c r="C57" s="18">
        <v>0.29399999999999998</v>
      </c>
    </row>
    <row r="58" spans="1:3" hidden="1">
      <c r="A58" s="13" t="s">
        <v>199</v>
      </c>
      <c r="B58" s="13" t="s">
        <v>209</v>
      </c>
      <c r="C58" s="13">
        <v>0.29199999999999998</v>
      </c>
    </row>
    <row r="59" spans="1:3" hidden="1">
      <c r="A59" s="18" t="s">
        <v>199</v>
      </c>
      <c r="B59" s="18" t="s">
        <v>210</v>
      </c>
      <c r="C59" s="18">
        <v>0.39800000000000002</v>
      </c>
    </row>
    <row r="60" spans="1:3" hidden="1">
      <c r="A60" s="13" t="s">
        <v>199</v>
      </c>
      <c r="B60" s="13" t="s">
        <v>211</v>
      </c>
      <c r="C60" s="13">
        <v>0.16800000000000001</v>
      </c>
    </row>
    <row r="61" spans="1:3" hidden="1">
      <c r="A61" s="18" t="s">
        <v>199</v>
      </c>
      <c r="B61" s="18" t="s">
        <v>212</v>
      </c>
      <c r="C61" s="18">
        <v>0.38300000000000001</v>
      </c>
    </row>
    <row r="62" spans="1:3" hidden="1">
      <c r="A62" s="13" t="s">
        <v>199</v>
      </c>
      <c r="B62" s="13" t="s">
        <v>213</v>
      </c>
      <c r="C62" s="13">
        <v>0.24</v>
      </c>
    </row>
    <row r="63" spans="1:3" hidden="1">
      <c r="A63" s="18" t="s">
        <v>246</v>
      </c>
      <c r="B63" s="18" t="s">
        <v>222</v>
      </c>
      <c r="C63" s="18">
        <v>0.17299999999999999</v>
      </c>
    </row>
    <row r="64" spans="1:3" hidden="1">
      <c r="A64" s="13" t="s">
        <v>246</v>
      </c>
      <c r="B64" s="13" t="s">
        <v>223</v>
      </c>
      <c r="C64" s="13">
        <v>0.223</v>
      </c>
    </row>
    <row r="65" spans="1:3" hidden="1">
      <c r="A65" s="18" t="s">
        <v>246</v>
      </c>
      <c r="B65" s="18" t="s">
        <v>224</v>
      </c>
      <c r="C65" s="18">
        <v>0.27600000000000002</v>
      </c>
    </row>
    <row r="66" spans="1:3">
      <c r="A66" s="13" t="s">
        <v>248</v>
      </c>
      <c r="B66" s="13" t="s">
        <v>230</v>
      </c>
      <c r="C66" s="13">
        <v>1.4999999999999999E-2</v>
      </c>
    </row>
    <row r="67" spans="1:3">
      <c r="A67" s="18" t="s">
        <v>248</v>
      </c>
      <c r="B67" s="18" t="s">
        <v>227</v>
      </c>
      <c r="C67" s="18">
        <v>1.4999999999999999E-2</v>
      </c>
    </row>
    <row r="68" spans="1:3">
      <c r="A68" s="13" t="s">
        <v>248</v>
      </c>
      <c r="B68" s="13" t="s">
        <v>228</v>
      </c>
      <c r="C68" s="13">
        <v>1.4999999999999999E-2</v>
      </c>
    </row>
    <row r="69" spans="1:3">
      <c r="A69" s="18" t="s">
        <v>248</v>
      </c>
      <c r="B69" s="18" t="s">
        <v>229</v>
      </c>
      <c r="C69" s="18">
        <v>1.4999999999999999E-2</v>
      </c>
    </row>
    <row r="70" spans="1:3">
      <c r="A70" s="13" t="s">
        <v>249</v>
      </c>
      <c r="B70" s="13" t="s">
        <v>235</v>
      </c>
      <c r="C70" s="13">
        <v>0.09</v>
      </c>
    </row>
    <row r="71" spans="1:3">
      <c r="A71" s="18" t="s">
        <v>249</v>
      </c>
      <c r="B71" s="18" t="s">
        <v>234</v>
      </c>
      <c r="C71" s="18">
        <v>0.09</v>
      </c>
    </row>
    <row r="72" spans="1:3">
      <c r="A72" s="13" t="s">
        <v>249</v>
      </c>
      <c r="B72" s="13" t="s">
        <v>233</v>
      </c>
      <c r="C72" s="13">
        <v>9.1999999999999998E-2</v>
      </c>
    </row>
    <row r="73" spans="1:3">
      <c r="A73" s="18" t="s">
        <v>249</v>
      </c>
      <c r="B73" s="18" t="s">
        <v>232</v>
      </c>
      <c r="C73" s="18">
        <v>9.0999999999999998E-2</v>
      </c>
    </row>
  </sheetData>
  <autoFilter ref="A1:C73" xr:uid="{00000000-0009-0000-0000-00000B000000}">
    <filterColumn colId="0">
      <filters>
        <filter val="ACCESOIRES - JA"/>
        <filter val="ACCESOIRES - VA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3"/>
  <dimension ref="A1:F30"/>
  <sheetViews>
    <sheetView zoomScale="55" zoomScaleNormal="55" workbookViewId="0">
      <selection activeCell="O13" sqref="O13"/>
    </sheetView>
  </sheetViews>
  <sheetFormatPr baseColWidth="10" defaultRowHeight="14.25"/>
  <cols>
    <col min="1" max="6" width="18" style="26" bestFit="1" customWidth="1"/>
  </cols>
  <sheetData>
    <row r="1" spans="1:6" ht="24.4" customHeight="1">
      <c r="A1" s="8" t="s">
        <v>250</v>
      </c>
      <c r="B1" s="8" t="s">
        <v>251</v>
      </c>
      <c r="C1" s="8" t="s">
        <v>252</v>
      </c>
      <c r="D1" s="8" t="s">
        <v>253</v>
      </c>
      <c r="E1" s="8" t="s">
        <v>254</v>
      </c>
      <c r="F1" s="8" t="s">
        <v>255</v>
      </c>
    </row>
    <row r="2" spans="1:6" s="33" customFormat="1" ht="24.4" customHeight="1">
      <c r="A2" s="34">
        <v>22</v>
      </c>
      <c r="B2" s="34">
        <v>14</v>
      </c>
      <c r="C2" s="34">
        <v>16</v>
      </c>
      <c r="D2" s="34">
        <v>2</v>
      </c>
      <c r="E2" s="34">
        <v>1</v>
      </c>
      <c r="F2" s="34">
        <v>4</v>
      </c>
    </row>
    <row r="3" spans="1:6" s="33" customFormat="1" ht="24.4" customHeight="1">
      <c r="A3" s="35">
        <v>35</v>
      </c>
      <c r="B3" s="35">
        <v>27</v>
      </c>
      <c r="C3" s="35">
        <v>17</v>
      </c>
      <c r="D3" s="35">
        <v>3</v>
      </c>
      <c r="E3" s="35">
        <v>7</v>
      </c>
      <c r="F3" s="35">
        <v>5</v>
      </c>
    </row>
    <row r="4" spans="1:6" s="33" customFormat="1" ht="24.4" customHeight="1">
      <c r="A4" s="34">
        <v>44</v>
      </c>
      <c r="B4" s="34">
        <v>28</v>
      </c>
      <c r="C4" s="34">
        <v>18</v>
      </c>
      <c r="D4" s="34">
        <v>8</v>
      </c>
      <c r="E4" s="34">
        <v>12</v>
      </c>
      <c r="F4" s="34">
        <v>6</v>
      </c>
    </row>
    <row r="5" spans="1:6" s="33" customFormat="1" ht="24.4" customHeight="1">
      <c r="A5" s="35">
        <v>49</v>
      </c>
      <c r="B5" s="35">
        <v>29</v>
      </c>
      <c r="C5" s="35">
        <v>23</v>
      </c>
      <c r="D5" s="35">
        <v>10</v>
      </c>
      <c r="E5" s="35">
        <v>21</v>
      </c>
      <c r="F5" s="35">
        <v>9</v>
      </c>
    </row>
    <row r="6" spans="1:6" s="33" customFormat="1" ht="24.4" customHeight="1">
      <c r="A6" s="34">
        <v>50</v>
      </c>
      <c r="B6" s="34">
        <v>37</v>
      </c>
      <c r="C6" s="34">
        <v>36</v>
      </c>
      <c r="D6" s="34">
        <v>15</v>
      </c>
      <c r="E6" s="34">
        <v>25</v>
      </c>
      <c r="F6" s="34">
        <v>11</v>
      </c>
    </row>
    <row r="7" spans="1:6" s="33" customFormat="1" ht="24.4" customHeight="1">
      <c r="A7" s="35">
        <v>53</v>
      </c>
      <c r="B7" s="35">
        <v>41</v>
      </c>
      <c r="C7" s="35">
        <v>45</v>
      </c>
      <c r="D7" s="35">
        <v>19</v>
      </c>
      <c r="E7" s="35">
        <v>26</v>
      </c>
      <c r="F7" s="35">
        <v>13</v>
      </c>
    </row>
    <row r="8" spans="1:6" s="33" customFormat="1" ht="24.4" customHeight="1">
      <c r="A8" s="34">
        <v>56</v>
      </c>
      <c r="B8" s="34">
        <v>61</v>
      </c>
      <c r="C8" s="34">
        <v>60</v>
      </c>
      <c r="D8" s="34">
        <v>24</v>
      </c>
      <c r="E8" s="34">
        <v>31</v>
      </c>
      <c r="F8" s="34">
        <v>30</v>
      </c>
    </row>
    <row r="9" spans="1:6" s="33" customFormat="1" ht="24.4" customHeight="1">
      <c r="A9" s="35"/>
      <c r="B9" s="35">
        <v>72</v>
      </c>
      <c r="C9" s="35">
        <v>75</v>
      </c>
      <c r="D9" s="35">
        <v>33</v>
      </c>
      <c r="E9" s="35">
        <v>32</v>
      </c>
      <c r="F9" s="35">
        <v>34</v>
      </c>
    </row>
    <row r="10" spans="1:6" s="33" customFormat="1" ht="24.4" customHeight="1">
      <c r="A10" s="34"/>
      <c r="B10" s="34">
        <v>76</v>
      </c>
      <c r="C10" s="34">
        <v>77</v>
      </c>
      <c r="D10" s="34">
        <v>46</v>
      </c>
      <c r="E10" s="34">
        <v>38</v>
      </c>
      <c r="F10" s="34">
        <v>66</v>
      </c>
    </row>
    <row r="11" spans="1:6" s="33" customFormat="1" ht="24.4" customHeight="1">
      <c r="A11" s="35"/>
      <c r="B11" s="35">
        <v>79</v>
      </c>
      <c r="C11" s="35">
        <v>78</v>
      </c>
      <c r="D11" s="35">
        <v>47</v>
      </c>
      <c r="E11" s="35">
        <v>39</v>
      </c>
      <c r="F11" s="35">
        <v>73</v>
      </c>
    </row>
    <row r="12" spans="1:6" s="33" customFormat="1" ht="24.4" customHeight="1">
      <c r="A12" s="34"/>
      <c r="B12" s="34">
        <v>85</v>
      </c>
      <c r="C12" s="34">
        <v>80</v>
      </c>
      <c r="D12" s="34">
        <v>51</v>
      </c>
      <c r="E12" s="34">
        <v>40</v>
      </c>
      <c r="F12" s="34">
        <v>74</v>
      </c>
    </row>
    <row r="13" spans="1:6" s="33" customFormat="1" ht="24.4" customHeight="1">
      <c r="A13" s="35"/>
      <c r="B13" s="35"/>
      <c r="C13" s="35">
        <v>86</v>
      </c>
      <c r="D13" s="35">
        <v>58</v>
      </c>
      <c r="E13" s="35">
        <v>42</v>
      </c>
      <c r="F13" s="35">
        <v>83</v>
      </c>
    </row>
    <row r="14" spans="1:6" s="33" customFormat="1" ht="24.4" customHeight="1">
      <c r="A14" s="34"/>
      <c r="B14" s="34"/>
      <c r="C14" s="34">
        <v>87</v>
      </c>
      <c r="D14" s="34">
        <v>59</v>
      </c>
      <c r="E14" s="34">
        <v>43</v>
      </c>
      <c r="F14" s="34">
        <v>84</v>
      </c>
    </row>
    <row r="15" spans="1:6" s="33" customFormat="1" ht="24.4" customHeight="1">
      <c r="A15" s="35"/>
      <c r="B15" s="35"/>
      <c r="C15" s="35">
        <v>91</v>
      </c>
      <c r="D15" s="35">
        <v>62</v>
      </c>
      <c r="E15" s="35">
        <v>48</v>
      </c>
      <c r="F15" s="35"/>
    </row>
    <row r="16" spans="1:6" s="33" customFormat="1" ht="24.4" customHeight="1">
      <c r="A16" s="34"/>
      <c r="B16" s="34"/>
      <c r="C16" s="34">
        <v>92</v>
      </c>
      <c r="D16" s="34">
        <v>63</v>
      </c>
      <c r="E16" s="34">
        <v>52</v>
      </c>
      <c r="F16" s="34"/>
    </row>
    <row r="17" spans="1:6" s="33" customFormat="1" ht="24.4" customHeight="1">
      <c r="A17" s="35"/>
      <c r="B17" s="35"/>
      <c r="C17" s="35">
        <v>93</v>
      </c>
      <c r="D17" s="35">
        <v>89</v>
      </c>
      <c r="E17" s="35">
        <v>54</v>
      </c>
      <c r="F17" s="35"/>
    </row>
    <row r="18" spans="1:6" s="33" customFormat="1" ht="24.4" customHeight="1">
      <c r="A18" s="34"/>
      <c r="B18" s="34"/>
      <c r="C18" s="34">
        <v>94</v>
      </c>
      <c r="D18" s="34"/>
      <c r="E18" s="34">
        <v>55</v>
      </c>
      <c r="F18" s="34"/>
    </row>
    <row r="19" spans="1:6" s="33" customFormat="1" ht="24.4" customHeight="1">
      <c r="A19" s="35"/>
      <c r="B19" s="35"/>
      <c r="C19" s="35">
        <v>95</v>
      </c>
      <c r="D19" s="35"/>
      <c r="E19" s="35">
        <v>57</v>
      </c>
      <c r="F19" s="35"/>
    </row>
    <row r="20" spans="1:6" s="33" customFormat="1" ht="24.4" customHeight="1">
      <c r="A20" s="34"/>
      <c r="B20" s="34"/>
      <c r="C20" s="34"/>
      <c r="D20" s="34"/>
      <c r="E20" s="34">
        <v>64</v>
      </c>
      <c r="F20" s="34"/>
    </row>
    <row r="21" spans="1:6" s="33" customFormat="1" ht="24.4" customHeight="1">
      <c r="A21" s="35"/>
      <c r="B21" s="35"/>
      <c r="C21" s="35"/>
      <c r="D21" s="35"/>
      <c r="E21" s="35">
        <v>65</v>
      </c>
      <c r="F21" s="35"/>
    </row>
    <row r="22" spans="1:6" s="33" customFormat="1" ht="24.4" customHeight="1">
      <c r="A22" s="34"/>
      <c r="B22" s="34"/>
      <c r="C22" s="34"/>
      <c r="D22" s="34"/>
      <c r="E22" s="34">
        <v>67</v>
      </c>
      <c r="F22" s="34"/>
    </row>
    <row r="23" spans="1:6" s="33" customFormat="1" ht="24.4" customHeight="1">
      <c r="A23" s="35"/>
      <c r="B23" s="35"/>
      <c r="C23" s="35"/>
      <c r="D23" s="35"/>
      <c r="E23" s="35">
        <v>68</v>
      </c>
      <c r="F23" s="35"/>
    </row>
    <row r="24" spans="1:6" s="33" customFormat="1" ht="24.4" customHeight="1">
      <c r="A24" s="34"/>
      <c r="B24" s="34"/>
      <c r="C24" s="34"/>
      <c r="D24" s="34"/>
      <c r="E24" s="34">
        <v>69</v>
      </c>
      <c r="F24" s="34"/>
    </row>
    <row r="25" spans="1:6" s="33" customFormat="1" ht="24.4" customHeight="1">
      <c r="A25" s="35"/>
      <c r="B25" s="35"/>
      <c r="C25" s="35"/>
      <c r="D25" s="35"/>
      <c r="E25" s="35">
        <v>70</v>
      </c>
      <c r="F25" s="35"/>
    </row>
    <row r="26" spans="1:6" s="33" customFormat="1" ht="24.4" customHeight="1">
      <c r="A26" s="34"/>
      <c r="B26" s="34"/>
      <c r="C26" s="34"/>
      <c r="D26" s="34"/>
      <c r="E26" s="34">
        <v>71</v>
      </c>
      <c r="F26" s="34"/>
    </row>
    <row r="27" spans="1:6" s="33" customFormat="1" ht="24.4" customHeight="1">
      <c r="A27" s="35"/>
      <c r="B27" s="35"/>
      <c r="C27" s="35"/>
      <c r="D27" s="35"/>
      <c r="E27" s="35">
        <v>81</v>
      </c>
      <c r="F27" s="35"/>
    </row>
    <row r="28" spans="1:6" ht="24.4" customHeight="1">
      <c r="A28" s="34"/>
      <c r="B28" s="34"/>
      <c r="C28" s="34"/>
      <c r="D28" s="34"/>
      <c r="E28" s="34">
        <v>82</v>
      </c>
      <c r="F28" s="34"/>
    </row>
    <row r="29" spans="1:6" ht="24.4" customHeight="1">
      <c r="A29" s="35"/>
      <c r="B29" s="35"/>
      <c r="C29" s="35"/>
      <c r="D29" s="35"/>
      <c r="E29" s="35">
        <v>88</v>
      </c>
      <c r="F29" s="35"/>
    </row>
    <row r="30" spans="1:6" ht="24.4" customHeight="1">
      <c r="A30" s="34"/>
      <c r="B30" s="34"/>
      <c r="C30" s="34"/>
      <c r="D30" s="34"/>
      <c r="E30" s="34">
        <v>90</v>
      </c>
      <c r="F30" s="34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4"/>
  <dimension ref="A1:G7"/>
  <sheetViews>
    <sheetView zoomScale="40" zoomScaleNormal="40" workbookViewId="0">
      <pane ySplit="1" topLeftCell="A2" activePane="bottomLeft" state="frozen"/>
      <selection pane="bottomLeft" activeCell="G19" sqref="G19"/>
    </sheetView>
  </sheetViews>
  <sheetFormatPr baseColWidth="10" defaultRowHeight="14.25"/>
  <cols>
    <col min="1" max="1" width="15.73046875" bestFit="1" customWidth="1"/>
    <col min="2" max="7" width="43" bestFit="1" customWidth="1"/>
    <col min="8" max="9" width="31.3984375" customWidth="1"/>
  </cols>
  <sheetData>
    <row r="1" spans="1:7" ht="48.75" customHeight="1">
      <c r="A1" s="8" t="s">
        <v>256</v>
      </c>
      <c r="B1" s="27" t="s">
        <v>257</v>
      </c>
      <c r="C1" s="27" t="s">
        <v>258</v>
      </c>
      <c r="D1" s="27" t="s">
        <v>259</v>
      </c>
      <c r="E1" s="27" t="s">
        <v>260</v>
      </c>
      <c r="F1" s="27" t="s">
        <v>261</v>
      </c>
      <c r="G1" s="27" t="s">
        <v>262</v>
      </c>
    </row>
    <row r="2" spans="1:7" ht="28.15" customHeight="1">
      <c r="A2" s="18" t="s">
        <v>250</v>
      </c>
      <c r="B2" s="28">
        <v>95</v>
      </c>
      <c r="C2" s="28">
        <v>88</v>
      </c>
      <c r="D2" s="28">
        <v>75</v>
      </c>
      <c r="E2" s="28">
        <v>73</v>
      </c>
      <c r="F2" s="28">
        <v>69</v>
      </c>
      <c r="G2" s="28">
        <v>84</v>
      </c>
    </row>
    <row r="3" spans="1:7" ht="28.15" customHeight="1">
      <c r="A3" s="13" t="s">
        <v>251</v>
      </c>
      <c r="B3" s="29">
        <v>110</v>
      </c>
      <c r="C3" s="29">
        <v>102</v>
      </c>
      <c r="D3" s="29">
        <v>85</v>
      </c>
      <c r="E3" s="29">
        <v>83</v>
      </c>
      <c r="F3" s="29">
        <v>73</v>
      </c>
      <c r="G3" s="29">
        <v>84</v>
      </c>
    </row>
    <row r="4" spans="1:7" ht="28.15" customHeight="1">
      <c r="A4" s="18" t="s">
        <v>252</v>
      </c>
      <c r="B4" s="28">
        <v>125</v>
      </c>
      <c r="C4" s="28">
        <v>110</v>
      </c>
      <c r="D4" s="28">
        <v>95</v>
      </c>
      <c r="E4" s="28">
        <v>92</v>
      </c>
      <c r="F4" s="28">
        <v>83</v>
      </c>
      <c r="G4" s="28">
        <v>84</v>
      </c>
    </row>
    <row r="5" spans="1:7" ht="28.15" customHeight="1">
      <c r="A5" s="13" t="s">
        <v>253</v>
      </c>
      <c r="B5" s="29">
        <v>145</v>
      </c>
      <c r="C5" s="29">
        <v>127</v>
      </c>
      <c r="D5" s="29">
        <v>112</v>
      </c>
      <c r="E5" s="29">
        <v>110</v>
      </c>
      <c r="F5" s="29">
        <v>102</v>
      </c>
      <c r="G5" s="29">
        <v>84</v>
      </c>
    </row>
    <row r="6" spans="1:7" ht="28.15" customHeight="1">
      <c r="A6" s="18" t="s">
        <v>254</v>
      </c>
      <c r="B6" s="28">
        <v>156</v>
      </c>
      <c r="C6" s="28">
        <v>139</v>
      </c>
      <c r="D6" s="28">
        <v>130</v>
      </c>
      <c r="E6" s="28">
        <v>128</v>
      </c>
      <c r="F6" s="28">
        <v>117</v>
      </c>
      <c r="G6" s="28">
        <v>84</v>
      </c>
    </row>
    <row r="7" spans="1:7" ht="28.15" customHeight="1">
      <c r="A7" s="13" t="s">
        <v>255</v>
      </c>
      <c r="B7" s="29">
        <v>190</v>
      </c>
      <c r="C7" s="29">
        <v>168</v>
      </c>
      <c r="D7" s="29">
        <v>151</v>
      </c>
      <c r="E7" s="29">
        <v>148</v>
      </c>
      <c r="F7" s="29">
        <v>140</v>
      </c>
      <c r="G7" s="29">
        <v>84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5"/>
  <dimension ref="A1:T95"/>
  <sheetViews>
    <sheetView workbookViewId="0">
      <selection activeCell="K21" sqref="K21"/>
    </sheetView>
  </sheetViews>
  <sheetFormatPr baseColWidth="10" defaultColWidth="9.06640625" defaultRowHeight="14.25"/>
  <cols>
    <col min="17" max="19" width="9.06640625" style="108"/>
  </cols>
  <sheetData>
    <row r="1" spans="1:20">
      <c r="A1" s="36" t="s">
        <v>263</v>
      </c>
      <c r="B1" s="36" t="s">
        <v>256</v>
      </c>
      <c r="C1" s="36" t="s">
        <v>264</v>
      </c>
      <c r="D1" s="36" t="s">
        <v>265</v>
      </c>
      <c r="E1" s="36" t="s">
        <v>266</v>
      </c>
      <c r="F1" s="36" t="s">
        <v>267</v>
      </c>
      <c r="G1" s="36" t="s">
        <v>268</v>
      </c>
      <c r="H1" s="36" t="s">
        <v>269</v>
      </c>
      <c r="I1" s="36" t="s">
        <v>270</v>
      </c>
      <c r="J1" s="36" t="s">
        <v>271</v>
      </c>
      <c r="K1" s="36" t="s">
        <v>272</v>
      </c>
      <c r="L1" s="36" t="s">
        <v>273</v>
      </c>
      <c r="M1" s="36" t="s">
        <v>226</v>
      </c>
      <c r="N1" s="36" t="s">
        <v>274</v>
      </c>
      <c r="O1" s="36" t="s">
        <v>275</v>
      </c>
      <c r="P1" s="36" t="s">
        <v>277</v>
      </c>
      <c r="Q1" s="107" t="s">
        <v>377</v>
      </c>
      <c r="R1" s="107" t="s">
        <v>278</v>
      </c>
      <c r="S1" s="107" t="s">
        <v>276</v>
      </c>
      <c r="T1" s="36" t="s">
        <v>279</v>
      </c>
    </row>
    <row r="2" spans="1:20">
      <c r="A2" t="s">
        <v>280</v>
      </c>
      <c r="B2" t="s">
        <v>254</v>
      </c>
      <c r="C2" t="s">
        <v>281</v>
      </c>
      <c r="D2" t="s">
        <v>267</v>
      </c>
      <c r="E2" t="s">
        <v>226</v>
      </c>
      <c r="F2" t="s">
        <v>96</v>
      </c>
      <c r="G2" t="s">
        <v>157</v>
      </c>
      <c r="H2" t="s">
        <v>178</v>
      </c>
      <c r="I2" t="s">
        <v>182</v>
      </c>
      <c r="J2" t="s">
        <v>191</v>
      </c>
      <c r="K2" t="s">
        <v>195</v>
      </c>
      <c r="L2" t="s">
        <v>200</v>
      </c>
      <c r="M2" t="s">
        <v>227</v>
      </c>
      <c r="N2" t="s">
        <v>232</v>
      </c>
      <c r="O2" t="s">
        <v>222</v>
      </c>
      <c r="P2" t="s">
        <v>238</v>
      </c>
      <c r="T2" t="s">
        <v>125</v>
      </c>
    </row>
    <row r="3" spans="1:20">
      <c r="A3" t="s">
        <v>282</v>
      </c>
      <c r="B3" t="s">
        <v>253</v>
      </c>
      <c r="C3" t="s">
        <v>275</v>
      </c>
      <c r="D3" t="s">
        <v>268</v>
      </c>
      <c r="E3" t="s">
        <v>274</v>
      </c>
      <c r="F3" t="s">
        <v>147</v>
      </c>
      <c r="G3" t="s">
        <v>158</v>
      </c>
      <c r="H3" t="s">
        <v>179</v>
      </c>
      <c r="I3" t="s">
        <v>183</v>
      </c>
      <c r="J3" t="s">
        <v>192</v>
      </c>
      <c r="K3" t="s">
        <v>196</v>
      </c>
      <c r="L3" t="s">
        <v>201</v>
      </c>
      <c r="M3" t="s">
        <v>228</v>
      </c>
      <c r="N3" t="s">
        <v>233</v>
      </c>
      <c r="O3" t="s">
        <v>223</v>
      </c>
      <c r="T3" t="s">
        <v>144</v>
      </c>
    </row>
    <row r="4" spans="1:20">
      <c r="A4" t="s">
        <v>65</v>
      </c>
      <c r="B4" t="s">
        <v>253</v>
      </c>
      <c r="C4" t="s">
        <v>283</v>
      </c>
      <c r="D4" t="s">
        <v>269</v>
      </c>
      <c r="F4" t="s">
        <v>148</v>
      </c>
      <c r="G4" t="s">
        <v>159</v>
      </c>
      <c r="H4" t="s">
        <v>180</v>
      </c>
      <c r="I4" t="s">
        <v>184</v>
      </c>
      <c r="J4" t="s">
        <v>193</v>
      </c>
      <c r="K4" t="s">
        <v>197</v>
      </c>
      <c r="L4" t="s">
        <v>202</v>
      </c>
      <c r="M4" t="s">
        <v>229</v>
      </c>
      <c r="N4" t="s">
        <v>234</v>
      </c>
      <c r="O4" t="s">
        <v>224</v>
      </c>
      <c r="T4" t="s">
        <v>141</v>
      </c>
    </row>
    <row r="5" spans="1:20">
      <c r="A5" t="s">
        <v>284</v>
      </c>
      <c r="B5" t="s">
        <v>255</v>
      </c>
      <c r="C5" t="s">
        <v>277</v>
      </c>
      <c r="D5" t="s">
        <v>270</v>
      </c>
      <c r="F5" t="s">
        <v>149</v>
      </c>
      <c r="G5" t="s">
        <v>160</v>
      </c>
      <c r="I5" t="s">
        <v>185</v>
      </c>
      <c r="K5" t="s">
        <v>198</v>
      </c>
      <c r="L5" t="s">
        <v>203</v>
      </c>
      <c r="M5" t="s">
        <v>230</v>
      </c>
      <c r="N5" t="s">
        <v>235</v>
      </c>
      <c r="T5" t="s">
        <v>127</v>
      </c>
    </row>
    <row r="6" spans="1:20">
      <c r="A6" t="s">
        <v>285</v>
      </c>
      <c r="B6" t="s">
        <v>255</v>
      </c>
      <c r="D6" t="s">
        <v>271</v>
      </c>
      <c r="F6" t="s">
        <v>150</v>
      </c>
      <c r="G6" t="s">
        <v>161</v>
      </c>
      <c r="I6" t="s">
        <v>186</v>
      </c>
      <c r="L6" t="s">
        <v>204</v>
      </c>
      <c r="T6" t="s">
        <v>109</v>
      </c>
    </row>
    <row r="7" spans="1:20">
      <c r="A7" t="s">
        <v>286</v>
      </c>
      <c r="B7" t="s">
        <v>255</v>
      </c>
      <c r="D7" t="s">
        <v>272</v>
      </c>
      <c r="F7" t="s">
        <v>151</v>
      </c>
      <c r="G7" t="s">
        <v>162</v>
      </c>
      <c r="I7" t="s">
        <v>187</v>
      </c>
      <c r="L7" t="s">
        <v>205</v>
      </c>
      <c r="T7" t="s">
        <v>118</v>
      </c>
    </row>
    <row r="8" spans="1:20">
      <c r="A8" t="s">
        <v>287</v>
      </c>
      <c r="B8" t="s">
        <v>254</v>
      </c>
      <c r="D8" t="s">
        <v>273</v>
      </c>
      <c r="F8" t="s">
        <v>152</v>
      </c>
      <c r="G8" t="s">
        <v>163</v>
      </c>
      <c r="I8" t="s">
        <v>188</v>
      </c>
      <c r="L8" t="s">
        <v>206</v>
      </c>
      <c r="T8" t="s">
        <v>138</v>
      </c>
    </row>
    <row r="9" spans="1:20">
      <c r="A9" t="s">
        <v>288</v>
      </c>
      <c r="B9" t="s">
        <v>253</v>
      </c>
      <c r="F9" t="s">
        <v>153</v>
      </c>
      <c r="G9" t="s">
        <v>164</v>
      </c>
      <c r="I9" t="s">
        <v>189</v>
      </c>
      <c r="L9" t="s">
        <v>207</v>
      </c>
      <c r="T9" t="s">
        <v>117</v>
      </c>
    </row>
    <row r="10" spans="1:20">
      <c r="A10" t="s">
        <v>289</v>
      </c>
      <c r="B10" t="s">
        <v>255</v>
      </c>
      <c r="F10" t="s">
        <v>154</v>
      </c>
      <c r="G10" t="s">
        <v>165</v>
      </c>
      <c r="L10" t="s">
        <v>208</v>
      </c>
      <c r="T10" t="s">
        <v>107</v>
      </c>
    </row>
    <row r="11" spans="1:20">
      <c r="A11" t="s">
        <v>290</v>
      </c>
      <c r="B11" t="s">
        <v>253</v>
      </c>
      <c r="F11" t="s">
        <v>155</v>
      </c>
      <c r="G11" t="s">
        <v>166</v>
      </c>
      <c r="L11" t="s">
        <v>209</v>
      </c>
      <c r="T11" t="s">
        <v>136</v>
      </c>
    </row>
    <row r="12" spans="1:20">
      <c r="A12" t="s">
        <v>291</v>
      </c>
      <c r="B12" t="s">
        <v>255</v>
      </c>
      <c r="G12" t="s">
        <v>167</v>
      </c>
      <c r="L12" t="s">
        <v>210</v>
      </c>
      <c r="T12" t="s">
        <v>101</v>
      </c>
    </row>
    <row r="13" spans="1:20">
      <c r="A13" t="s">
        <v>292</v>
      </c>
      <c r="B13" t="s">
        <v>254</v>
      </c>
      <c r="G13" t="s">
        <v>168</v>
      </c>
      <c r="L13" t="s">
        <v>211</v>
      </c>
      <c r="T13" t="s">
        <v>105</v>
      </c>
    </row>
    <row r="14" spans="1:20">
      <c r="A14" t="s">
        <v>293</v>
      </c>
      <c r="B14" t="s">
        <v>255</v>
      </c>
      <c r="G14" t="s">
        <v>169</v>
      </c>
      <c r="L14" t="s">
        <v>212</v>
      </c>
      <c r="T14" t="s">
        <v>129</v>
      </c>
    </row>
    <row r="15" spans="1:20">
      <c r="A15" t="s">
        <v>294</v>
      </c>
      <c r="B15" t="s">
        <v>251</v>
      </c>
      <c r="G15" t="s">
        <v>170</v>
      </c>
      <c r="L15" t="s">
        <v>213</v>
      </c>
      <c r="T15" t="s">
        <v>98</v>
      </c>
    </row>
    <row r="16" spans="1:20">
      <c r="A16" t="s">
        <v>295</v>
      </c>
      <c r="B16" t="s">
        <v>253</v>
      </c>
      <c r="G16" t="s">
        <v>171</v>
      </c>
      <c r="T16" t="s">
        <v>99</v>
      </c>
    </row>
    <row r="17" spans="1:20">
      <c r="A17" t="s">
        <v>296</v>
      </c>
      <c r="B17" t="s">
        <v>252</v>
      </c>
      <c r="G17" t="s">
        <v>172</v>
      </c>
      <c r="T17" t="s">
        <v>132</v>
      </c>
    </row>
    <row r="18" spans="1:20">
      <c r="A18" t="s">
        <v>297</v>
      </c>
      <c r="B18" t="s">
        <v>252</v>
      </c>
      <c r="G18" t="s">
        <v>173</v>
      </c>
      <c r="T18" t="s">
        <v>131</v>
      </c>
    </row>
    <row r="19" spans="1:20">
      <c r="A19" t="s">
        <v>298</v>
      </c>
      <c r="B19" t="s">
        <v>252</v>
      </c>
      <c r="G19" t="s">
        <v>174</v>
      </c>
      <c r="T19" t="s">
        <v>122</v>
      </c>
    </row>
    <row r="20" spans="1:20">
      <c r="A20" t="s">
        <v>299</v>
      </c>
      <c r="B20" t="s">
        <v>253</v>
      </c>
      <c r="G20" t="s">
        <v>175</v>
      </c>
      <c r="T20" t="s">
        <v>121</v>
      </c>
    </row>
    <row r="21" spans="1:20">
      <c r="A21" t="s">
        <v>300</v>
      </c>
      <c r="B21" t="s">
        <v>254</v>
      </c>
      <c r="G21" t="s">
        <v>176</v>
      </c>
      <c r="T21" t="s">
        <v>108</v>
      </c>
    </row>
    <row r="22" spans="1:20">
      <c r="A22" t="s">
        <v>301</v>
      </c>
      <c r="B22" t="s">
        <v>250</v>
      </c>
      <c r="T22" t="s">
        <v>103</v>
      </c>
    </row>
    <row r="23" spans="1:20">
      <c r="A23" t="s">
        <v>302</v>
      </c>
      <c r="B23" t="s">
        <v>252</v>
      </c>
      <c r="T23" t="s">
        <v>104</v>
      </c>
    </row>
    <row r="24" spans="1:20">
      <c r="A24" t="s">
        <v>303</v>
      </c>
      <c r="B24" t="s">
        <v>253</v>
      </c>
      <c r="T24" t="s">
        <v>111</v>
      </c>
    </row>
    <row r="25" spans="1:20">
      <c r="A25" t="s">
        <v>304</v>
      </c>
      <c r="B25" t="s">
        <v>254</v>
      </c>
      <c r="T25" t="s">
        <v>102</v>
      </c>
    </row>
    <row r="26" spans="1:20">
      <c r="A26" t="s">
        <v>305</v>
      </c>
      <c r="B26" t="s">
        <v>254</v>
      </c>
      <c r="T26" t="s">
        <v>106</v>
      </c>
    </row>
    <row r="27" spans="1:20">
      <c r="A27" t="s">
        <v>306</v>
      </c>
      <c r="B27" t="s">
        <v>251</v>
      </c>
      <c r="T27" t="s">
        <v>215</v>
      </c>
    </row>
    <row r="28" spans="1:20">
      <c r="A28" t="s">
        <v>307</v>
      </c>
      <c r="B28" t="s">
        <v>251</v>
      </c>
      <c r="T28" t="s">
        <v>146</v>
      </c>
    </row>
    <row r="29" spans="1:20">
      <c r="A29" t="s">
        <v>308</v>
      </c>
      <c r="B29" t="s">
        <v>251</v>
      </c>
      <c r="T29" t="s">
        <v>145</v>
      </c>
    </row>
    <row r="30" spans="1:20">
      <c r="A30" t="s">
        <v>309</v>
      </c>
      <c r="B30" t="s">
        <v>255</v>
      </c>
      <c r="T30" t="s">
        <v>135</v>
      </c>
    </row>
    <row r="31" spans="1:20">
      <c r="A31" t="s">
        <v>310</v>
      </c>
      <c r="B31" t="s">
        <v>254</v>
      </c>
      <c r="T31" t="s">
        <v>143</v>
      </c>
    </row>
    <row r="32" spans="1:20">
      <c r="A32" t="s">
        <v>311</v>
      </c>
      <c r="B32" t="s">
        <v>254</v>
      </c>
      <c r="T32" t="s">
        <v>134</v>
      </c>
    </row>
    <row r="33" spans="1:20">
      <c r="A33" t="s">
        <v>312</v>
      </c>
      <c r="B33" t="s">
        <v>253</v>
      </c>
      <c r="T33" t="s">
        <v>133</v>
      </c>
    </row>
    <row r="34" spans="1:20">
      <c r="A34" t="s">
        <v>313</v>
      </c>
      <c r="B34" t="s">
        <v>255</v>
      </c>
      <c r="T34" t="s">
        <v>123</v>
      </c>
    </row>
    <row r="35" spans="1:20">
      <c r="A35" t="s">
        <v>314</v>
      </c>
      <c r="B35" t="s">
        <v>250</v>
      </c>
      <c r="T35" t="s">
        <v>216</v>
      </c>
    </row>
    <row r="36" spans="1:20">
      <c r="A36" t="s">
        <v>315</v>
      </c>
      <c r="B36" t="s">
        <v>252</v>
      </c>
      <c r="T36" t="s">
        <v>124</v>
      </c>
    </row>
    <row r="37" spans="1:20">
      <c r="A37" t="s">
        <v>316</v>
      </c>
      <c r="B37" t="s">
        <v>251</v>
      </c>
      <c r="T37" t="s">
        <v>218</v>
      </c>
    </row>
    <row r="38" spans="1:20">
      <c r="A38" t="s">
        <v>317</v>
      </c>
      <c r="B38" t="s">
        <v>254</v>
      </c>
      <c r="T38" t="s">
        <v>119</v>
      </c>
    </row>
    <row r="39" spans="1:20">
      <c r="A39" t="s">
        <v>318</v>
      </c>
      <c r="B39" t="s">
        <v>254</v>
      </c>
      <c r="T39" t="s">
        <v>137</v>
      </c>
    </row>
    <row r="40" spans="1:20">
      <c r="A40" t="s">
        <v>319</v>
      </c>
      <c r="B40" t="s">
        <v>254</v>
      </c>
      <c r="T40" t="s">
        <v>126</v>
      </c>
    </row>
    <row r="41" spans="1:20">
      <c r="A41" t="s">
        <v>320</v>
      </c>
      <c r="B41" t="s">
        <v>251</v>
      </c>
      <c r="T41" t="s">
        <v>114</v>
      </c>
    </row>
    <row r="42" spans="1:20">
      <c r="A42" t="s">
        <v>321</v>
      </c>
      <c r="B42" t="s">
        <v>254</v>
      </c>
      <c r="T42" t="s">
        <v>116</v>
      </c>
    </row>
    <row r="43" spans="1:20">
      <c r="A43" t="s">
        <v>322</v>
      </c>
      <c r="B43" t="s">
        <v>254</v>
      </c>
      <c r="T43" t="s">
        <v>100</v>
      </c>
    </row>
    <row r="44" spans="1:20">
      <c r="A44" t="s">
        <v>323</v>
      </c>
      <c r="B44" t="s">
        <v>250</v>
      </c>
      <c r="T44" t="s">
        <v>113</v>
      </c>
    </row>
    <row r="45" spans="1:20">
      <c r="A45" t="s">
        <v>324</v>
      </c>
      <c r="B45" t="s">
        <v>252</v>
      </c>
      <c r="T45" t="s">
        <v>112</v>
      </c>
    </row>
    <row r="46" spans="1:20">
      <c r="A46" t="s">
        <v>325</v>
      </c>
      <c r="B46" t="s">
        <v>253</v>
      </c>
      <c r="T46" t="s">
        <v>130</v>
      </c>
    </row>
    <row r="47" spans="1:20">
      <c r="A47" t="s">
        <v>326</v>
      </c>
      <c r="B47" t="s">
        <v>253</v>
      </c>
      <c r="T47" t="s">
        <v>142</v>
      </c>
    </row>
    <row r="48" spans="1:20">
      <c r="A48" t="s">
        <v>327</v>
      </c>
      <c r="B48" t="s">
        <v>254</v>
      </c>
      <c r="T48" t="s">
        <v>110</v>
      </c>
    </row>
    <row r="49" spans="1:20">
      <c r="A49" t="s">
        <v>328</v>
      </c>
      <c r="B49" t="s">
        <v>250</v>
      </c>
      <c r="T49" t="s">
        <v>115</v>
      </c>
    </row>
    <row r="50" spans="1:20">
      <c r="A50" t="s">
        <v>329</v>
      </c>
      <c r="B50" t="s">
        <v>250</v>
      </c>
      <c r="T50" t="s">
        <v>140</v>
      </c>
    </row>
    <row r="51" spans="1:20">
      <c r="A51" t="s">
        <v>330</v>
      </c>
      <c r="B51" t="s">
        <v>253</v>
      </c>
      <c r="T51" t="s">
        <v>139</v>
      </c>
    </row>
    <row r="52" spans="1:20">
      <c r="A52" t="s">
        <v>331</v>
      </c>
      <c r="B52" t="s">
        <v>254</v>
      </c>
      <c r="T52" t="s">
        <v>120</v>
      </c>
    </row>
    <row r="53" spans="1:20">
      <c r="A53" t="s">
        <v>332</v>
      </c>
      <c r="B53" t="s">
        <v>250</v>
      </c>
      <c r="T53" t="s">
        <v>217</v>
      </c>
    </row>
    <row r="54" spans="1:20">
      <c r="A54" t="s">
        <v>333</v>
      </c>
      <c r="B54" t="s">
        <v>254</v>
      </c>
    </row>
    <row r="55" spans="1:20">
      <c r="A55" t="s">
        <v>334</v>
      </c>
      <c r="B55" t="s">
        <v>254</v>
      </c>
    </row>
    <row r="56" spans="1:20">
      <c r="A56" t="s">
        <v>335</v>
      </c>
      <c r="B56" t="s">
        <v>250</v>
      </c>
    </row>
    <row r="57" spans="1:20">
      <c r="A57" t="s">
        <v>336</v>
      </c>
      <c r="B57" t="s">
        <v>254</v>
      </c>
    </row>
    <row r="58" spans="1:20">
      <c r="A58" t="s">
        <v>337</v>
      </c>
      <c r="B58" t="s">
        <v>253</v>
      </c>
    </row>
    <row r="59" spans="1:20">
      <c r="A59" t="s">
        <v>338</v>
      </c>
      <c r="B59" t="s">
        <v>253</v>
      </c>
    </row>
    <row r="60" spans="1:20">
      <c r="A60" t="s">
        <v>339</v>
      </c>
      <c r="B60" t="s">
        <v>252</v>
      </c>
    </row>
    <row r="61" spans="1:20">
      <c r="A61" t="s">
        <v>340</v>
      </c>
      <c r="B61" t="s">
        <v>251</v>
      </c>
    </row>
    <row r="62" spans="1:20">
      <c r="A62" t="s">
        <v>341</v>
      </c>
      <c r="B62" t="s">
        <v>253</v>
      </c>
    </row>
    <row r="63" spans="1:20">
      <c r="A63" t="s">
        <v>342</v>
      </c>
      <c r="B63" t="s">
        <v>253</v>
      </c>
    </row>
    <row r="64" spans="1:20">
      <c r="A64" t="s">
        <v>343</v>
      </c>
      <c r="B64" t="s">
        <v>254</v>
      </c>
    </row>
    <row r="65" spans="1:2">
      <c r="A65" t="s">
        <v>344</v>
      </c>
      <c r="B65" t="s">
        <v>254</v>
      </c>
    </row>
    <row r="66" spans="1:2">
      <c r="A66" t="s">
        <v>345</v>
      </c>
      <c r="B66" t="s">
        <v>255</v>
      </c>
    </row>
    <row r="67" spans="1:2">
      <c r="A67" t="s">
        <v>346</v>
      </c>
      <c r="B67" t="s">
        <v>254</v>
      </c>
    </row>
    <row r="68" spans="1:2">
      <c r="A68" t="s">
        <v>347</v>
      </c>
      <c r="B68" t="s">
        <v>254</v>
      </c>
    </row>
    <row r="69" spans="1:2">
      <c r="A69" t="s">
        <v>348</v>
      </c>
      <c r="B69" t="s">
        <v>254</v>
      </c>
    </row>
    <row r="70" spans="1:2">
      <c r="A70" t="s">
        <v>349</v>
      </c>
      <c r="B70" t="s">
        <v>254</v>
      </c>
    </row>
    <row r="71" spans="1:2">
      <c r="A71" t="s">
        <v>350</v>
      </c>
      <c r="B71" t="s">
        <v>254</v>
      </c>
    </row>
    <row r="72" spans="1:2">
      <c r="A72" t="s">
        <v>351</v>
      </c>
      <c r="B72" t="s">
        <v>251</v>
      </c>
    </row>
    <row r="73" spans="1:2">
      <c r="A73" t="s">
        <v>352</v>
      </c>
      <c r="B73" t="s">
        <v>255</v>
      </c>
    </row>
    <row r="74" spans="1:2">
      <c r="A74" t="s">
        <v>353</v>
      </c>
      <c r="B74" t="s">
        <v>255</v>
      </c>
    </row>
    <row r="75" spans="1:2">
      <c r="A75" t="s">
        <v>354</v>
      </c>
      <c r="B75" t="s">
        <v>252</v>
      </c>
    </row>
    <row r="76" spans="1:2">
      <c r="A76" t="s">
        <v>355</v>
      </c>
      <c r="B76" t="s">
        <v>251</v>
      </c>
    </row>
    <row r="77" spans="1:2">
      <c r="A77" t="s">
        <v>356</v>
      </c>
      <c r="B77" t="s">
        <v>252</v>
      </c>
    </row>
    <row r="78" spans="1:2">
      <c r="A78" t="s">
        <v>357</v>
      </c>
      <c r="B78" t="s">
        <v>252</v>
      </c>
    </row>
    <row r="79" spans="1:2">
      <c r="A79" t="s">
        <v>358</v>
      </c>
      <c r="B79" t="s">
        <v>251</v>
      </c>
    </row>
    <row r="80" spans="1:2">
      <c r="A80" t="s">
        <v>359</v>
      </c>
      <c r="B80" t="s">
        <v>252</v>
      </c>
    </row>
    <row r="81" spans="1:2">
      <c r="A81" t="s">
        <v>360</v>
      </c>
      <c r="B81" t="s">
        <v>254</v>
      </c>
    </row>
    <row r="82" spans="1:2">
      <c r="A82" t="s">
        <v>361</v>
      </c>
      <c r="B82" t="s">
        <v>254</v>
      </c>
    </row>
    <row r="83" spans="1:2">
      <c r="A83" t="s">
        <v>362</v>
      </c>
      <c r="B83" t="s">
        <v>255</v>
      </c>
    </row>
    <row r="84" spans="1:2">
      <c r="A84" t="s">
        <v>363</v>
      </c>
      <c r="B84" t="s">
        <v>255</v>
      </c>
    </row>
    <row r="85" spans="1:2">
      <c r="A85" t="s">
        <v>364</v>
      </c>
      <c r="B85" t="s">
        <v>251</v>
      </c>
    </row>
    <row r="86" spans="1:2">
      <c r="A86" t="s">
        <v>365</v>
      </c>
      <c r="B86" t="s">
        <v>252</v>
      </c>
    </row>
    <row r="87" spans="1:2">
      <c r="A87" t="s">
        <v>366</v>
      </c>
      <c r="B87" t="s">
        <v>252</v>
      </c>
    </row>
    <row r="88" spans="1:2">
      <c r="A88" t="s">
        <v>367</v>
      </c>
      <c r="B88" t="s">
        <v>254</v>
      </c>
    </row>
    <row r="89" spans="1:2">
      <c r="A89" t="s">
        <v>368</v>
      </c>
      <c r="B89" t="s">
        <v>253</v>
      </c>
    </row>
    <row r="90" spans="1:2">
      <c r="A90" t="s">
        <v>369</v>
      </c>
      <c r="B90" t="s">
        <v>254</v>
      </c>
    </row>
    <row r="91" spans="1:2">
      <c r="A91" t="s">
        <v>370</v>
      </c>
      <c r="B91" t="s">
        <v>252</v>
      </c>
    </row>
    <row r="92" spans="1:2">
      <c r="A92" t="s">
        <v>371</v>
      </c>
      <c r="B92" t="s">
        <v>252</v>
      </c>
    </row>
    <row r="93" spans="1:2">
      <c r="A93" t="s">
        <v>372</v>
      </c>
      <c r="B93" t="s">
        <v>252</v>
      </c>
    </row>
    <row r="94" spans="1:2">
      <c r="A94" t="s">
        <v>373</v>
      </c>
      <c r="B94" t="s">
        <v>252</v>
      </c>
    </row>
    <row r="95" spans="1:2">
      <c r="A95" t="s">
        <v>374</v>
      </c>
      <c r="B95" t="s">
        <v>252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15</vt:i4>
      </vt:variant>
    </vt:vector>
  </HeadingPairs>
  <TitlesOfParts>
    <vt:vector size="22" baseType="lpstr">
      <vt:lpstr>Mode opératoire</vt:lpstr>
      <vt:lpstr>CALCUL PRIX ACHAT €</vt:lpstr>
      <vt:lpstr>CALCUL PRIX FAMILLE €</vt:lpstr>
      <vt:lpstr>Monument.PrixAdh.€HT</vt:lpstr>
      <vt:lpstr>Semelles.PrixAdh.€HT</vt:lpstr>
      <vt:lpstr>Accessoires.PrixAdh.€HT</vt:lpstr>
      <vt:lpstr>Gravure.PrixAdh.€HT</vt:lpstr>
      <vt:lpstr>CINÉRAIRE</vt:lpstr>
      <vt:lpstr>CLASSIQUE</vt:lpstr>
      <vt:lpstr>CONTEMPORAIN</vt:lpstr>
      <vt:lpstr>CRÉATION</vt:lpstr>
      <vt:lpstr>DOUBLES</vt:lpstr>
      <vt:lpstr>Granits</vt:lpstr>
      <vt:lpstr>Gravure</vt:lpstr>
      <vt:lpstr>JARDINIÈRE</vt:lpstr>
      <vt:lpstr>Lignes_Accessoire</vt:lpstr>
      <vt:lpstr>Lignes_Monument</vt:lpstr>
      <vt:lpstr>RELIGIEUX</vt:lpstr>
      <vt:lpstr>Semelle</vt:lpstr>
      <vt:lpstr>TOMBALE</vt:lpstr>
      <vt:lpstr>Types</vt:lpstr>
      <vt:lpstr>VASE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 Arfi</dc:creator>
  <cp:lastModifiedBy>Nasser Arfi</cp:lastModifiedBy>
  <dcterms:created xsi:type="dcterms:W3CDTF">2026-02-05T21:17:30Z</dcterms:created>
  <dcterms:modified xsi:type="dcterms:W3CDTF">2026-02-19T10:53:07Z</dcterms:modified>
</cp:coreProperties>
</file>